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8.xml" ContentType="application/vnd.openxmlformats-officedocument.drawing+xml"/>
  <Override PartName="/xl/slicers/slicer5.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SACHI\OneDrive\Desktop\"/>
    </mc:Choice>
  </mc:AlternateContent>
  <xr:revisionPtr revIDLastSave="0" documentId="13_ncr:1_{5240B694-5D40-42C4-A473-98F173E33399}" xr6:coauthVersionLast="47" xr6:coauthVersionMax="47" xr10:uidLastSave="{00000000-0000-0000-0000-000000000000}"/>
  <bookViews>
    <workbookView xWindow="-108" yWindow="-108" windowWidth="23256" windowHeight="12456" firstSheet="4" activeTab="10" xr2:uid="{300E2DDB-140A-47AE-BBAE-FF65050ABADE}"/>
  </bookViews>
  <sheets>
    <sheet name="montly sales and quantity trend" sheetId="3" r:id="rId1"/>
    <sheet name="Sheet3" sheetId="4" r:id="rId2"/>
    <sheet name="Sheet6" sheetId="7" r:id="rId3"/>
    <sheet name="Sheet7" sheetId="8" r:id="rId4"/>
    <sheet name="Sheet8" sheetId="9" r:id="rId5"/>
    <sheet name="Sheet9" sheetId="10" r:id="rId6"/>
    <sheet name="Sheet10" sheetId="11" r:id="rId7"/>
    <sheet name="dashboards" sheetId="5" r:id="rId8"/>
    <sheet name="Sheet1 (2)" sheetId="2" r:id="rId9"/>
    <sheet name="Sheet1" sheetId="1" r:id="rId10"/>
    <sheet name="Sheet11" sheetId="12" r:id="rId11"/>
  </sheets>
  <definedNames>
    <definedName name="ExternalData_1" localSheetId="8" hidden="1">'Sheet1 (2)'!$A$1:$N$2001</definedName>
    <definedName name="Slicer_Location">#N/A</definedName>
    <definedName name="Slicer_Months__Date">#N/A</definedName>
    <definedName name="Slicer_Product">#N/A</definedName>
    <definedName name="Slicer_Years__Date">#N/A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4" i="2" l="1"/>
  <c r="A4" i="1"/>
  <c r="A3" i="1"/>
  <c r="A2" i="1"/>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 i="2"/>
  <c r="B6" i="5"/>
  <c r="B4" i="5"/>
  <c r="B5"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03D32D7-251E-466F-A4CF-A8B31229042A}"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<sst xmlns="http://schemas.openxmlformats.org/spreadsheetml/2006/main" count="20113" uniqueCount="2809">
  <si>
    <t>Date</t>
  </si>
  <si>
    <t>Time</t>
  </si>
  <si>
    <t>StoreID</t>
  </si>
  <si>
    <t>Location</t>
  </si>
  <si>
    <t>Product</t>
  </si>
  <si>
    <t>Quantity</t>
  </si>
  <si>
    <t>UnitPrice</t>
  </si>
  <si>
    <t>PaymentType</t>
  </si>
  <si>
    <t>TransactionID</t>
  </si>
  <si>
    <t>Cashier</t>
  </si>
  <si>
    <t>StoreManager</t>
  </si>
  <si>
    <t>TimeOfDay</t>
  </si>
  <si>
    <t>DayOfWeek</t>
  </si>
  <si>
    <t>TotalPrice</t>
  </si>
  <si>
    <t>15:29</t>
  </si>
  <si>
    <t>S3</t>
  </si>
  <si>
    <t>Store C</t>
  </si>
  <si>
    <t>Tablet</t>
  </si>
  <si>
    <t>Gift Card</t>
  </si>
  <si>
    <t>TX300000</t>
  </si>
  <si>
    <t>C1</t>
  </si>
  <si>
    <t>Noah</t>
  </si>
  <si>
    <t>Afternoon</t>
  </si>
  <si>
    <t>Saturday</t>
  </si>
  <si>
    <t>16:53</t>
  </si>
  <si>
    <t>S1</t>
  </si>
  <si>
    <t>Store B</t>
  </si>
  <si>
    <t>Printer</t>
  </si>
  <si>
    <t>Online</t>
  </si>
  <si>
    <t>TX300001</t>
  </si>
  <si>
    <t>C5</t>
  </si>
  <si>
    <t>Liam</t>
  </si>
  <si>
    <t>Thursday</t>
  </si>
  <si>
    <t>21:22</t>
  </si>
  <si>
    <t>S9</t>
  </si>
  <si>
    <t>Laptop</t>
  </si>
  <si>
    <t>Debit Card</t>
  </si>
  <si>
    <t>TX300002</t>
  </si>
  <si>
    <t>C3</t>
  </si>
  <si>
    <t>Evening</t>
  </si>
  <si>
    <t>Friday</t>
  </si>
  <si>
    <t>14:28</t>
  </si>
  <si>
    <t>Monitor</t>
  </si>
  <si>
    <t>TX300003</t>
  </si>
  <si>
    <t>C2</t>
  </si>
  <si>
    <t>Mia</t>
  </si>
  <si>
    <t>20:00</t>
  </si>
  <si>
    <t>Store A</t>
  </si>
  <si>
    <t>TX300004</t>
  </si>
  <si>
    <t>Monday</t>
  </si>
  <si>
    <t>21:51</t>
  </si>
  <si>
    <t>S4</t>
  </si>
  <si>
    <t>Desk</t>
  </si>
  <si>
    <t>Cash</t>
  </si>
  <si>
    <t>TX300005</t>
  </si>
  <si>
    <t>9:11</t>
  </si>
  <si>
    <t>S6</t>
  </si>
  <si>
    <t>TX300006</t>
  </si>
  <si>
    <t>C4</t>
  </si>
  <si>
    <t>Olivia</t>
  </si>
  <si>
    <t>Morning</t>
  </si>
  <si>
    <t>Sunday</t>
  </si>
  <si>
    <t>20:36</t>
  </si>
  <si>
    <t>S5</t>
  </si>
  <si>
    <t>Chair</t>
  </si>
  <si>
    <t>TX300007</t>
  </si>
  <si>
    <t>16:42</t>
  </si>
  <si>
    <t>Phone</t>
  </si>
  <si>
    <t>Credit Card</t>
  </si>
  <si>
    <t>TX300008</t>
  </si>
  <si>
    <t>19:44</t>
  </si>
  <si>
    <t>TX300009</t>
  </si>
  <si>
    <t>20:29</t>
  </si>
  <si>
    <t>S7</t>
  </si>
  <si>
    <t>Store D</t>
  </si>
  <si>
    <t>TX300010</t>
  </si>
  <si>
    <t>Wednesday</t>
  </si>
  <si>
    <t>12:03</t>
  </si>
  <si>
    <t>S8</t>
  </si>
  <si>
    <t>TX300011</t>
  </si>
  <si>
    <t>21:08</t>
  </si>
  <si>
    <t>TX300012</t>
  </si>
  <si>
    <t>15:41</t>
  </si>
  <si>
    <t>TX300013</t>
  </si>
  <si>
    <t>Tuesday</t>
  </si>
  <si>
    <t>9:32</t>
  </si>
  <si>
    <t>TX300014</t>
  </si>
  <si>
    <t>20:21</t>
  </si>
  <si>
    <t>TX300015</t>
  </si>
  <si>
    <t>11:12</t>
  </si>
  <si>
    <t>S2</t>
  </si>
  <si>
    <t>TX300016</t>
  </si>
  <si>
    <t>18:59</t>
  </si>
  <si>
    <t>TX300017</t>
  </si>
  <si>
    <t>14:49</t>
  </si>
  <si>
    <t>TX300018</t>
  </si>
  <si>
    <t>17:49</t>
  </si>
  <si>
    <t>TX300019</t>
  </si>
  <si>
    <t>10:32</t>
  </si>
  <si>
    <t>TX300020</t>
  </si>
  <si>
    <t>14:34</t>
  </si>
  <si>
    <t>S10</t>
  </si>
  <si>
    <t>TX300021</t>
  </si>
  <si>
    <t>21:07</t>
  </si>
  <si>
    <t>TX300022</t>
  </si>
  <si>
    <t>20:43</t>
  </si>
  <si>
    <t>TX300023</t>
  </si>
  <si>
    <t>10:59</t>
  </si>
  <si>
    <t>TX300024</t>
  </si>
  <si>
    <t>20:14</t>
  </si>
  <si>
    <t>TX300025</t>
  </si>
  <si>
    <t>20:54</t>
  </si>
  <si>
    <t>TX300026</t>
  </si>
  <si>
    <t>17:17</t>
  </si>
  <si>
    <t>TX300027</t>
  </si>
  <si>
    <t>21:29</t>
  </si>
  <si>
    <t>TX300028</t>
  </si>
  <si>
    <t>15:13</t>
  </si>
  <si>
    <t>TX300029</t>
  </si>
  <si>
    <t>9:43</t>
  </si>
  <si>
    <t>TX300030</t>
  </si>
  <si>
    <t>15:22</t>
  </si>
  <si>
    <t>TX300031</t>
  </si>
  <si>
    <t>20:27</t>
  </si>
  <si>
    <t>TX300032</t>
  </si>
  <si>
    <t>11:21</t>
  </si>
  <si>
    <t>TX300033</t>
  </si>
  <si>
    <t>20:03</t>
  </si>
  <si>
    <t>TX300034</t>
  </si>
  <si>
    <t>16:46</t>
  </si>
  <si>
    <t>TX300035</t>
  </si>
  <si>
    <t>13:50</t>
  </si>
  <si>
    <t>TX300036</t>
  </si>
  <si>
    <t>19:25</t>
  </si>
  <si>
    <t>TX300037</t>
  </si>
  <si>
    <t>20:39</t>
  </si>
  <si>
    <t>TX300038</t>
  </si>
  <si>
    <t>TX300039</t>
  </si>
  <si>
    <t>21:33</t>
  </si>
  <si>
    <t>TX300040</t>
  </si>
  <si>
    <t>15:39</t>
  </si>
  <si>
    <t>TX300041</t>
  </si>
  <si>
    <t>17:10</t>
  </si>
  <si>
    <t>TX300042</t>
  </si>
  <si>
    <t>14:08</t>
  </si>
  <si>
    <t>TX300043</t>
  </si>
  <si>
    <t>16:33</t>
  </si>
  <si>
    <t>TX300044</t>
  </si>
  <si>
    <t>18:22</t>
  </si>
  <si>
    <t>TX300045</t>
  </si>
  <si>
    <t>17:54</t>
  </si>
  <si>
    <t>TX300046</t>
  </si>
  <si>
    <t>10:08</t>
  </si>
  <si>
    <t>TX300047</t>
  </si>
  <si>
    <t>19:51</t>
  </si>
  <si>
    <t>TX300048</t>
  </si>
  <si>
    <t>17:52</t>
  </si>
  <si>
    <t>TX300049</t>
  </si>
  <si>
    <t>14:18</t>
  </si>
  <si>
    <t>TX300050</t>
  </si>
  <si>
    <t>16:36</t>
  </si>
  <si>
    <t>TX300051</t>
  </si>
  <si>
    <t>12:28</t>
  </si>
  <si>
    <t>TX300052</t>
  </si>
  <si>
    <t>21:50</t>
  </si>
  <si>
    <t>TX300053</t>
  </si>
  <si>
    <t>TX300054</t>
  </si>
  <si>
    <t>12:52</t>
  </si>
  <si>
    <t>TX300055</t>
  </si>
  <si>
    <t>19:58</t>
  </si>
  <si>
    <t>TX300056</t>
  </si>
  <si>
    <t>TX300057</t>
  </si>
  <si>
    <t>21:31</t>
  </si>
  <si>
    <t>TX300058</t>
  </si>
  <si>
    <t>14:20</t>
  </si>
  <si>
    <t>TX300059</t>
  </si>
  <si>
    <t>13:09</t>
  </si>
  <si>
    <t>TX300060</t>
  </si>
  <si>
    <t>19:38</t>
  </si>
  <si>
    <t>TX300061</t>
  </si>
  <si>
    <t>17:44</t>
  </si>
  <si>
    <t>TX300062</t>
  </si>
  <si>
    <t>14:37</t>
  </si>
  <si>
    <t>TX300063</t>
  </si>
  <si>
    <t>17:05</t>
  </si>
  <si>
    <t>TX300064</t>
  </si>
  <si>
    <t>18:57</t>
  </si>
  <si>
    <t>TX300065</t>
  </si>
  <si>
    <t>15:30</t>
  </si>
  <si>
    <t>TX300066</t>
  </si>
  <si>
    <t>20:56</t>
  </si>
  <si>
    <t>TX300067</t>
  </si>
  <si>
    <t>11:33</t>
  </si>
  <si>
    <t>TX300068</t>
  </si>
  <si>
    <t>19:04</t>
  </si>
  <si>
    <t>TX300069</t>
  </si>
  <si>
    <t>9:49</t>
  </si>
  <si>
    <t>TX300070</t>
  </si>
  <si>
    <t>21:12</t>
  </si>
  <si>
    <t>TX300071</t>
  </si>
  <si>
    <t>14:06</t>
  </si>
  <si>
    <t>TX300072</t>
  </si>
  <si>
    <t>13:52</t>
  </si>
  <si>
    <t>TX300073</t>
  </si>
  <si>
    <t>21:36</t>
  </si>
  <si>
    <t>TX300074</t>
  </si>
  <si>
    <t>18:40</t>
  </si>
  <si>
    <t>TX300075</t>
  </si>
  <si>
    <t>11:15</t>
  </si>
  <si>
    <t>TX300076</t>
  </si>
  <si>
    <t>13:49</t>
  </si>
  <si>
    <t>TX300077</t>
  </si>
  <si>
    <t>10:19</t>
  </si>
  <si>
    <t>TX300078</t>
  </si>
  <si>
    <t>17:07</t>
  </si>
  <si>
    <t>TX300079</t>
  </si>
  <si>
    <t>19:03</t>
  </si>
  <si>
    <t>TX300080</t>
  </si>
  <si>
    <t>19:26</t>
  </si>
  <si>
    <t>TX300081</t>
  </si>
  <si>
    <t>16:34</t>
  </si>
  <si>
    <t>TX300082</t>
  </si>
  <si>
    <t>TX300083</t>
  </si>
  <si>
    <t>11:07</t>
  </si>
  <si>
    <t>TX300084</t>
  </si>
  <si>
    <t>9:07</t>
  </si>
  <si>
    <t>TX300085</t>
  </si>
  <si>
    <t>11:16</t>
  </si>
  <si>
    <t>TX300086</t>
  </si>
  <si>
    <t>17:27</t>
  </si>
  <si>
    <t>TX300087</t>
  </si>
  <si>
    <t>10:24</t>
  </si>
  <si>
    <t>TX300088</t>
  </si>
  <si>
    <t>20:09</t>
  </si>
  <si>
    <t>TX300089</t>
  </si>
  <si>
    <t>19:35</t>
  </si>
  <si>
    <t>TX300090</t>
  </si>
  <si>
    <t>16:48</t>
  </si>
  <si>
    <t>TX300091</t>
  </si>
  <si>
    <t>21:00</t>
  </si>
  <si>
    <t>TX300092</t>
  </si>
  <si>
    <t>TX300093</t>
  </si>
  <si>
    <t>17:23</t>
  </si>
  <si>
    <t>TX300094</t>
  </si>
  <si>
    <t>15:14</t>
  </si>
  <si>
    <t>TX300095</t>
  </si>
  <si>
    <t>20:41</t>
  </si>
  <si>
    <t>TX300096</t>
  </si>
  <si>
    <t>12:49</t>
  </si>
  <si>
    <t>TX300097</t>
  </si>
  <si>
    <t>11:25</t>
  </si>
  <si>
    <t>TX300098</t>
  </si>
  <si>
    <t>16:25</t>
  </si>
  <si>
    <t>TX300099</t>
  </si>
  <si>
    <t>14:56</t>
  </si>
  <si>
    <t>TX300100</t>
  </si>
  <si>
    <t>9:27</t>
  </si>
  <si>
    <t>TX300101</t>
  </si>
  <si>
    <t>TX300102</t>
  </si>
  <si>
    <t>9:53</t>
  </si>
  <si>
    <t>TX300103</t>
  </si>
  <si>
    <t>12:38</t>
  </si>
  <si>
    <t>TX300104</t>
  </si>
  <si>
    <t>9:23</t>
  </si>
  <si>
    <t>TX300105</t>
  </si>
  <si>
    <t>10:56</t>
  </si>
  <si>
    <t>TX300106</t>
  </si>
  <si>
    <t>18:15</t>
  </si>
  <si>
    <t>TX300107</t>
  </si>
  <si>
    <t>19:17</t>
  </si>
  <si>
    <t>TX300108</t>
  </si>
  <si>
    <t>15:08</t>
  </si>
  <si>
    <t>TX300109</t>
  </si>
  <si>
    <t>11:26</t>
  </si>
  <si>
    <t>TX300110</t>
  </si>
  <si>
    <t>15:42</t>
  </si>
  <si>
    <t>TX300111</t>
  </si>
  <si>
    <t>9:30</t>
  </si>
  <si>
    <t>TX300112</t>
  </si>
  <si>
    <t>20:33</t>
  </si>
  <si>
    <t>TX300113</t>
  </si>
  <si>
    <t>9:09</t>
  </si>
  <si>
    <t>TX300114</t>
  </si>
  <si>
    <t>20:24</t>
  </si>
  <si>
    <t>TX300115</t>
  </si>
  <si>
    <t>20:32</t>
  </si>
  <si>
    <t>TX300116</t>
  </si>
  <si>
    <t>TX300117</t>
  </si>
  <si>
    <t>15:06</t>
  </si>
  <si>
    <t>TX300118</t>
  </si>
  <si>
    <t>9:04</t>
  </si>
  <si>
    <t>TX300119</t>
  </si>
  <si>
    <t>11:18</t>
  </si>
  <si>
    <t>TX300120</t>
  </si>
  <si>
    <t>17:31</t>
  </si>
  <si>
    <t>TX300121</t>
  </si>
  <si>
    <t>20:18</t>
  </si>
  <si>
    <t>TX300122</t>
  </si>
  <si>
    <t>13:38</t>
  </si>
  <si>
    <t>TX300123</t>
  </si>
  <si>
    <t>20:57</t>
  </si>
  <si>
    <t>TX300124</t>
  </si>
  <si>
    <t>12:37</t>
  </si>
  <si>
    <t>TX300125</t>
  </si>
  <si>
    <t>20:06</t>
  </si>
  <si>
    <t>TX300126</t>
  </si>
  <si>
    <t>15:25</t>
  </si>
  <si>
    <t>TX300127</t>
  </si>
  <si>
    <t>15:34</t>
  </si>
  <si>
    <t>TX300128</t>
  </si>
  <si>
    <t>TX300129</t>
  </si>
  <si>
    <t>13:55</t>
  </si>
  <si>
    <t>TX300130</t>
  </si>
  <si>
    <t>14:54</t>
  </si>
  <si>
    <t>TX300131</t>
  </si>
  <si>
    <t>13:18</t>
  </si>
  <si>
    <t>TX300132</t>
  </si>
  <si>
    <t>12:50</t>
  </si>
  <si>
    <t>TX300133</t>
  </si>
  <si>
    <t>21:10</t>
  </si>
  <si>
    <t>TX300134</t>
  </si>
  <si>
    <t>12:31</t>
  </si>
  <si>
    <t>TX300135</t>
  </si>
  <si>
    <t>12:44</t>
  </si>
  <si>
    <t>TX300136</t>
  </si>
  <si>
    <t>14:25</t>
  </si>
  <si>
    <t>TX300137</t>
  </si>
  <si>
    <t>14:04</t>
  </si>
  <si>
    <t>TX300138</t>
  </si>
  <si>
    <t>11:55</t>
  </si>
  <si>
    <t>TX300139</t>
  </si>
  <si>
    <t>14:10</t>
  </si>
  <si>
    <t>TX300140</t>
  </si>
  <si>
    <t>21:03</t>
  </si>
  <si>
    <t>TX300141</t>
  </si>
  <si>
    <t>13:01</t>
  </si>
  <si>
    <t>TX300142</t>
  </si>
  <si>
    <t>TX300143</t>
  </si>
  <si>
    <t>9:31</t>
  </si>
  <si>
    <t>TX300144</t>
  </si>
  <si>
    <t>10:35</t>
  </si>
  <si>
    <t>TX300145</t>
  </si>
  <si>
    <t>13:58</t>
  </si>
  <si>
    <t>TX300146</t>
  </si>
  <si>
    <t>20:47</t>
  </si>
  <si>
    <t>TX300147</t>
  </si>
  <si>
    <t>18:51</t>
  </si>
  <si>
    <t>TX300148</t>
  </si>
  <si>
    <t>13:37</t>
  </si>
  <si>
    <t>TX300149</t>
  </si>
  <si>
    <t>TX300150</t>
  </si>
  <si>
    <t>10:39</t>
  </si>
  <si>
    <t>TX300151</t>
  </si>
  <si>
    <t>TX300152</t>
  </si>
  <si>
    <t>TX300153</t>
  </si>
  <si>
    <t>12:00</t>
  </si>
  <si>
    <t>TX300154</t>
  </si>
  <si>
    <t>9:47</t>
  </si>
  <si>
    <t>TX300155</t>
  </si>
  <si>
    <t>17:41</t>
  </si>
  <si>
    <t>TX300156</t>
  </si>
  <si>
    <t>21:01</t>
  </si>
  <si>
    <t>TX300157</t>
  </si>
  <si>
    <t>10:45</t>
  </si>
  <si>
    <t>TX300158</t>
  </si>
  <si>
    <t>12:34</t>
  </si>
  <si>
    <t>TX300159</t>
  </si>
  <si>
    <t>10:05</t>
  </si>
  <si>
    <t>TX300160</t>
  </si>
  <si>
    <t>TX300161</t>
  </si>
  <si>
    <t>TX300162</t>
  </si>
  <si>
    <t>16:56</t>
  </si>
  <si>
    <t>TX300163</t>
  </si>
  <si>
    <t>20:13</t>
  </si>
  <si>
    <t>TX300164</t>
  </si>
  <si>
    <t>17:06</t>
  </si>
  <si>
    <t>TX300165</t>
  </si>
  <si>
    <t>16:55</t>
  </si>
  <si>
    <t>TX300166</t>
  </si>
  <si>
    <t>9:10</t>
  </si>
  <si>
    <t>TX300167</t>
  </si>
  <si>
    <t>18:49</t>
  </si>
  <si>
    <t>TX300168</t>
  </si>
  <si>
    <t>12:04</t>
  </si>
  <si>
    <t>TX300169</t>
  </si>
  <si>
    <t>TX300170</t>
  </si>
  <si>
    <t>TX300171</t>
  </si>
  <si>
    <t>18:53</t>
  </si>
  <si>
    <t>TX300172</t>
  </si>
  <si>
    <t>11:43</t>
  </si>
  <si>
    <t>TX300173</t>
  </si>
  <si>
    <t>18:26</t>
  </si>
  <si>
    <t>TX300174</t>
  </si>
  <si>
    <t>20:08</t>
  </si>
  <si>
    <t>TX300175</t>
  </si>
  <si>
    <t>14:59</t>
  </si>
  <si>
    <t>TX300176</t>
  </si>
  <si>
    <t>13:57</t>
  </si>
  <si>
    <t>TX300177</t>
  </si>
  <si>
    <t>11:59</t>
  </si>
  <si>
    <t>TX300178</t>
  </si>
  <si>
    <t>14:14</t>
  </si>
  <si>
    <t>TX300179</t>
  </si>
  <si>
    <t>19:19</t>
  </si>
  <si>
    <t>TX300180</t>
  </si>
  <si>
    <t>TX300181</t>
  </si>
  <si>
    <t>9:36</t>
  </si>
  <si>
    <t>TX300182</t>
  </si>
  <si>
    <t>12:47</t>
  </si>
  <si>
    <t>TX300183</t>
  </si>
  <si>
    <t>16:47</t>
  </si>
  <si>
    <t>TX300184</t>
  </si>
  <si>
    <t>19:42</t>
  </si>
  <si>
    <t>TX300185</t>
  </si>
  <si>
    <t>TX300186</t>
  </si>
  <si>
    <t>TX300187</t>
  </si>
  <si>
    <t>9:28</t>
  </si>
  <si>
    <t>TX300188</t>
  </si>
  <si>
    <t>11:13</t>
  </si>
  <si>
    <t>TX300189</t>
  </si>
  <si>
    <t>11:42</t>
  </si>
  <si>
    <t>TX300190</t>
  </si>
  <si>
    <t>18:33</t>
  </si>
  <si>
    <t>TX300191</t>
  </si>
  <si>
    <t>20:34</t>
  </si>
  <si>
    <t>TX300192</t>
  </si>
  <si>
    <t>TX300193</t>
  </si>
  <si>
    <t>18:42</t>
  </si>
  <si>
    <t>TX300194</t>
  </si>
  <si>
    <t>11:53</t>
  </si>
  <si>
    <t>TX300195</t>
  </si>
  <si>
    <t>16:10</t>
  </si>
  <si>
    <t>TX300196</t>
  </si>
  <si>
    <t>12:59</t>
  </si>
  <si>
    <t>TX300197</t>
  </si>
  <si>
    <t>TX300198</t>
  </si>
  <si>
    <t>19:11</t>
  </si>
  <si>
    <t>TX300199</t>
  </si>
  <si>
    <t>19:46</t>
  </si>
  <si>
    <t>TX300200</t>
  </si>
  <si>
    <t>18:16</t>
  </si>
  <si>
    <t>TX300201</t>
  </si>
  <si>
    <t>14:57</t>
  </si>
  <si>
    <t>TX300202</t>
  </si>
  <si>
    <t>14:13</t>
  </si>
  <si>
    <t>TX300203</t>
  </si>
  <si>
    <t>15:01</t>
  </si>
  <si>
    <t>TX300204</t>
  </si>
  <si>
    <t>17:48</t>
  </si>
  <si>
    <t>TX300205</t>
  </si>
  <si>
    <t>21:15</t>
  </si>
  <si>
    <t>TX300206</t>
  </si>
  <si>
    <t>21:41</t>
  </si>
  <si>
    <t>TX300207</t>
  </si>
  <si>
    <t>18:19</t>
  </si>
  <si>
    <t>TX300208</t>
  </si>
  <si>
    <t>21:27</t>
  </si>
  <si>
    <t>TX300209</t>
  </si>
  <si>
    <t>TX300210</t>
  </si>
  <si>
    <t>14:29</t>
  </si>
  <si>
    <t>TX300211</t>
  </si>
  <si>
    <t>9:56</t>
  </si>
  <si>
    <t>TX300212</t>
  </si>
  <si>
    <t>14:11</t>
  </si>
  <si>
    <t>TX300213</t>
  </si>
  <si>
    <t>18:07</t>
  </si>
  <si>
    <t>TX300214</t>
  </si>
  <si>
    <t>15:11</t>
  </si>
  <si>
    <t>TX300215</t>
  </si>
  <si>
    <t>20:02</t>
  </si>
  <si>
    <t>TX300216</t>
  </si>
  <si>
    <t>18:46</t>
  </si>
  <si>
    <t>TX300217</t>
  </si>
  <si>
    <t>16:28</t>
  </si>
  <si>
    <t>TX300218</t>
  </si>
  <si>
    <t>18:04</t>
  </si>
  <si>
    <t>TX300219</t>
  </si>
  <si>
    <t>15:50</t>
  </si>
  <si>
    <t>TX300220</t>
  </si>
  <si>
    <t>16:39</t>
  </si>
  <si>
    <t>TX300221</t>
  </si>
  <si>
    <t>9:52</t>
  </si>
  <si>
    <t>TX300222</t>
  </si>
  <si>
    <t>19:47</t>
  </si>
  <si>
    <t>TX300223</t>
  </si>
  <si>
    <t>TX300224</t>
  </si>
  <si>
    <t>10:01</t>
  </si>
  <si>
    <t>TX300225</t>
  </si>
  <si>
    <t>TX300226</t>
  </si>
  <si>
    <t>21:49</t>
  </si>
  <si>
    <t>TX300227</t>
  </si>
  <si>
    <t>9:50</t>
  </si>
  <si>
    <t>TX300228</t>
  </si>
  <si>
    <t>TX300229</t>
  </si>
  <si>
    <t>11:06</t>
  </si>
  <si>
    <t>TX300230</t>
  </si>
  <si>
    <t>18:39</t>
  </si>
  <si>
    <t>TX300231</t>
  </si>
  <si>
    <t>13:47</t>
  </si>
  <si>
    <t>TX300232</t>
  </si>
  <si>
    <t>10:27</t>
  </si>
  <si>
    <t>TX300233</t>
  </si>
  <si>
    <t>15:45</t>
  </si>
  <si>
    <t>TX300234</t>
  </si>
  <si>
    <t>13:34</t>
  </si>
  <si>
    <t>TX300235</t>
  </si>
  <si>
    <t>TX300236</t>
  </si>
  <si>
    <t>17:51</t>
  </si>
  <si>
    <t>TX300237</t>
  </si>
  <si>
    <t>12:15</t>
  </si>
  <si>
    <t>TX300238</t>
  </si>
  <si>
    <t>21:30</t>
  </si>
  <si>
    <t>TX300239</t>
  </si>
  <si>
    <t>TX300240</t>
  </si>
  <si>
    <t>11:31</t>
  </si>
  <si>
    <t>TX300241</t>
  </si>
  <si>
    <t>9:44</t>
  </si>
  <si>
    <t>TX300242</t>
  </si>
  <si>
    <t>TX300243</t>
  </si>
  <si>
    <t>13:42</t>
  </si>
  <si>
    <t>TX300244</t>
  </si>
  <si>
    <t>TX300245</t>
  </si>
  <si>
    <t>14:03</t>
  </si>
  <si>
    <t>TX300246</t>
  </si>
  <si>
    <t>18:55</t>
  </si>
  <si>
    <t>TX300247</t>
  </si>
  <si>
    <t>11:40</t>
  </si>
  <si>
    <t>TX300248</t>
  </si>
  <si>
    <t>15:31</t>
  </si>
  <si>
    <t>TX300249</t>
  </si>
  <si>
    <t>13:39</t>
  </si>
  <si>
    <t>TX300250</t>
  </si>
  <si>
    <t>11:01</t>
  </si>
  <si>
    <t>TX300251</t>
  </si>
  <si>
    <t>13:19</t>
  </si>
  <si>
    <t>TX300252</t>
  </si>
  <si>
    <t>13:23</t>
  </si>
  <si>
    <t>TX300253</t>
  </si>
  <si>
    <t>19:53</t>
  </si>
  <si>
    <t>TX300254</t>
  </si>
  <si>
    <t>TX300255</t>
  </si>
  <si>
    <t>14:12</t>
  </si>
  <si>
    <t>TX300256</t>
  </si>
  <si>
    <t>15:18</t>
  </si>
  <si>
    <t>TX300257</t>
  </si>
  <si>
    <t>15:56</t>
  </si>
  <si>
    <t>TX300258</t>
  </si>
  <si>
    <t>TX300259</t>
  </si>
  <si>
    <t>11:22</t>
  </si>
  <si>
    <t>TX300260</t>
  </si>
  <si>
    <t>17:58</t>
  </si>
  <si>
    <t>TX300261</t>
  </si>
  <si>
    <t>TX300262</t>
  </si>
  <si>
    <t>15:23</t>
  </si>
  <si>
    <t>TX300263</t>
  </si>
  <si>
    <t>TX300264</t>
  </si>
  <si>
    <t>13:26</t>
  </si>
  <si>
    <t>TX300265</t>
  </si>
  <si>
    <t>TX300266</t>
  </si>
  <si>
    <t>18:05</t>
  </si>
  <si>
    <t>TX300267</t>
  </si>
  <si>
    <t>13:27</t>
  </si>
  <si>
    <t>TX300268</t>
  </si>
  <si>
    <t>TX300269</t>
  </si>
  <si>
    <t>16:02</t>
  </si>
  <si>
    <t>TX300270</t>
  </si>
  <si>
    <t>20:25</t>
  </si>
  <si>
    <t>TX300271</t>
  </si>
  <si>
    <t>10:43</t>
  </si>
  <si>
    <t>TX300272</t>
  </si>
  <si>
    <t>21:52</t>
  </si>
  <si>
    <t>TX300273</t>
  </si>
  <si>
    <t>11:27</t>
  </si>
  <si>
    <t>TX300274</t>
  </si>
  <si>
    <t>TX300275</t>
  </si>
  <si>
    <t>16:06</t>
  </si>
  <si>
    <t>TX300276</t>
  </si>
  <si>
    <t>17:40</t>
  </si>
  <si>
    <t>TX300277</t>
  </si>
  <si>
    <t>20:01</t>
  </si>
  <si>
    <t>TX300278</t>
  </si>
  <si>
    <t>9:58</t>
  </si>
  <si>
    <t>TX300279</t>
  </si>
  <si>
    <t>12:48</t>
  </si>
  <si>
    <t>TX300280</t>
  </si>
  <si>
    <t>13:10</t>
  </si>
  <si>
    <t>TX300281</t>
  </si>
  <si>
    <t>17:16</t>
  </si>
  <si>
    <t>TX300282</t>
  </si>
  <si>
    <t>11:30</t>
  </si>
  <si>
    <t>TX300283</t>
  </si>
  <si>
    <t>10:55</t>
  </si>
  <si>
    <t>TX300284</t>
  </si>
  <si>
    <t>TX300285</t>
  </si>
  <si>
    <t>15:15</t>
  </si>
  <si>
    <t>TX300286</t>
  </si>
  <si>
    <t>11:08</t>
  </si>
  <si>
    <t>TX300287</t>
  </si>
  <si>
    <t>TX300288</t>
  </si>
  <si>
    <t>13:05</t>
  </si>
  <si>
    <t>TX300289</t>
  </si>
  <si>
    <t>10:10</t>
  </si>
  <si>
    <t>TX300290</t>
  </si>
  <si>
    <t>19:48</t>
  </si>
  <si>
    <t>TX300291</t>
  </si>
  <si>
    <t>19:10</t>
  </si>
  <si>
    <t>TX300292</t>
  </si>
  <si>
    <t>TX300293</t>
  </si>
  <si>
    <t>10:46</t>
  </si>
  <si>
    <t>TX300294</t>
  </si>
  <si>
    <t>9:17</t>
  </si>
  <si>
    <t>TX300295</t>
  </si>
  <si>
    <t>TX300296</t>
  </si>
  <si>
    <t>TX300297</t>
  </si>
  <si>
    <t>9:21</t>
  </si>
  <si>
    <t>TX300298</t>
  </si>
  <si>
    <t>TX300299</t>
  </si>
  <si>
    <t>14:24</t>
  </si>
  <si>
    <t>TX300300</t>
  </si>
  <si>
    <t>TX300301</t>
  </si>
  <si>
    <t>20:26</t>
  </si>
  <si>
    <t>TX300302</t>
  </si>
  <si>
    <t>11:57</t>
  </si>
  <si>
    <t>TX300303</t>
  </si>
  <si>
    <t>TX300304</t>
  </si>
  <si>
    <t>TX300305</t>
  </si>
  <si>
    <t>14:47</t>
  </si>
  <si>
    <t>TX300306</t>
  </si>
  <si>
    <t>10:36</t>
  </si>
  <si>
    <t>TX300307</t>
  </si>
  <si>
    <t>9:03</t>
  </si>
  <si>
    <t>TX300308</t>
  </si>
  <si>
    <t>9:24</t>
  </si>
  <si>
    <t>TX300309</t>
  </si>
  <si>
    <t>9:05</t>
  </si>
  <si>
    <t>TX300310</t>
  </si>
  <si>
    <t>12:41</t>
  </si>
  <si>
    <t>TX300311</t>
  </si>
  <si>
    <t>15:33</t>
  </si>
  <si>
    <t>TX300312</t>
  </si>
  <si>
    <t>TX300313</t>
  </si>
  <si>
    <t>TX300314</t>
  </si>
  <si>
    <t>9:54</t>
  </si>
  <si>
    <t>TX300315</t>
  </si>
  <si>
    <t>12:45</t>
  </si>
  <si>
    <t>TX300316</t>
  </si>
  <si>
    <t>TX300317</t>
  </si>
  <si>
    <t>9:00</t>
  </si>
  <si>
    <t>TX300318</t>
  </si>
  <si>
    <t>18:24</t>
  </si>
  <si>
    <t>TX300319</t>
  </si>
  <si>
    <t>16:08</t>
  </si>
  <si>
    <t>TX300320</t>
  </si>
  <si>
    <t>10:47</t>
  </si>
  <si>
    <t>TX300321</t>
  </si>
  <si>
    <t>18:52</t>
  </si>
  <si>
    <t>TX300322</t>
  </si>
  <si>
    <t>TX300323</t>
  </si>
  <si>
    <t>9:12</t>
  </si>
  <si>
    <t>TX300324</t>
  </si>
  <si>
    <t>20:49</t>
  </si>
  <si>
    <t>TX300325</t>
  </si>
  <si>
    <t>9:13</t>
  </si>
  <si>
    <t>TX300326</t>
  </si>
  <si>
    <t>15:02</t>
  </si>
  <si>
    <t>TX300327</t>
  </si>
  <si>
    <t>TX300328</t>
  </si>
  <si>
    <t>TX300329</t>
  </si>
  <si>
    <t>10:42</t>
  </si>
  <si>
    <t>TX300330</t>
  </si>
  <si>
    <t>17:22</t>
  </si>
  <si>
    <t>TX300331</t>
  </si>
  <si>
    <t>TX300332</t>
  </si>
  <si>
    <t>19:30</t>
  </si>
  <si>
    <t>TX300333</t>
  </si>
  <si>
    <t>19:50</t>
  </si>
  <si>
    <t>TX300334</t>
  </si>
  <si>
    <t>10:49</t>
  </si>
  <si>
    <t>TX300335</t>
  </si>
  <si>
    <t>TX300336</t>
  </si>
  <si>
    <t>17:20</t>
  </si>
  <si>
    <t>TX300337</t>
  </si>
  <si>
    <t>TX300338</t>
  </si>
  <si>
    <t>19:20</t>
  </si>
  <si>
    <t>TX300339</t>
  </si>
  <si>
    <t>TX300340</t>
  </si>
  <si>
    <t>TX300341</t>
  </si>
  <si>
    <t>10:38</t>
  </si>
  <si>
    <t>TX300342</t>
  </si>
  <si>
    <t>TX300343</t>
  </si>
  <si>
    <t>TX300344</t>
  </si>
  <si>
    <t>TX300345</t>
  </si>
  <si>
    <t>9:22</t>
  </si>
  <si>
    <t>TX300346</t>
  </si>
  <si>
    <t>17:39</t>
  </si>
  <si>
    <t>TX300347</t>
  </si>
  <si>
    <t>16:52</t>
  </si>
  <si>
    <t>TX300348</t>
  </si>
  <si>
    <t>21:37</t>
  </si>
  <si>
    <t>TX300349</t>
  </si>
  <si>
    <t>11:05</t>
  </si>
  <si>
    <t>TX300350</t>
  </si>
  <si>
    <t>20:42</t>
  </si>
  <si>
    <t>TX300351</t>
  </si>
  <si>
    <t>12:58</t>
  </si>
  <si>
    <t>TX300352</t>
  </si>
  <si>
    <t>TX300353</t>
  </si>
  <si>
    <t>21:44</t>
  </si>
  <si>
    <t>TX300354</t>
  </si>
  <si>
    <t>TX300355</t>
  </si>
  <si>
    <t>10:23</t>
  </si>
  <si>
    <t>TX300356</t>
  </si>
  <si>
    <t>TX300357</t>
  </si>
  <si>
    <t>TX300358</t>
  </si>
  <si>
    <t>10:14</t>
  </si>
  <si>
    <t>TX300359</t>
  </si>
  <si>
    <t>TX300360</t>
  </si>
  <si>
    <t>21:58</t>
  </si>
  <si>
    <t>TX300361</t>
  </si>
  <si>
    <t>18:47</t>
  </si>
  <si>
    <t>TX300362</t>
  </si>
  <si>
    <t>18:00</t>
  </si>
  <si>
    <t>TX300363</t>
  </si>
  <si>
    <t>TX300364</t>
  </si>
  <si>
    <t>17:37</t>
  </si>
  <si>
    <t>TX300365</t>
  </si>
  <si>
    <t>13:13</t>
  </si>
  <si>
    <t>TX300366</t>
  </si>
  <si>
    <t>21:06</t>
  </si>
  <si>
    <t>TX300367</t>
  </si>
  <si>
    <t>13:59</t>
  </si>
  <si>
    <t>TX300368</t>
  </si>
  <si>
    <t>10:54</t>
  </si>
  <si>
    <t>TX300369</t>
  </si>
  <si>
    <t>TX300370</t>
  </si>
  <si>
    <t>16:04</t>
  </si>
  <si>
    <t>TX300371</t>
  </si>
  <si>
    <t>16:59</t>
  </si>
  <si>
    <t>TX300372</t>
  </si>
  <si>
    <t>20:59</t>
  </si>
  <si>
    <t>TX300373</t>
  </si>
  <si>
    <t>TX300374</t>
  </si>
  <si>
    <t>TX300375</t>
  </si>
  <si>
    <t>10:16</t>
  </si>
  <si>
    <t>TX300376</t>
  </si>
  <si>
    <t>9:35</t>
  </si>
  <si>
    <t>TX300377</t>
  </si>
  <si>
    <t>TX300378</t>
  </si>
  <si>
    <t>12:10</t>
  </si>
  <si>
    <t>TX300379</t>
  </si>
  <si>
    <t>12:54</t>
  </si>
  <si>
    <t>TX300380</t>
  </si>
  <si>
    <t>12:39</t>
  </si>
  <si>
    <t>TX300381</t>
  </si>
  <si>
    <t>20:17</t>
  </si>
  <si>
    <t>TX300382</t>
  </si>
  <si>
    <t>13:20</t>
  </si>
  <si>
    <t>TX300383</t>
  </si>
  <si>
    <t>9:37</t>
  </si>
  <si>
    <t>TX300384</t>
  </si>
  <si>
    <t>15:16</t>
  </si>
  <si>
    <t>TX300385</t>
  </si>
  <si>
    <t>TX300386</t>
  </si>
  <si>
    <t>15:38</t>
  </si>
  <si>
    <t>TX300387</t>
  </si>
  <si>
    <t>19:32</t>
  </si>
  <si>
    <t>TX300388</t>
  </si>
  <si>
    <t>21:34</t>
  </si>
  <si>
    <t>TX300389</t>
  </si>
  <si>
    <t>16:27</t>
  </si>
  <si>
    <t>TX300390</t>
  </si>
  <si>
    <t>9:19</t>
  </si>
  <si>
    <t>TX300391</t>
  </si>
  <si>
    <t>18:11</t>
  </si>
  <si>
    <t>TX300392</t>
  </si>
  <si>
    <t>TX300393</t>
  </si>
  <si>
    <t>12:29</t>
  </si>
  <si>
    <t>TX300394</t>
  </si>
  <si>
    <t>14:41</t>
  </si>
  <si>
    <t>TX300395</t>
  </si>
  <si>
    <t>TX300396</t>
  </si>
  <si>
    <t>21:17</t>
  </si>
  <si>
    <t>TX300397</t>
  </si>
  <si>
    <t>TX300398</t>
  </si>
  <si>
    <t>TX300399</t>
  </si>
  <si>
    <t>10:26</t>
  </si>
  <si>
    <t>TX300400</t>
  </si>
  <si>
    <t>16:45</t>
  </si>
  <si>
    <t>TX300401</t>
  </si>
  <si>
    <t>TX300402</t>
  </si>
  <si>
    <t>18:45</t>
  </si>
  <si>
    <t>TX300403</t>
  </si>
  <si>
    <t>TX300404</t>
  </si>
  <si>
    <t>TX300405</t>
  </si>
  <si>
    <t>16:30</t>
  </si>
  <si>
    <t>TX300406</t>
  </si>
  <si>
    <t>15:40</t>
  </si>
  <si>
    <t>TX300407</t>
  </si>
  <si>
    <t>TX300408</t>
  </si>
  <si>
    <t>11:28</t>
  </si>
  <si>
    <t>TX300409</t>
  </si>
  <si>
    <t>TX300410</t>
  </si>
  <si>
    <t>15:46</t>
  </si>
  <si>
    <t>TX300411</t>
  </si>
  <si>
    <t>16:38</t>
  </si>
  <si>
    <t>TX300412</t>
  </si>
  <si>
    <t>TX300413</t>
  </si>
  <si>
    <t>14:40</t>
  </si>
  <si>
    <t>TX300414</t>
  </si>
  <si>
    <t>11:47</t>
  </si>
  <si>
    <t>TX300415</t>
  </si>
  <si>
    <t>14:35</t>
  </si>
  <si>
    <t>TX300416</t>
  </si>
  <si>
    <t>13:43</t>
  </si>
  <si>
    <t>TX300417</t>
  </si>
  <si>
    <t>12:40</t>
  </si>
  <si>
    <t>TX300418</t>
  </si>
  <si>
    <t>TX300419</t>
  </si>
  <si>
    <t>11:11</t>
  </si>
  <si>
    <t>TX300420</t>
  </si>
  <si>
    <t>12:43</t>
  </si>
  <si>
    <t>TX300421</t>
  </si>
  <si>
    <t>16:31</t>
  </si>
  <si>
    <t>TX300422</t>
  </si>
  <si>
    <t>11:44</t>
  </si>
  <si>
    <t>TX300423</t>
  </si>
  <si>
    <t>TX300424</t>
  </si>
  <si>
    <t>9:38</t>
  </si>
  <si>
    <t>TX300425</t>
  </si>
  <si>
    <t>17:21</t>
  </si>
  <si>
    <t>TX300426</t>
  </si>
  <si>
    <t>TX300427</t>
  </si>
  <si>
    <t>TX300428</t>
  </si>
  <si>
    <t>14:19</t>
  </si>
  <si>
    <t>TX300429</t>
  </si>
  <si>
    <t>TX300430</t>
  </si>
  <si>
    <t>TX300431</t>
  </si>
  <si>
    <t>9:18</t>
  </si>
  <si>
    <t>TX300432</t>
  </si>
  <si>
    <t>20:45</t>
  </si>
  <si>
    <t>TX300433</t>
  </si>
  <si>
    <t>TX300434</t>
  </si>
  <si>
    <t>15:58</t>
  </si>
  <si>
    <t>TX300435</t>
  </si>
  <si>
    <t>10:20</t>
  </si>
  <si>
    <t>TX300436</t>
  </si>
  <si>
    <t>13:31</t>
  </si>
  <si>
    <t>TX300437</t>
  </si>
  <si>
    <t>TX300438</t>
  </si>
  <si>
    <t>TX300439</t>
  </si>
  <si>
    <t>14:15</t>
  </si>
  <si>
    <t>TX300440</t>
  </si>
  <si>
    <t>TX300441</t>
  </si>
  <si>
    <t>14:51</t>
  </si>
  <si>
    <t>TX300442</t>
  </si>
  <si>
    <t>TX300443</t>
  </si>
  <si>
    <t>13:03</t>
  </si>
  <si>
    <t>TX300444</t>
  </si>
  <si>
    <t>TX300445</t>
  </si>
  <si>
    <t>15:55</t>
  </si>
  <si>
    <t>TX300446</t>
  </si>
  <si>
    <t>12:32</t>
  </si>
  <si>
    <t>TX300447</t>
  </si>
  <si>
    <t>TX300448</t>
  </si>
  <si>
    <t>TX300449</t>
  </si>
  <si>
    <t>12:17</t>
  </si>
  <si>
    <t>TX300450</t>
  </si>
  <si>
    <t>20:38</t>
  </si>
  <si>
    <t>TX300451</t>
  </si>
  <si>
    <t>14:21</t>
  </si>
  <si>
    <t>TX300452</t>
  </si>
  <si>
    <t>17:56</t>
  </si>
  <si>
    <t>TX300453</t>
  </si>
  <si>
    <t>TX300454</t>
  </si>
  <si>
    <t>TX300455</t>
  </si>
  <si>
    <t>TX300456</t>
  </si>
  <si>
    <t>17:42</t>
  </si>
  <si>
    <t>TX300457</t>
  </si>
  <si>
    <t>TX300458</t>
  </si>
  <si>
    <t>TX300459</t>
  </si>
  <si>
    <t>TX300460</t>
  </si>
  <si>
    <t>TX300461</t>
  </si>
  <si>
    <t>TX300462</t>
  </si>
  <si>
    <t>TX300463</t>
  </si>
  <si>
    <t>12:06</t>
  </si>
  <si>
    <t>TX300464</t>
  </si>
  <si>
    <t>16:20</t>
  </si>
  <si>
    <t>TX300465</t>
  </si>
  <si>
    <t>12:01</t>
  </si>
  <si>
    <t>TX300466</t>
  </si>
  <si>
    <t>16:57</t>
  </si>
  <si>
    <t>TX300467</t>
  </si>
  <si>
    <t>19:16</t>
  </si>
  <si>
    <t>TX300468</t>
  </si>
  <si>
    <t>11:20</t>
  </si>
  <si>
    <t>TX300469</t>
  </si>
  <si>
    <t>16:19</t>
  </si>
  <si>
    <t>TX300470</t>
  </si>
  <si>
    <t>19:07</t>
  </si>
  <si>
    <t>TX300471</t>
  </si>
  <si>
    <t>TX300472</t>
  </si>
  <si>
    <t>17:50</t>
  </si>
  <si>
    <t>TX300473</t>
  </si>
  <si>
    <t>TX300474</t>
  </si>
  <si>
    <t>10:13</t>
  </si>
  <si>
    <t>TX300475</t>
  </si>
  <si>
    <t>14:39</t>
  </si>
  <si>
    <t>TX300476</t>
  </si>
  <si>
    <t>12:21</t>
  </si>
  <si>
    <t>TX300477</t>
  </si>
  <si>
    <t>15:47</t>
  </si>
  <si>
    <t>TX300478</t>
  </si>
  <si>
    <t>TX300479</t>
  </si>
  <si>
    <t>19:21</t>
  </si>
  <si>
    <t>TX300480</t>
  </si>
  <si>
    <t>13:24</t>
  </si>
  <si>
    <t>TX300481</t>
  </si>
  <si>
    <t>14:27</t>
  </si>
  <si>
    <t>TX300482</t>
  </si>
  <si>
    <t>TX300483</t>
  </si>
  <si>
    <t>18:41</t>
  </si>
  <si>
    <t>TX300484</t>
  </si>
  <si>
    <t>10:22</t>
  </si>
  <si>
    <t>TX300485</t>
  </si>
  <si>
    <t>TX300486</t>
  </si>
  <si>
    <t>17:46</t>
  </si>
  <si>
    <t>TX300487</t>
  </si>
  <si>
    <t>10:07</t>
  </si>
  <si>
    <t>TX300488</t>
  </si>
  <si>
    <t>TX300489</t>
  </si>
  <si>
    <t>TX300490</t>
  </si>
  <si>
    <t>12:33</t>
  </si>
  <si>
    <t>TX300491</t>
  </si>
  <si>
    <t>TX300492</t>
  </si>
  <si>
    <t>19:43</t>
  </si>
  <si>
    <t>TX300493</t>
  </si>
  <si>
    <t>TX300494</t>
  </si>
  <si>
    <t>TX300495</t>
  </si>
  <si>
    <t>21:13</t>
  </si>
  <si>
    <t>TX300496</t>
  </si>
  <si>
    <t>TX300497</t>
  </si>
  <si>
    <t>10:41</t>
  </si>
  <si>
    <t>TX300498</t>
  </si>
  <si>
    <t>TX300499</t>
  </si>
  <si>
    <t>18:38</t>
  </si>
  <si>
    <t>TX300500</t>
  </si>
  <si>
    <t>TX300501</t>
  </si>
  <si>
    <t>TX300502</t>
  </si>
  <si>
    <t>TX300503</t>
  </si>
  <si>
    <t>9:20</t>
  </si>
  <si>
    <t>TX300504</t>
  </si>
  <si>
    <t>9:41</t>
  </si>
  <si>
    <t>TX300505</t>
  </si>
  <si>
    <t>TX300506</t>
  </si>
  <si>
    <t>TX300507</t>
  </si>
  <si>
    <t>TX300508</t>
  </si>
  <si>
    <t>17:45</t>
  </si>
  <si>
    <t>TX300509</t>
  </si>
  <si>
    <t>19:02</t>
  </si>
  <si>
    <t>TX300510</t>
  </si>
  <si>
    <t>TX300511</t>
  </si>
  <si>
    <t>20:10</t>
  </si>
  <si>
    <t>TX300512</t>
  </si>
  <si>
    <t>TX300513</t>
  </si>
  <si>
    <t>18:32</t>
  </si>
  <si>
    <t>TX300514</t>
  </si>
  <si>
    <t>17:53</t>
  </si>
  <si>
    <t>TX300515</t>
  </si>
  <si>
    <t>17:14</t>
  </si>
  <si>
    <t>TX300516</t>
  </si>
  <si>
    <t>TX300517</t>
  </si>
  <si>
    <t>15:44</t>
  </si>
  <si>
    <t>TX300518</t>
  </si>
  <si>
    <t>TX300519</t>
  </si>
  <si>
    <t>TX300520</t>
  </si>
  <si>
    <t>10:09</t>
  </si>
  <si>
    <t>TX300521</t>
  </si>
  <si>
    <t>TX300522</t>
  </si>
  <si>
    <t>14:43</t>
  </si>
  <si>
    <t>TX300523</t>
  </si>
  <si>
    <t>TX300524</t>
  </si>
  <si>
    <t>12:57</t>
  </si>
  <si>
    <t>TX300525</t>
  </si>
  <si>
    <t>17:00</t>
  </si>
  <si>
    <t>TX300526</t>
  </si>
  <si>
    <t>19:29</t>
  </si>
  <si>
    <t>TX300527</t>
  </si>
  <si>
    <t>TX300528</t>
  </si>
  <si>
    <t>TX300529</t>
  </si>
  <si>
    <t>13:36</t>
  </si>
  <si>
    <t>TX300530</t>
  </si>
  <si>
    <t>20:28</t>
  </si>
  <si>
    <t>TX300531</t>
  </si>
  <si>
    <t>17:13</t>
  </si>
  <si>
    <t>TX300532</t>
  </si>
  <si>
    <t>12:18</t>
  </si>
  <si>
    <t>TX300533</t>
  </si>
  <si>
    <t>TX300534</t>
  </si>
  <si>
    <t>TX300535</t>
  </si>
  <si>
    <t>11:56</t>
  </si>
  <si>
    <t>TX300536</t>
  </si>
  <si>
    <t>13:11</t>
  </si>
  <si>
    <t>TX300537</t>
  </si>
  <si>
    <t>16:07</t>
  </si>
  <si>
    <t>TX300538</t>
  </si>
  <si>
    <t>TX300539</t>
  </si>
  <si>
    <t>TX300540</t>
  </si>
  <si>
    <t>TX300541</t>
  </si>
  <si>
    <t>TX300542</t>
  </si>
  <si>
    <t>TX300543</t>
  </si>
  <si>
    <t>TX300544</t>
  </si>
  <si>
    <t>TX300545</t>
  </si>
  <si>
    <t>TX300546</t>
  </si>
  <si>
    <t>16:05</t>
  </si>
  <si>
    <t>TX300547</t>
  </si>
  <si>
    <t>TX300548</t>
  </si>
  <si>
    <t>TX300549</t>
  </si>
  <si>
    <t>21:43</t>
  </si>
  <si>
    <t>TX300550</t>
  </si>
  <si>
    <t>15:26</t>
  </si>
  <si>
    <t>TX300551</t>
  </si>
  <si>
    <t>17:25</t>
  </si>
  <si>
    <t>TX300552</t>
  </si>
  <si>
    <t>TX300553</t>
  </si>
  <si>
    <t>TX300554</t>
  </si>
  <si>
    <t>TX300555</t>
  </si>
  <si>
    <t>TX300556</t>
  </si>
  <si>
    <t>20:58</t>
  </si>
  <si>
    <t>TX300557</t>
  </si>
  <si>
    <t>9:39</t>
  </si>
  <si>
    <t>TX300558</t>
  </si>
  <si>
    <t>20:23</t>
  </si>
  <si>
    <t>TX300559</t>
  </si>
  <si>
    <t>19:18</t>
  </si>
  <si>
    <t>TX300560</t>
  </si>
  <si>
    <t>TX300561</t>
  </si>
  <si>
    <t>TX300562</t>
  </si>
  <si>
    <t>21:45</t>
  </si>
  <si>
    <t>TX300563</t>
  </si>
  <si>
    <t>11:29</t>
  </si>
  <si>
    <t>TX300564</t>
  </si>
  <si>
    <t>10:18</t>
  </si>
  <si>
    <t>TX300565</t>
  </si>
  <si>
    <t>TX300566</t>
  </si>
  <si>
    <t>TX300567</t>
  </si>
  <si>
    <t>15:07</t>
  </si>
  <si>
    <t>TX300568</t>
  </si>
  <si>
    <t>TX300569</t>
  </si>
  <si>
    <t>TX300570</t>
  </si>
  <si>
    <t>TX300571</t>
  </si>
  <si>
    <t>16:18</t>
  </si>
  <si>
    <t>TX300572</t>
  </si>
  <si>
    <t>15:57</t>
  </si>
  <si>
    <t>TX300573</t>
  </si>
  <si>
    <t>15:04</t>
  </si>
  <si>
    <t>TX300574</t>
  </si>
  <si>
    <t>14:23</t>
  </si>
  <si>
    <t>TX300575</t>
  </si>
  <si>
    <t>TX300576</t>
  </si>
  <si>
    <t>TX300577</t>
  </si>
  <si>
    <t>TX300578</t>
  </si>
  <si>
    <t>17:18</t>
  </si>
  <si>
    <t>TX300579</t>
  </si>
  <si>
    <t>20:30</t>
  </si>
  <si>
    <t>TX300580</t>
  </si>
  <si>
    <t>17:08</t>
  </si>
  <si>
    <t>TX300581</t>
  </si>
  <si>
    <t>TX300582</t>
  </si>
  <si>
    <t>9:26</t>
  </si>
  <si>
    <t>TX300583</t>
  </si>
  <si>
    <t>15:35</t>
  </si>
  <si>
    <t>TX300584</t>
  </si>
  <si>
    <t>TX300585</t>
  </si>
  <si>
    <t>12:25</t>
  </si>
  <si>
    <t>TX300586</t>
  </si>
  <si>
    <t>TX300587</t>
  </si>
  <si>
    <t>TX300588</t>
  </si>
  <si>
    <t>TX300589</t>
  </si>
  <si>
    <t>10:06</t>
  </si>
  <si>
    <t>TX300590</t>
  </si>
  <si>
    <t>TX300591</t>
  </si>
  <si>
    <t>13:08</t>
  </si>
  <si>
    <t>TX300592</t>
  </si>
  <si>
    <t>TX300593</t>
  </si>
  <si>
    <t>TX300594</t>
  </si>
  <si>
    <t>TX300595</t>
  </si>
  <si>
    <t>TX300596</t>
  </si>
  <si>
    <t>15:36</t>
  </si>
  <si>
    <t>TX300597</t>
  </si>
  <si>
    <t>21:35</t>
  </si>
  <si>
    <t>TX300598</t>
  </si>
  <si>
    <t>12:46</t>
  </si>
  <si>
    <t>TX300599</t>
  </si>
  <si>
    <t>TX300600</t>
  </si>
  <si>
    <t>TX300601</t>
  </si>
  <si>
    <t>TX300602</t>
  </si>
  <si>
    <t>16:12</t>
  </si>
  <si>
    <t>TX300603</t>
  </si>
  <si>
    <t>18:56</t>
  </si>
  <si>
    <t>TX300604</t>
  </si>
  <si>
    <t>14:53</t>
  </si>
  <si>
    <t>TX300605</t>
  </si>
  <si>
    <t>10:44</t>
  </si>
  <si>
    <t>TX300606</t>
  </si>
  <si>
    <t>TX300607</t>
  </si>
  <si>
    <t>TX300608</t>
  </si>
  <si>
    <t>19:00</t>
  </si>
  <si>
    <t>TX300609</t>
  </si>
  <si>
    <t>TX300610</t>
  </si>
  <si>
    <t>13:07</t>
  </si>
  <si>
    <t>TX300611</t>
  </si>
  <si>
    <t>13:45</t>
  </si>
  <si>
    <t>TX300612</t>
  </si>
  <si>
    <t>TX300613</t>
  </si>
  <si>
    <t>TX300614</t>
  </si>
  <si>
    <t>TX300615</t>
  </si>
  <si>
    <t>TX300616</t>
  </si>
  <si>
    <t>TX300617</t>
  </si>
  <si>
    <t>TX300618</t>
  </si>
  <si>
    <t>TX300619</t>
  </si>
  <si>
    <t>TX300620</t>
  </si>
  <si>
    <t>TX300621</t>
  </si>
  <si>
    <t>TX300622</t>
  </si>
  <si>
    <t>TX300623</t>
  </si>
  <si>
    <t>17:26</t>
  </si>
  <si>
    <t>TX300624</t>
  </si>
  <si>
    <t>14:46</t>
  </si>
  <si>
    <t>TX300625</t>
  </si>
  <si>
    <t>TX300626</t>
  </si>
  <si>
    <t>TX300627</t>
  </si>
  <si>
    <t>17:59</t>
  </si>
  <si>
    <t>TX300628</t>
  </si>
  <si>
    <t>12:36</t>
  </si>
  <si>
    <t>TX300629</t>
  </si>
  <si>
    <t>TX300630</t>
  </si>
  <si>
    <t>16:58</t>
  </si>
  <si>
    <t>TX300631</t>
  </si>
  <si>
    <t>TX300632</t>
  </si>
  <si>
    <t>TX300633</t>
  </si>
  <si>
    <t>TX300634</t>
  </si>
  <si>
    <t>21:11</t>
  </si>
  <si>
    <t>TX300635</t>
  </si>
  <si>
    <t>TX300636</t>
  </si>
  <si>
    <t>TX300637</t>
  </si>
  <si>
    <t>21:23</t>
  </si>
  <si>
    <t>TX300638</t>
  </si>
  <si>
    <t>TX300639</t>
  </si>
  <si>
    <t>TX300640</t>
  </si>
  <si>
    <t>14:48</t>
  </si>
  <si>
    <t>TX300641</t>
  </si>
  <si>
    <t>TX300642</t>
  </si>
  <si>
    <t>9:45</t>
  </si>
  <si>
    <t>TX300643</t>
  </si>
  <si>
    <t>19:06</t>
  </si>
  <si>
    <t>TX300644</t>
  </si>
  <si>
    <t>TX300645</t>
  </si>
  <si>
    <t>11:09</t>
  </si>
  <si>
    <t>TX300646</t>
  </si>
  <si>
    <t>TX300647</t>
  </si>
  <si>
    <t>15:05</t>
  </si>
  <si>
    <t>TX300648</t>
  </si>
  <si>
    <t>16:03</t>
  </si>
  <si>
    <t>TX300649</t>
  </si>
  <si>
    <t>TX300650</t>
  </si>
  <si>
    <t>TX300651</t>
  </si>
  <si>
    <t>TX300652</t>
  </si>
  <si>
    <t>TX300653</t>
  </si>
  <si>
    <t>11:34</t>
  </si>
  <si>
    <t>TX300654</t>
  </si>
  <si>
    <t>TX300655</t>
  </si>
  <si>
    <t>20:04</t>
  </si>
  <si>
    <t>TX300656</t>
  </si>
  <si>
    <t>TX300657</t>
  </si>
  <si>
    <t>TX300658</t>
  </si>
  <si>
    <t>16:22</t>
  </si>
  <si>
    <t>TX300659</t>
  </si>
  <si>
    <t>TX300660</t>
  </si>
  <si>
    <t>21:32</t>
  </si>
  <si>
    <t>TX300661</t>
  </si>
  <si>
    <t>TX300662</t>
  </si>
  <si>
    <t>20:50</t>
  </si>
  <si>
    <t>TX300663</t>
  </si>
  <si>
    <t>TX300664</t>
  </si>
  <si>
    <t>TX300665</t>
  </si>
  <si>
    <t>TX300666</t>
  </si>
  <si>
    <t>14:22</t>
  </si>
  <si>
    <t>TX300667</t>
  </si>
  <si>
    <t>TX300668</t>
  </si>
  <si>
    <t>TX300669</t>
  </si>
  <si>
    <t>TX300670</t>
  </si>
  <si>
    <t>17:11</t>
  </si>
  <si>
    <t>TX300671</t>
  </si>
  <si>
    <t>10:11</t>
  </si>
  <si>
    <t>TX300672</t>
  </si>
  <si>
    <t>20:05</t>
  </si>
  <si>
    <t>TX300673</t>
  </si>
  <si>
    <t>TX300674</t>
  </si>
  <si>
    <t>TX300675</t>
  </si>
  <si>
    <t>TX300676</t>
  </si>
  <si>
    <t>12:19</t>
  </si>
  <si>
    <t>TX300677</t>
  </si>
  <si>
    <t>12:16</t>
  </si>
  <si>
    <t>TX300678</t>
  </si>
  <si>
    <t>16:37</t>
  </si>
  <si>
    <t>TX300679</t>
  </si>
  <si>
    <t>17:34</t>
  </si>
  <si>
    <t>TX300680</t>
  </si>
  <si>
    <t>16:14</t>
  </si>
  <si>
    <t>TX300681</t>
  </si>
  <si>
    <t>TX300682</t>
  </si>
  <si>
    <t>14:26</t>
  </si>
  <si>
    <t>TX300683</t>
  </si>
  <si>
    <t>10:30</t>
  </si>
  <si>
    <t>TX300684</t>
  </si>
  <si>
    <t>TX300685</t>
  </si>
  <si>
    <t>TX300686</t>
  </si>
  <si>
    <t>TX300687</t>
  </si>
  <si>
    <t>TX300688</t>
  </si>
  <si>
    <t>TX300689</t>
  </si>
  <si>
    <t>18:35</t>
  </si>
  <si>
    <t>TX300690</t>
  </si>
  <si>
    <t>TX300691</t>
  </si>
  <si>
    <t>TX300692</t>
  </si>
  <si>
    <t>11:38</t>
  </si>
  <si>
    <t>TX300693</t>
  </si>
  <si>
    <t>TX300694</t>
  </si>
  <si>
    <t>TX300695</t>
  </si>
  <si>
    <t>21:18</t>
  </si>
  <si>
    <t>TX300696</t>
  </si>
  <si>
    <t>TX300697</t>
  </si>
  <si>
    <t>TX300698</t>
  </si>
  <si>
    <t>16:13</t>
  </si>
  <si>
    <t>TX300699</t>
  </si>
  <si>
    <t>TX300700</t>
  </si>
  <si>
    <t>12:08</t>
  </si>
  <si>
    <t>TX300701</t>
  </si>
  <si>
    <t>13:00</t>
  </si>
  <si>
    <t>TX300702</t>
  </si>
  <si>
    <t>15:10</t>
  </si>
  <si>
    <t>TX300703</t>
  </si>
  <si>
    <t>TX300704</t>
  </si>
  <si>
    <t>21:56</t>
  </si>
  <si>
    <t>TX300705</t>
  </si>
  <si>
    <t>11:03</t>
  </si>
  <si>
    <t>TX300706</t>
  </si>
  <si>
    <t>19:24</t>
  </si>
  <si>
    <t>TX300707</t>
  </si>
  <si>
    <t>TX300708</t>
  </si>
  <si>
    <t>11:35</t>
  </si>
  <si>
    <t>TX300709</t>
  </si>
  <si>
    <t>TX300710</t>
  </si>
  <si>
    <t>TX300711</t>
  </si>
  <si>
    <t>TX300712</t>
  </si>
  <si>
    <t>18:14</t>
  </si>
  <si>
    <t>TX300713</t>
  </si>
  <si>
    <t>17:01</t>
  </si>
  <si>
    <t>TX300714</t>
  </si>
  <si>
    <t>14:45</t>
  </si>
  <si>
    <t>TX300715</t>
  </si>
  <si>
    <t>TX300716</t>
  </si>
  <si>
    <t>21:54</t>
  </si>
  <si>
    <t>TX300717</t>
  </si>
  <si>
    <t>TX300718</t>
  </si>
  <si>
    <t>13:29</t>
  </si>
  <si>
    <t>TX300719</t>
  </si>
  <si>
    <t>18:34</t>
  </si>
  <si>
    <t>TX300720</t>
  </si>
  <si>
    <t>TX300721</t>
  </si>
  <si>
    <t>13:53</t>
  </si>
  <si>
    <t>TX300722</t>
  </si>
  <si>
    <t>TX300723</t>
  </si>
  <si>
    <t>TX300724</t>
  </si>
  <si>
    <t>12:09</t>
  </si>
  <si>
    <t>TX300725</t>
  </si>
  <si>
    <t>21:42</t>
  </si>
  <si>
    <t>TX300726</t>
  </si>
  <si>
    <t>17:47</t>
  </si>
  <si>
    <t>TX300727</t>
  </si>
  <si>
    <t>TX300728</t>
  </si>
  <si>
    <t>TX300729</t>
  </si>
  <si>
    <t>TX300730</t>
  </si>
  <si>
    <t>TX300731</t>
  </si>
  <si>
    <t>TX300732</t>
  </si>
  <si>
    <t>TX300733</t>
  </si>
  <si>
    <t>15:20</t>
  </si>
  <si>
    <t>TX300734</t>
  </si>
  <si>
    <t>13:40</t>
  </si>
  <si>
    <t>TX300735</t>
  </si>
  <si>
    <t>12:26</t>
  </si>
  <si>
    <t>TX300736</t>
  </si>
  <si>
    <t>10:25</t>
  </si>
  <si>
    <t>TX300737</t>
  </si>
  <si>
    <t>TX300738</t>
  </si>
  <si>
    <t>TX300739</t>
  </si>
  <si>
    <t>TX300740</t>
  </si>
  <si>
    <t>11:50</t>
  </si>
  <si>
    <t>TX300741</t>
  </si>
  <si>
    <t>18:36</t>
  </si>
  <si>
    <t>TX300742</t>
  </si>
  <si>
    <t>TX300743</t>
  </si>
  <si>
    <t>TX300744</t>
  </si>
  <si>
    <t>18:30</t>
  </si>
  <si>
    <t>TX300745</t>
  </si>
  <si>
    <t>TX300746</t>
  </si>
  <si>
    <t>13:16</t>
  </si>
  <si>
    <t>TX300747</t>
  </si>
  <si>
    <t>TX300748</t>
  </si>
  <si>
    <t>13:14</t>
  </si>
  <si>
    <t>TX300749</t>
  </si>
  <si>
    <t>18:29</t>
  </si>
  <si>
    <t>TX300750</t>
  </si>
  <si>
    <t>TX300751</t>
  </si>
  <si>
    <t>TX300752</t>
  </si>
  <si>
    <t>TX300753</t>
  </si>
  <si>
    <t>TX300754</t>
  </si>
  <si>
    <t>18:48</t>
  </si>
  <si>
    <t>TX300755</t>
  </si>
  <si>
    <t>16:17</t>
  </si>
  <si>
    <t>TX300756</t>
  </si>
  <si>
    <t>TX300757</t>
  </si>
  <si>
    <t>16:49</t>
  </si>
  <si>
    <t>TX300758</t>
  </si>
  <si>
    <t>21:38</t>
  </si>
  <si>
    <t>TX300759</t>
  </si>
  <si>
    <t>TX300760</t>
  </si>
  <si>
    <t>TX300761</t>
  </si>
  <si>
    <t>TX300762</t>
  </si>
  <si>
    <t>10:51</t>
  </si>
  <si>
    <t>TX300763</t>
  </si>
  <si>
    <t>TX300764</t>
  </si>
  <si>
    <t>TX300765</t>
  </si>
  <si>
    <t>TX300766</t>
  </si>
  <si>
    <t>19:12</t>
  </si>
  <si>
    <t>TX300767</t>
  </si>
  <si>
    <t>19:08</t>
  </si>
  <si>
    <t>TX300768</t>
  </si>
  <si>
    <t>TX300769</t>
  </si>
  <si>
    <t>TX300770</t>
  </si>
  <si>
    <t>TX300771</t>
  </si>
  <si>
    <t>10:48</t>
  </si>
  <si>
    <t>TX300772</t>
  </si>
  <si>
    <t>19:41</t>
  </si>
  <si>
    <t>TX300773</t>
  </si>
  <si>
    <t>13:22</t>
  </si>
  <si>
    <t>TX300774</t>
  </si>
  <si>
    <t>TX300775</t>
  </si>
  <si>
    <t>19:01</t>
  </si>
  <si>
    <t>TX300776</t>
  </si>
  <si>
    <t>TX300777</t>
  </si>
  <si>
    <t>TX300778</t>
  </si>
  <si>
    <t>TX300779</t>
  </si>
  <si>
    <t>TX300780</t>
  </si>
  <si>
    <t>20:19</t>
  </si>
  <si>
    <t>TX300781</t>
  </si>
  <si>
    <t>TX300782</t>
  </si>
  <si>
    <t>TX300783</t>
  </si>
  <si>
    <t>10:15</t>
  </si>
  <si>
    <t>TX300784</t>
  </si>
  <si>
    <t>TX300785</t>
  </si>
  <si>
    <t>TX300786</t>
  </si>
  <si>
    <t>TX300787</t>
  </si>
  <si>
    <t>TX300788</t>
  </si>
  <si>
    <t>TX300789</t>
  </si>
  <si>
    <t>9:02</t>
  </si>
  <si>
    <t>TX300790</t>
  </si>
  <si>
    <t>11:39</t>
  </si>
  <si>
    <t>TX300791</t>
  </si>
  <si>
    <t>9:57</t>
  </si>
  <si>
    <t>TX300792</t>
  </si>
  <si>
    <t>TX300793</t>
  </si>
  <si>
    <t>21:19</t>
  </si>
  <si>
    <t>TX300794</t>
  </si>
  <si>
    <t>TX300795</t>
  </si>
  <si>
    <t>TX300796</t>
  </si>
  <si>
    <t>TX300797</t>
  </si>
  <si>
    <t>TX300798</t>
  </si>
  <si>
    <t>16:01</t>
  </si>
  <si>
    <t>TX300799</t>
  </si>
  <si>
    <t>TX300800</t>
  </si>
  <si>
    <t>TX300801</t>
  </si>
  <si>
    <t>TX300802</t>
  </si>
  <si>
    <t>20:55</t>
  </si>
  <si>
    <t>TX300803</t>
  </si>
  <si>
    <t>18:18</t>
  </si>
  <si>
    <t>TX300804</t>
  </si>
  <si>
    <t>TX300805</t>
  </si>
  <si>
    <t>TX300806</t>
  </si>
  <si>
    <t>9:16</t>
  </si>
  <si>
    <t>TX300807</t>
  </si>
  <si>
    <t>TX300808</t>
  </si>
  <si>
    <t>TX300809</t>
  </si>
  <si>
    <t>TX300810</t>
  </si>
  <si>
    <t>21:05</t>
  </si>
  <si>
    <t>TX300811</t>
  </si>
  <si>
    <t>TX300812</t>
  </si>
  <si>
    <t>TX300813</t>
  </si>
  <si>
    <t>17:15</t>
  </si>
  <si>
    <t>TX300814</t>
  </si>
  <si>
    <t>TX300815</t>
  </si>
  <si>
    <t>TX300816</t>
  </si>
  <si>
    <t>16:15</t>
  </si>
  <si>
    <t>TX300817</t>
  </si>
  <si>
    <t>TX300818</t>
  </si>
  <si>
    <t>TX300819</t>
  </si>
  <si>
    <t>TX300820</t>
  </si>
  <si>
    <t>TX300821</t>
  </si>
  <si>
    <t>TX300822</t>
  </si>
  <si>
    <t>TX300823</t>
  </si>
  <si>
    <t>TX300824</t>
  </si>
  <si>
    <t>TX300825</t>
  </si>
  <si>
    <t>TX300826</t>
  </si>
  <si>
    <t>TX300827</t>
  </si>
  <si>
    <t>TX300828</t>
  </si>
  <si>
    <t>TX300829</t>
  </si>
  <si>
    <t>TX300830</t>
  </si>
  <si>
    <t>17:35</t>
  </si>
  <si>
    <t>TX300831</t>
  </si>
  <si>
    <t>TX300832</t>
  </si>
  <si>
    <t>16:50</t>
  </si>
  <si>
    <t>TX300833</t>
  </si>
  <si>
    <t>TX300834</t>
  </si>
  <si>
    <t>12:51</t>
  </si>
  <si>
    <t>TX300835</t>
  </si>
  <si>
    <t>TX300836</t>
  </si>
  <si>
    <t>11:14</t>
  </si>
  <si>
    <t>TX300837</t>
  </si>
  <si>
    <t>20:11</t>
  </si>
  <si>
    <t>TX300838</t>
  </si>
  <si>
    <t>TX300839</t>
  </si>
  <si>
    <t>13:12</t>
  </si>
  <si>
    <t>TX300840</t>
  </si>
  <si>
    <t>17:43</t>
  </si>
  <si>
    <t>TX300841</t>
  </si>
  <si>
    <t>TX300842</t>
  </si>
  <si>
    <t>TX300843</t>
  </si>
  <si>
    <t>TX300844</t>
  </si>
  <si>
    <t>TX300845</t>
  </si>
  <si>
    <t>TX300846</t>
  </si>
  <si>
    <t>TX300847</t>
  </si>
  <si>
    <t>13:30</t>
  </si>
  <si>
    <t>TX300848</t>
  </si>
  <si>
    <t>TX300849</t>
  </si>
  <si>
    <t>TX300850</t>
  </si>
  <si>
    <t>TX300851</t>
  </si>
  <si>
    <t>TX300852</t>
  </si>
  <si>
    <t>10:33</t>
  </si>
  <si>
    <t>TX300853</t>
  </si>
  <si>
    <t>TX300854</t>
  </si>
  <si>
    <t>9:33</t>
  </si>
  <si>
    <t>TX300855</t>
  </si>
  <si>
    <t>TX300856</t>
  </si>
  <si>
    <t>TX300857</t>
  </si>
  <si>
    <t>15:09</t>
  </si>
  <si>
    <t>TX300858</t>
  </si>
  <si>
    <t>TX300859</t>
  </si>
  <si>
    <t>TX300860</t>
  </si>
  <si>
    <t>10:17</t>
  </si>
  <si>
    <t>TX300861</t>
  </si>
  <si>
    <t>11:46</t>
  </si>
  <si>
    <t>TX300862</t>
  </si>
  <si>
    <t>9:55</t>
  </si>
  <si>
    <t>TX300863</t>
  </si>
  <si>
    <t>TX300864</t>
  </si>
  <si>
    <t>TX300865</t>
  </si>
  <si>
    <t>18:06</t>
  </si>
  <si>
    <t>TX300866</t>
  </si>
  <si>
    <t>TX300867</t>
  </si>
  <si>
    <t>TX300868</t>
  </si>
  <si>
    <t>TX300869</t>
  </si>
  <si>
    <t>TX300870</t>
  </si>
  <si>
    <t>TX300871</t>
  </si>
  <si>
    <t>TX300872</t>
  </si>
  <si>
    <t>TX300873</t>
  </si>
  <si>
    <t>20:31</t>
  </si>
  <si>
    <t>TX300874</t>
  </si>
  <si>
    <t>TX300875</t>
  </si>
  <si>
    <t>14:16</t>
  </si>
  <si>
    <t>TX300876</t>
  </si>
  <si>
    <t>TX300877</t>
  </si>
  <si>
    <t>TX300878</t>
  </si>
  <si>
    <t>TX300879</t>
  </si>
  <si>
    <t>TX300880</t>
  </si>
  <si>
    <t>TX300881</t>
  </si>
  <si>
    <t>TX300882</t>
  </si>
  <si>
    <t>TX300883</t>
  </si>
  <si>
    <t>TX300884</t>
  </si>
  <si>
    <t>20:15</t>
  </si>
  <si>
    <t>TX300885</t>
  </si>
  <si>
    <t>TX300886</t>
  </si>
  <si>
    <t>TX300887</t>
  </si>
  <si>
    <t>TX300888</t>
  </si>
  <si>
    <t>TX300889</t>
  </si>
  <si>
    <t>TX300890</t>
  </si>
  <si>
    <t>15:52</t>
  </si>
  <si>
    <t>TX300891</t>
  </si>
  <si>
    <t>TX300892</t>
  </si>
  <si>
    <t>TX300893</t>
  </si>
  <si>
    <t>TX300894</t>
  </si>
  <si>
    <t>TX300895</t>
  </si>
  <si>
    <t>TX300896</t>
  </si>
  <si>
    <t>16:24</t>
  </si>
  <si>
    <t>TX300897</t>
  </si>
  <si>
    <t>17:29</t>
  </si>
  <si>
    <t>TX300898</t>
  </si>
  <si>
    <t>TX300899</t>
  </si>
  <si>
    <t>TX300900</t>
  </si>
  <si>
    <t>11:49</t>
  </si>
  <si>
    <t>TX300901</t>
  </si>
  <si>
    <t>TX300902</t>
  </si>
  <si>
    <t>TX300903</t>
  </si>
  <si>
    <t>18:13</t>
  </si>
  <si>
    <t>TX300904</t>
  </si>
  <si>
    <t>TX300905</t>
  </si>
  <si>
    <t>TX300906</t>
  </si>
  <si>
    <t>TX300907</t>
  </si>
  <si>
    <t>TX300908</t>
  </si>
  <si>
    <t>TX300909</t>
  </si>
  <si>
    <t>TX300910</t>
  </si>
  <si>
    <t>19:23</t>
  </si>
  <si>
    <t>TX300911</t>
  </si>
  <si>
    <t>TX300912</t>
  </si>
  <si>
    <t>TX300913</t>
  </si>
  <si>
    <t>TX300914</t>
  </si>
  <si>
    <t>TX300915</t>
  </si>
  <si>
    <t>10:53</t>
  </si>
  <si>
    <t>TX300916</t>
  </si>
  <si>
    <t>TX300917</t>
  </si>
  <si>
    <t>TX300918</t>
  </si>
  <si>
    <t>TX300919</t>
  </si>
  <si>
    <t>TX300920</t>
  </si>
  <si>
    <t>14:42</t>
  </si>
  <si>
    <t>TX300921</t>
  </si>
  <si>
    <t>12:42</t>
  </si>
  <si>
    <t>TX300922</t>
  </si>
  <si>
    <t>TX300923</t>
  </si>
  <si>
    <t>16:40</t>
  </si>
  <si>
    <t>TX300924</t>
  </si>
  <si>
    <t>TX300925</t>
  </si>
  <si>
    <t>TX300926</t>
  </si>
  <si>
    <t>TX300927</t>
  </si>
  <si>
    <t>18:09</t>
  </si>
  <si>
    <t>TX300928</t>
  </si>
  <si>
    <t>TX300929</t>
  </si>
  <si>
    <t>TX300930</t>
  </si>
  <si>
    <t>TX300931</t>
  </si>
  <si>
    <t>TX300932</t>
  </si>
  <si>
    <t>TX300933</t>
  </si>
  <si>
    <t>13:28</t>
  </si>
  <si>
    <t>TX300934</t>
  </si>
  <si>
    <t>TX300935</t>
  </si>
  <si>
    <t>16:16</t>
  </si>
  <si>
    <t>TX300936</t>
  </si>
  <si>
    <t>TX300937</t>
  </si>
  <si>
    <t>TX300938</t>
  </si>
  <si>
    <t>16:26</t>
  </si>
  <si>
    <t>TX300939</t>
  </si>
  <si>
    <t>TX300940</t>
  </si>
  <si>
    <t>13:33</t>
  </si>
  <si>
    <t>TX300941</t>
  </si>
  <si>
    <t>TX300942</t>
  </si>
  <si>
    <t>10:04</t>
  </si>
  <si>
    <t>TX300943</t>
  </si>
  <si>
    <t>TX300944</t>
  </si>
  <si>
    <t>TX300945</t>
  </si>
  <si>
    <t>TX300946</t>
  </si>
  <si>
    <t>15:17</t>
  </si>
  <si>
    <t>TX300947</t>
  </si>
  <si>
    <t>TX300948</t>
  </si>
  <si>
    <t>TX300949</t>
  </si>
  <si>
    <t>18:31</t>
  </si>
  <si>
    <t>TX300950</t>
  </si>
  <si>
    <t>TX300951</t>
  </si>
  <si>
    <t>TX300952</t>
  </si>
  <si>
    <t>TX300953</t>
  </si>
  <si>
    <t>TX300954</t>
  </si>
  <si>
    <t>TX300955</t>
  </si>
  <si>
    <t>TX300956</t>
  </si>
  <si>
    <t>10:31</t>
  </si>
  <si>
    <t>TX300957</t>
  </si>
  <si>
    <t>TX300958</t>
  </si>
  <si>
    <t>TX300959</t>
  </si>
  <si>
    <t>TX300960</t>
  </si>
  <si>
    <t>TX300961</t>
  </si>
  <si>
    <t>TX300962</t>
  </si>
  <si>
    <t>TX300963</t>
  </si>
  <si>
    <t>21:25</t>
  </si>
  <si>
    <t>TX300964</t>
  </si>
  <si>
    <t>TX300965</t>
  </si>
  <si>
    <t>TX300966</t>
  </si>
  <si>
    <t>TX300967</t>
  </si>
  <si>
    <t>TX300968</t>
  </si>
  <si>
    <t>14:00</t>
  </si>
  <si>
    <t>TX300969</t>
  </si>
  <si>
    <t>TX300970</t>
  </si>
  <si>
    <t>TX300971</t>
  </si>
  <si>
    <t>11:54</t>
  </si>
  <si>
    <t>TX300972</t>
  </si>
  <si>
    <t>TX300973</t>
  </si>
  <si>
    <t>9:46</t>
  </si>
  <si>
    <t>TX300974</t>
  </si>
  <si>
    <t>9:15</t>
  </si>
  <si>
    <t>TX300975</t>
  </si>
  <si>
    <t>TX300976</t>
  </si>
  <si>
    <t>13:06</t>
  </si>
  <si>
    <t>TX300977</t>
  </si>
  <si>
    <t>20:53</t>
  </si>
  <si>
    <t>TX300978</t>
  </si>
  <si>
    <t>10:28</t>
  </si>
  <si>
    <t>TX300979</t>
  </si>
  <si>
    <t>TX300980</t>
  </si>
  <si>
    <t>9:25</t>
  </si>
  <si>
    <t>TX300981</t>
  </si>
  <si>
    <t>TX300982</t>
  </si>
  <si>
    <t>13:17</t>
  </si>
  <si>
    <t>TX300983</t>
  </si>
  <si>
    <t>TX300984</t>
  </si>
  <si>
    <t>11:00</t>
  </si>
  <si>
    <t>TX300985</t>
  </si>
  <si>
    <t>17:24</t>
  </si>
  <si>
    <t>TX300986</t>
  </si>
  <si>
    <t>15:53</t>
  </si>
  <si>
    <t>TX300987</t>
  </si>
  <si>
    <t>TX300988</t>
  </si>
  <si>
    <t>TX300989</t>
  </si>
  <si>
    <t>TX300990</t>
  </si>
  <si>
    <t>TX300991</t>
  </si>
  <si>
    <t>TX300992</t>
  </si>
  <si>
    <t>TX300993</t>
  </si>
  <si>
    <t>TX300994</t>
  </si>
  <si>
    <t>TX300995</t>
  </si>
  <si>
    <t>TX300996</t>
  </si>
  <si>
    <t>TX300997</t>
  </si>
  <si>
    <t>TX300998</t>
  </si>
  <si>
    <t>21:04</t>
  </si>
  <si>
    <t>TX300999</t>
  </si>
  <si>
    <t>TX301000</t>
  </si>
  <si>
    <t>TX301001</t>
  </si>
  <si>
    <t>13:54</t>
  </si>
  <si>
    <t>TX301002</t>
  </si>
  <si>
    <t>15:00</t>
  </si>
  <si>
    <t>TX301003</t>
  </si>
  <si>
    <t>TX301004</t>
  </si>
  <si>
    <t>14:07</t>
  </si>
  <si>
    <t>TX301005</t>
  </si>
  <si>
    <t>TX301006</t>
  </si>
  <si>
    <t>14:05</t>
  </si>
  <si>
    <t>TX301007</t>
  </si>
  <si>
    <t>TX301008</t>
  </si>
  <si>
    <t>TX301009</t>
  </si>
  <si>
    <t>TX301010</t>
  </si>
  <si>
    <t>21:55</t>
  </si>
  <si>
    <t>TX301011</t>
  </si>
  <si>
    <t>TX301012</t>
  </si>
  <si>
    <t>15:19</t>
  </si>
  <si>
    <t>TX301013</t>
  </si>
  <si>
    <t>TX301014</t>
  </si>
  <si>
    <t>TX301015</t>
  </si>
  <si>
    <t>TX301016</t>
  </si>
  <si>
    <t>TX301017</t>
  </si>
  <si>
    <t>20:22</t>
  </si>
  <si>
    <t>TX301018</t>
  </si>
  <si>
    <t>TX301019</t>
  </si>
  <si>
    <t>TX301020</t>
  </si>
  <si>
    <t>TX301021</t>
  </si>
  <si>
    <t>TX301022</t>
  </si>
  <si>
    <t>TX301023</t>
  </si>
  <si>
    <t>TX301024</t>
  </si>
  <si>
    <t>17:04</t>
  </si>
  <si>
    <t>TX301025</t>
  </si>
  <si>
    <t>TX301026</t>
  </si>
  <si>
    <t>TX301027</t>
  </si>
  <si>
    <t>TX301028</t>
  </si>
  <si>
    <t>TX301029</t>
  </si>
  <si>
    <t>TX301030</t>
  </si>
  <si>
    <t>TX301031</t>
  </si>
  <si>
    <t>TX301032</t>
  </si>
  <si>
    <t>TX301033</t>
  </si>
  <si>
    <t>TX301034</t>
  </si>
  <si>
    <t>TX301035</t>
  </si>
  <si>
    <t>TX301036</t>
  </si>
  <si>
    <t>17:28</t>
  </si>
  <si>
    <t>TX301037</t>
  </si>
  <si>
    <t>TX301038</t>
  </si>
  <si>
    <t>TX301039</t>
  </si>
  <si>
    <t>18:50</t>
  </si>
  <si>
    <t>TX301040</t>
  </si>
  <si>
    <t>TX301041</t>
  </si>
  <si>
    <t>15:27</t>
  </si>
  <si>
    <t>TX301042</t>
  </si>
  <si>
    <t>TX301043</t>
  </si>
  <si>
    <t>21:26</t>
  </si>
  <si>
    <t>TX301044</t>
  </si>
  <si>
    <t>11:36</t>
  </si>
  <si>
    <t>TX301045</t>
  </si>
  <si>
    <t>TX301046</t>
  </si>
  <si>
    <t>TX301047</t>
  </si>
  <si>
    <t>TX301048</t>
  </si>
  <si>
    <t>TX301049</t>
  </si>
  <si>
    <t>TX301050</t>
  </si>
  <si>
    <t>TX301051</t>
  </si>
  <si>
    <t>TX301052</t>
  </si>
  <si>
    <t>TX301053</t>
  </si>
  <si>
    <t>TX301054</t>
  </si>
  <si>
    <t>TX301055</t>
  </si>
  <si>
    <t>TX301056</t>
  </si>
  <si>
    <t>19:28</t>
  </si>
  <si>
    <t>TX301057</t>
  </si>
  <si>
    <t>TX301058</t>
  </si>
  <si>
    <t>TX301059</t>
  </si>
  <si>
    <t>TX301060</t>
  </si>
  <si>
    <t>19:33</t>
  </si>
  <si>
    <t>TX301061</t>
  </si>
  <si>
    <t>TX301062</t>
  </si>
  <si>
    <t>19:49</t>
  </si>
  <si>
    <t>TX301063</t>
  </si>
  <si>
    <t>14:52</t>
  </si>
  <si>
    <t>TX301064</t>
  </si>
  <si>
    <t>11:02</t>
  </si>
  <si>
    <t>TX301065</t>
  </si>
  <si>
    <t>TX301066</t>
  </si>
  <si>
    <t>TX301067</t>
  </si>
  <si>
    <t>TX301068</t>
  </si>
  <si>
    <t>TX301069</t>
  </si>
  <si>
    <t>TX301070</t>
  </si>
  <si>
    <t>TX301071</t>
  </si>
  <si>
    <t>TX301072</t>
  </si>
  <si>
    <t>TX301073</t>
  </si>
  <si>
    <t>TX301074</t>
  </si>
  <si>
    <t>TX301075</t>
  </si>
  <si>
    <t>14:31</t>
  </si>
  <si>
    <t>TX301076</t>
  </si>
  <si>
    <t>10:00</t>
  </si>
  <si>
    <t>TX301077</t>
  </si>
  <si>
    <t>TX301078</t>
  </si>
  <si>
    <t>TX301079</t>
  </si>
  <si>
    <t>TX301080</t>
  </si>
  <si>
    <t>TX301081</t>
  </si>
  <si>
    <t>TX301082</t>
  </si>
  <si>
    <t>TX301083</t>
  </si>
  <si>
    <t>TX301084</t>
  </si>
  <si>
    <t>TX301085</t>
  </si>
  <si>
    <t>TX301086</t>
  </si>
  <si>
    <t>15:21</t>
  </si>
  <si>
    <t>TX301087</t>
  </si>
  <si>
    <t>TX301088</t>
  </si>
  <si>
    <t>TX301089</t>
  </si>
  <si>
    <t>TX301090</t>
  </si>
  <si>
    <t>TX301091</t>
  </si>
  <si>
    <t>TX301092</t>
  </si>
  <si>
    <t>TX301093</t>
  </si>
  <si>
    <t>TX301094</t>
  </si>
  <si>
    <t>TX301095</t>
  </si>
  <si>
    <t>TX301096</t>
  </si>
  <si>
    <t>TX301097</t>
  </si>
  <si>
    <t>13:41</t>
  </si>
  <si>
    <t>TX301098</t>
  </si>
  <si>
    <t>14:36</t>
  </si>
  <si>
    <t>TX301099</t>
  </si>
  <si>
    <t>TX301100</t>
  </si>
  <si>
    <t>TX301101</t>
  </si>
  <si>
    <t>TX301102</t>
  </si>
  <si>
    <t>TX301103</t>
  </si>
  <si>
    <t>TX301104</t>
  </si>
  <si>
    <t>TX301105</t>
  </si>
  <si>
    <t>TX301106</t>
  </si>
  <si>
    <t>14:01</t>
  </si>
  <si>
    <t>TX301107</t>
  </si>
  <si>
    <t>TX301108</t>
  </si>
  <si>
    <t>TX301109</t>
  </si>
  <si>
    <t>TX301110</t>
  </si>
  <si>
    <t>TX301111</t>
  </si>
  <si>
    <t>TX301112</t>
  </si>
  <si>
    <t>14:50</t>
  </si>
  <si>
    <t>TX301113</t>
  </si>
  <si>
    <t>21:14</t>
  </si>
  <si>
    <t>TX301114</t>
  </si>
  <si>
    <t>TX301115</t>
  </si>
  <si>
    <t>9:40</t>
  </si>
  <si>
    <t>TX301116</t>
  </si>
  <si>
    <t>TX301117</t>
  </si>
  <si>
    <t>TX301118</t>
  </si>
  <si>
    <t>TX301119</t>
  </si>
  <si>
    <t>TX301120</t>
  </si>
  <si>
    <t>TX301121</t>
  </si>
  <si>
    <t>TX301122</t>
  </si>
  <si>
    <t>9:51</t>
  </si>
  <si>
    <t>TX301123</t>
  </si>
  <si>
    <t>TX301124</t>
  </si>
  <si>
    <t>TX301125</t>
  </si>
  <si>
    <t>TX301126</t>
  </si>
  <si>
    <t>17:33</t>
  </si>
  <si>
    <t>TX301127</t>
  </si>
  <si>
    <t>TX301128</t>
  </si>
  <si>
    <t>13:51</t>
  </si>
  <si>
    <t>TX301129</t>
  </si>
  <si>
    <t>21:02</t>
  </si>
  <si>
    <t>TX301130</t>
  </si>
  <si>
    <t>15:48</t>
  </si>
  <si>
    <t>TX301131</t>
  </si>
  <si>
    <t>TX301132</t>
  </si>
  <si>
    <t>TX301133</t>
  </si>
  <si>
    <t>TX301134</t>
  </si>
  <si>
    <t>TX301135</t>
  </si>
  <si>
    <t>TX301136</t>
  </si>
  <si>
    <t>TX301137</t>
  </si>
  <si>
    <t>TX301138</t>
  </si>
  <si>
    <t>TX301139</t>
  </si>
  <si>
    <t>18:54</t>
  </si>
  <si>
    <t>TX301140</t>
  </si>
  <si>
    <t>TX301141</t>
  </si>
  <si>
    <t>TX301142</t>
  </si>
  <si>
    <t>TX301143</t>
  </si>
  <si>
    <t>TX301144</t>
  </si>
  <si>
    <t>TX301145</t>
  </si>
  <si>
    <t>TX301146</t>
  </si>
  <si>
    <t>12:05</t>
  </si>
  <si>
    <t>TX301147</t>
  </si>
  <si>
    <t>TX301148</t>
  </si>
  <si>
    <t>TX301149</t>
  </si>
  <si>
    <t>TX301150</t>
  </si>
  <si>
    <t>TX301151</t>
  </si>
  <si>
    <t>19:22</t>
  </si>
  <si>
    <t>TX301152</t>
  </si>
  <si>
    <t>TX301153</t>
  </si>
  <si>
    <t>TX301154</t>
  </si>
  <si>
    <t>TX301155</t>
  </si>
  <si>
    <t>TX301156</t>
  </si>
  <si>
    <t>13:25</t>
  </si>
  <si>
    <t>TX301157</t>
  </si>
  <si>
    <t>TX301158</t>
  </si>
  <si>
    <t>18:37</t>
  </si>
  <si>
    <t>TX301159</t>
  </si>
  <si>
    <t>16:00</t>
  </si>
  <si>
    <t>TX301160</t>
  </si>
  <si>
    <t>10:34</t>
  </si>
  <si>
    <t>TX301161</t>
  </si>
  <si>
    <t>TX301162</t>
  </si>
  <si>
    <t>TX301163</t>
  </si>
  <si>
    <t>20:48</t>
  </si>
  <si>
    <t>TX301164</t>
  </si>
  <si>
    <t>TX301165</t>
  </si>
  <si>
    <t>TX301166</t>
  </si>
  <si>
    <t>TX301167</t>
  </si>
  <si>
    <t>TX301168</t>
  </si>
  <si>
    <t>18:02</t>
  </si>
  <si>
    <t>TX301169</t>
  </si>
  <si>
    <t>TX301170</t>
  </si>
  <si>
    <t>TX301171</t>
  </si>
  <si>
    <t>9:08</t>
  </si>
  <si>
    <t>TX301172</t>
  </si>
  <si>
    <t>TX301173</t>
  </si>
  <si>
    <t>TX301174</t>
  </si>
  <si>
    <t>TX301175</t>
  </si>
  <si>
    <t>TX301176</t>
  </si>
  <si>
    <t>TX301177</t>
  </si>
  <si>
    <t>15:28</t>
  </si>
  <si>
    <t>TX301178</t>
  </si>
  <si>
    <t>TX301179</t>
  </si>
  <si>
    <t>TX301180</t>
  </si>
  <si>
    <t>TX301181</t>
  </si>
  <si>
    <t>21:21</t>
  </si>
  <si>
    <t>TX301182</t>
  </si>
  <si>
    <t>TX301183</t>
  </si>
  <si>
    <t>TX301184</t>
  </si>
  <si>
    <t>10:37</t>
  </si>
  <si>
    <t>TX301185</t>
  </si>
  <si>
    <t>18:01</t>
  </si>
  <si>
    <t>TX301186</t>
  </si>
  <si>
    <t>TX301187</t>
  </si>
  <si>
    <t>TX301188</t>
  </si>
  <si>
    <t>TX301189</t>
  </si>
  <si>
    <t>TX301190</t>
  </si>
  <si>
    <t>TX301191</t>
  </si>
  <si>
    <t>TX301192</t>
  </si>
  <si>
    <t>13:02</t>
  </si>
  <si>
    <t>TX301193</t>
  </si>
  <si>
    <t>11:45</t>
  </si>
  <si>
    <t>TX301194</t>
  </si>
  <si>
    <t>TX301195</t>
  </si>
  <si>
    <t>TX301196</t>
  </si>
  <si>
    <t>TX301197</t>
  </si>
  <si>
    <t>TX301198</t>
  </si>
  <si>
    <t>TX301199</t>
  </si>
  <si>
    <t>TX301200</t>
  </si>
  <si>
    <t>TX301201</t>
  </si>
  <si>
    <t>TX301202</t>
  </si>
  <si>
    <t>TX301203</t>
  </si>
  <si>
    <t>TX301204</t>
  </si>
  <si>
    <t>TX301205</t>
  </si>
  <si>
    <t>TX301206</t>
  </si>
  <si>
    <t>TX301207</t>
  </si>
  <si>
    <t>TX301208</t>
  </si>
  <si>
    <t>21:28</t>
  </si>
  <si>
    <t>TX301209</t>
  </si>
  <si>
    <t>TX301210</t>
  </si>
  <si>
    <t>TX301211</t>
  </si>
  <si>
    <t>TX301212</t>
  </si>
  <si>
    <t>TX301213</t>
  </si>
  <si>
    <t>TX301214</t>
  </si>
  <si>
    <t>TX301215</t>
  </si>
  <si>
    <t>TX301216</t>
  </si>
  <si>
    <t>TX301217</t>
  </si>
  <si>
    <t>TX301218</t>
  </si>
  <si>
    <t>TX301219</t>
  </si>
  <si>
    <t>19:09</t>
  </si>
  <si>
    <t>TX301220</t>
  </si>
  <si>
    <t>TX301221</t>
  </si>
  <si>
    <t>TX301222</t>
  </si>
  <si>
    <t>TX301223</t>
  </si>
  <si>
    <t>20:16</t>
  </si>
  <si>
    <t>TX301224</t>
  </si>
  <si>
    <t>TX301225</t>
  </si>
  <si>
    <t>TX301226</t>
  </si>
  <si>
    <t>TX301227</t>
  </si>
  <si>
    <t>TX301228</t>
  </si>
  <si>
    <t>TX301229</t>
  </si>
  <si>
    <t>TX301230</t>
  </si>
  <si>
    <t>TX301231</t>
  </si>
  <si>
    <t>TX301232</t>
  </si>
  <si>
    <t>TX301233</t>
  </si>
  <si>
    <t>TX301234</t>
  </si>
  <si>
    <t>15:54</t>
  </si>
  <si>
    <t>TX301235</t>
  </si>
  <si>
    <t>TX301236</t>
  </si>
  <si>
    <t>TX301237</t>
  </si>
  <si>
    <t>TX301238</t>
  </si>
  <si>
    <t>TX301239</t>
  </si>
  <si>
    <t>TX301240</t>
  </si>
  <si>
    <t>18:20</t>
  </si>
  <si>
    <t>TX301241</t>
  </si>
  <si>
    <t>14:44</t>
  </si>
  <si>
    <t>TX301242</t>
  </si>
  <si>
    <t>TX301243</t>
  </si>
  <si>
    <t>TX301244</t>
  </si>
  <si>
    <t>17:55</t>
  </si>
  <si>
    <t>TX301245</t>
  </si>
  <si>
    <t>20:46</t>
  </si>
  <si>
    <t>TX301246</t>
  </si>
  <si>
    <t>TX301247</t>
  </si>
  <si>
    <t>TX301248</t>
  </si>
  <si>
    <t>TX301249</t>
  </si>
  <si>
    <t>12:14</t>
  </si>
  <si>
    <t>TX301250</t>
  </si>
  <si>
    <t>TX301251</t>
  </si>
  <si>
    <t>TX301252</t>
  </si>
  <si>
    <t>16:09</t>
  </si>
  <si>
    <t>TX301253</t>
  </si>
  <si>
    <t>TX301254</t>
  </si>
  <si>
    <t>TX301255</t>
  </si>
  <si>
    <t>TX301256</t>
  </si>
  <si>
    <t>TX301257</t>
  </si>
  <si>
    <t>18:10</t>
  </si>
  <si>
    <t>TX301258</t>
  </si>
  <si>
    <t>13:48</t>
  </si>
  <si>
    <t>TX301259</t>
  </si>
  <si>
    <t>TX301260</t>
  </si>
  <si>
    <t>TX301261</t>
  </si>
  <si>
    <t>TX301262</t>
  </si>
  <si>
    <t>TX301263</t>
  </si>
  <si>
    <t>TX301264</t>
  </si>
  <si>
    <t>17:38</t>
  </si>
  <si>
    <t>TX301265</t>
  </si>
  <si>
    <t>TX301266</t>
  </si>
  <si>
    <t>TX301267</t>
  </si>
  <si>
    <t>TX301268</t>
  </si>
  <si>
    <t>TX301269</t>
  </si>
  <si>
    <t>TX301270</t>
  </si>
  <si>
    <t>TX301271</t>
  </si>
  <si>
    <t>12:12</t>
  </si>
  <si>
    <t>TX301272</t>
  </si>
  <si>
    <t>11:19</t>
  </si>
  <si>
    <t>TX301273</t>
  </si>
  <si>
    <t>TX301274</t>
  </si>
  <si>
    <t>TX301275</t>
  </si>
  <si>
    <t>TX301276</t>
  </si>
  <si>
    <t>TX301277</t>
  </si>
  <si>
    <t>TX301278</t>
  </si>
  <si>
    <t>9:14</t>
  </si>
  <si>
    <t>TX301279</t>
  </si>
  <si>
    <t>TX301280</t>
  </si>
  <si>
    <t>TX301281</t>
  </si>
  <si>
    <t>TX301282</t>
  </si>
  <si>
    <t>TX301283</t>
  </si>
  <si>
    <t>TX301284</t>
  </si>
  <si>
    <t>TX301285</t>
  </si>
  <si>
    <t>TX301286</t>
  </si>
  <si>
    <t>TX301287</t>
  </si>
  <si>
    <t>TX301288</t>
  </si>
  <si>
    <t>12:24</t>
  </si>
  <si>
    <t>TX301289</t>
  </si>
  <si>
    <t>TX301290</t>
  </si>
  <si>
    <t>TX301291</t>
  </si>
  <si>
    <t>TX301292</t>
  </si>
  <si>
    <t>16:32</t>
  </si>
  <si>
    <t>TX301293</t>
  </si>
  <si>
    <t>12:07</t>
  </si>
  <si>
    <t>TX301294</t>
  </si>
  <si>
    <t>TX301295</t>
  </si>
  <si>
    <t>TX301296</t>
  </si>
  <si>
    <t>TX301297</t>
  </si>
  <si>
    <t>TX301298</t>
  </si>
  <si>
    <t>TX301299</t>
  </si>
  <si>
    <t>TX301300</t>
  </si>
  <si>
    <t>TX301301</t>
  </si>
  <si>
    <t>TX301302</t>
  </si>
  <si>
    <t>TX301303</t>
  </si>
  <si>
    <t>TX301304</t>
  </si>
  <si>
    <t>TX301305</t>
  </si>
  <si>
    <t>TX301306</t>
  </si>
  <si>
    <t>21:48</t>
  </si>
  <si>
    <t>TX301307</t>
  </si>
  <si>
    <t>TX301308</t>
  </si>
  <si>
    <t>TX301309</t>
  </si>
  <si>
    <t>TX301310</t>
  </si>
  <si>
    <t>TX301311</t>
  </si>
  <si>
    <t>TX301312</t>
  </si>
  <si>
    <t>TX301313</t>
  </si>
  <si>
    <t>TX301314</t>
  </si>
  <si>
    <t>TX301315</t>
  </si>
  <si>
    <t>TX301316</t>
  </si>
  <si>
    <t>TX301317</t>
  </si>
  <si>
    <t>TX301318</t>
  </si>
  <si>
    <t>TX301319</t>
  </si>
  <si>
    <t>TX301320</t>
  </si>
  <si>
    <t>TX301321</t>
  </si>
  <si>
    <t>TX301322</t>
  </si>
  <si>
    <t>TX301323</t>
  </si>
  <si>
    <t>TX301324</t>
  </si>
  <si>
    <t>TX301325</t>
  </si>
  <si>
    <t>TX301326</t>
  </si>
  <si>
    <t>TX301327</t>
  </si>
  <si>
    <t>12:11</t>
  </si>
  <si>
    <t>TX301328</t>
  </si>
  <si>
    <t>TX301329</t>
  </si>
  <si>
    <t>16:23</t>
  </si>
  <si>
    <t>TX301330</t>
  </si>
  <si>
    <t>14:55</t>
  </si>
  <si>
    <t>TX301331</t>
  </si>
  <si>
    <t>TX301332</t>
  </si>
  <si>
    <t>TX301333</t>
  </si>
  <si>
    <t>13:15</t>
  </si>
  <si>
    <t>TX301334</t>
  </si>
  <si>
    <t>TX301335</t>
  </si>
  <si>
    <t>TX301336</t>
  </si>
  <si>
    <t>TX301337</t>
  </si>
  <si>
    <t>TX301338</t>
  </si>
  <si>
    <t>TX301339</t>
  </si>
  <si>
    <t>TX301340</t>
  </si>
  <si>
    <t>TX301341</t>
  </si>
  <si>
    <t>17:09</t>
  </si>
  <si>
    <t>TX301342</t>
  </si>
  <si>
    <t>TX301343</t>
  </si>
  <si>
    <t>TX301344</t>
  </si>
  <si>
    <t>TX301345</t>
  </si>
  <si>
    <t>TX301346</t>
  </si>
  <si>
    <t>TX301347</t>
  </si>
  <si>
    <t>TX301348</t>
  </si>
  <si>
    <t>19:56</t>
  </si>
  <si>
    <t>TX301349</t>
  </si>
  <si>
    <t>TX301350</t>
  </si>
  <si>
    <t>TX301351</t>
  </si>
  <si>
    <t>TX301352</t>
  </si>
  <si>
    <t>TX301353</t>
  </si>
  <si>
    <t>12:55</t>
  </si>
  <si>
    <t>TX301354</t>
  </si>
  <si>
    <t>TX301355</t>
  </si>
  <si>
    <t>TX301356</t>
  </si>
  <si>
    <t>13:32</t>
  </si>
  <si>
    <t>TX301357</t>
  </si>
  <si>
    <t>TX301358</t>
  </si>
  <si>
    <t>TX301359</t>
  </si>
  <si>
    <t>10:50</t>
  </si>
  <si>
    <t>TX301360</t>
  </si>
  <si>
    <t>TX301361</t>
  </si>
  <si>
    <t>TX301362</t>
  </si>
  <si>
    <t>TX301363</t>
  </si>
  <si>
    <t>TX301364</t>
  </si>
  <si>
    <t>14:17</t>
  </si>
  <si>
    <t>TX301365</t>
  </si>
  <si>
    <t>TX301366</t>
  </si>
  <si>
    <t>TX301367</t>
  </si>
  <si>
    <t>TX301368</t>
  </si>
  <si>
    <t>TX301369</t>
  </si>
  <si>
    <t>TX301370</t>
  </si>
  <si>
    <t>TX301371</t>
  </si>
  <si>
    <t>10:52</t>
  </si>
  <si>
    <t>TX301372</t>
  </si>
  <si>
    <t>9:29</t>
  </si>
  <si>
    <t>TX301373</t>
  </si>
  <si>
    <t>TX301374</t>
  </si>
  <si>
    <t>TX301375</t>
  </si>
  <si>
    <t>TX301376</t>
  </si>
  <si>
    <t>TX301377</t>
  </si>
  <si>
    <t>TX301378</t>
  </si>
  <si>
    <t>TX301379</t>
  </si>
  <si>
    <t>TX301380</t>
  </si>
  <si>
    <t>18:03</t>
  </si>
  <si>
    <t>TX301381</t>
  </si>
  <si>
    <t>TX301382</t>
  </si>
  <si>
    <t>TX301383</t>
  </si>
  <si>
    <t>TX301384</t>
  </si>
  <si>
    <t>TX301385</t>
  </si>
  <si>
    <t>TX301386</t>
  </si>
  <si>
    <t>TX301387</t>
  </si>
  <si>
    <t>19:59</t>
  </si>
  <si>
    <t>TX301388</t>
  </si>
  <si>
    <t>TX301389</t>
  </si>
  <si>
    <t>TX301390</t>
  </si>
  <si>
    <t>TX301391</t>
  </si>
  <si>
    <t>TX301392</t>
  </si>
  <si>
    <t>TX301393</t>
  </si>
  <si>
    <t>TX301394</t>
  </si>
  <si>
    <t>TX301395</t>
  </si>
  <si>
    <t>18:17</t>
  </si>
  <si>
    <t>TX301396</t>
  </si>
  <si>
    <t>TX301397</t>
  </si>
  <si>
    <t>16:29</t>
  </si>
  <si>
    <t>TX301398</t>
  </si>
  <si>
    <t>9:34</t>
  </si>
  <si>
    <t>TX301399</t>
  </si>
  <si>
    <t>TX301400</t>
  </si>
  <si>
    <t>TX301401</t>
  </si>
  <si>
    <t>TX301402</t>
  </si>
  <si>
    <t>TX301403</t>
  </si>
  <si>
    <t>TX301404</t>
  </si>
  <si>
    <t>TX301405</t>
  </si>
  <si>
    <t>TX301406</t>
  </si>
  <si>
    <t>10:40</t>
  </si>
  <si>
    <t>TX301407</t>
  </si>
  <si>
    <t>TX301408</t>
  </si>
  <si>
    <t>TX301409</t>
  </si>
  <si>
    <t>TX301410</t>
  </si>
  <si>
    <t>TX301411</t>
  </si>
  <si>
    <t>TX301412</t>
  </si>
  <si>
    <t>TX301413</t>
  </si>
  <si>
    <t>TX301414</t>
  </si>
  <si>
    <t>21:47</t>
  </si>
  <si>
    <t>TX301415</t>
  </si>
  <si>
    <t>TX301416</t>
  </si>
  <si>
    <t>TX301417</t>
  </si>
  <si>
    <t>11:32</t>
  </si>
  <si>
    <t>TX301418</t>
  </si>
  <si>
    <t>TX301419</t>
  </si>
  <si>
    <t>TX301420</t>
  </si>
  <si>
    <t>TX301421</t>
  </si>
  <si>
    <t>TX301422</t>
  </si>
  <si>
    <t>TX301423</t>
  </si>
  <si>
    <t>17:02</t>
  </si>
  <si>
    <t>TX301424</t>
  </si>
  <si>
    <t>TX301425</t>
  </si>
  <si>
    <t>20:37</t>
  </si>
  <si>
    <t>TX301426</t>
  </si>
  <si>
    <t>TX301427</t>
  </si>
  <si>
    <t>TX301428</t>
  </si>
  <si>
    <t>TX301429</t>
  </si>
  <si>
    <t>TX301430</t>
  </si>
  <si>
    <t>TX301431</t>
  </si>
  <si>
    <t>12:53</t>
  </si>
  <si>
    <t>TX301432</t>
  </si>
  <si>
    <t>12:20</t>
  </si>
  <si>
    <t>TX301433</t>
  </si>
  <si>
    <t>TX301434</t>
  </si>
  <si>
    <t>TX301435</t>
  </si>
  <si>
    <t>TX301436</t>
  </si>
  <si>
    <t>TX301437</t>
  </si>
  <si>
    <t>TX301438</t>
  </si>
  <si>
    <t>TX301439</t>
  </si>
  <si>
    <t>TX301440</t>
  </si>
  <si>
    <t>TX301441</t>
  </si>
  <si>
    <t>TX301442</t>
  </si>
  <si>
    <t>TX301443</t>
  </si>
  <si>
    <t>TX301444</t>
  </si>
  <si>
    <t>14:58</t>
  </si>
  <si>
    <t>TX301445</t>
  </si>
  <si>
    <t>TX301446</t>
  </si>
  <si>
    <t>TX301447</t>
  </si>
  <si>
    <t>TX301448</t>
  </si>
  <si>
    <t>TX301449</t>
  </si>
  <si>
    <t>TX301450</t>
  </si>
  <si>
    <t>TX301451</t>
  </si>
  <si>
    <t>TX301452</t>
  </si>
  <si>
    <t>TX301453</t>
  </si>
  <si>
    <t>TX301454</t>
  </si>
  <si>
    <t>TX301455</t>
  </si>
  <si>
    <t>TX301456</t>
  </si>
  <si>
    <t>TX301457</t>
  </si>
  <si>
    <t>15:24</t>
  </si>
  <si>
    <t>TX301458</t>
  </si>
  <si>
    <t>18:58</t>
  </si>
  <si>
    <t>TX301459</t>
  </si>
  <si>
    <t>TX301460</t>
  </si>
  <si>
    <t>TX301461</t>
  </si>
  <si>
    <t>15:59</t>
  </si>
  <si>
    <t>TX301462</t>
  </si>
  <si>
    <t>16:51</t>
  </si>
  <si>
    <t>TX301463</t>
  </si>
  <si>
    <t>TX301464</t>
  </si>
  <si>
    <t>TX301465</t>
  </si>
  <si>
    <t>TX301466</t>
  </si>
  <si>
    <t>TX301467</t>
  </si>
  <si>
    <t>TX301468</t>
  </si>
  <si>
    <t>TX301469</t>
  </si>
  <si>
    <t>TX301470</t>
  </si>
  <si>
    <t>TX301471</t>
  </si>
  <si>
    <t>TX301472</t>
  </si>
  <si>
    <t>TX301473</t>
  </si>
  <si>
    <t>TX301474</t>
  </si>
  <si>
    <t>TX301475</t>
  </si>
  <si>
    <t>TX301476</t>
  </si>
  <si>
    <t>TX301477</t>
  </si>
  <si>
    <t>TX301478</t>
  </si>
  <si>
    <t>TX301479</t>
  </si>
  <si>
    <t>TX301480</t>
  </si>
  <si>
    <t>TX301481</t>
  </si>
  <si>
    <t>18:23</t>
  </si>
  <si>
    <t>TX301482</t>
  </si>
  <si>
    <t>TX301483</t>
  </si>
  <si>
    <t>TX301484</t>
  </si>
  <si>
    <t>TX301485</t>
  </si>
  <si>
    <t>TX301486</t>
  </si>
  <si>
    <t>TX301487</t>
  </si>
  <si>
    <t>TX301488</t>
  </si>
  <si>
    <t>TX301489</t>
  </si>
  <si>
    <t>TX301490</t>
  </si>
  <si>
    <t>TX301491</t>
  </si>
  <si>
    <t>TX301492</t>
  </si>
  <si>
    <t>TX301493</t>
  </si>
  <si>
    <t>10:03</t>
  </si>
  <si>
    <t>TX301494</t>
  </si>
  <si>
    <t>TX301495</t>
  </si>
  <si>
    <t>TX301496</t>
  </si>
  <si>
    <t>TX301497</t>
  </si>
  <si>
    <t>TX301498</t>
  </si>
  <si>
    <t>TX301499</t>
  </si>
  <si>
    <t>TX301500</t>
  </si>
  <si>
    <t>TX301501</t>
  </si>
  <si>
    <t>TX301502</t>
  </si>
  <si>
    <t>TX301503</t>
  </si>
  <si>
    <t>TX301504</t>
  </si>
  <si>
    <t>TX301505</t>
  </si>
  <si>
    <t>TX301506</t>
  </si>
  <si>
    <t>TX301507</t>
  </si>
  <si>
    <t>TX301508</t>
  </si>
  <si>
    <t>15:43</t>
  </si>
  <si>
    <t>TX301509</t>
  </si>
  <si>
    <t>TX301510</t>
  </si>
  <si>
    <t>TX301511</t>
  </si>
  <si>
    <t>TX301512</t>
  </si>
  <si>
    <t>TX301513</t>
  </si>
  <si>
    <t>TX301514</t>
  </si>
  <si>
    <t>TX301515</t>
  </si>
  <si>
    <t>TX301516</t>
  </si>
  <si>
    <t>TX301517</t>
  </si>
  <si>
    <t>TX301518</t>
  </si>
  <si>
    <t>TX301519</t>
  </si>
  <si>
    <t>TX301520</t>
  </si>
  <si>
    <t>TX301521</t>
  </si>
  <si>
    <t>TX301522</t>
  </si>
  <si>
    <t>TX301523</t>
  </si>
  <si>
    <t>17:32</t>
  </si>
  <si>
    <t>TX301524</t>
  </si>
  <si>
    <t>TX301525</t>
  </si>
  <si>
    <t>TX301526</t>
  </si>
  <si>
    <t>TX301527</t>
  </si>
  <si>
    <t>TX301528</t>
  </si>
  <si>
    <t>TX301529</t>
  </si>
  <si>
    <t>14:32</t>
  </si>
  <si>
    <t>TX301530</t>
  </si>
  <si>
    <t>19:52</t>
  </si>
  <si>
    <t>TX301531</t>
  </si>
  <si>
    <t>12:27</t>
  </si>
  <si>
    <t>TX301532</t>
  </si>
  <si>
    <t>TX301533</t>
  </si>
  <si>
    <t>TX301534</t>
  </si>
  <si>
    <t>TX301535</t>
  </si>
  <si>
    <t>TX301536</t>
  </si>
  <si>
    <t>TX301537</t>
  </si>
  <si>
    <t>TX301538</t>
  </si>
  <si>
    <t>TX301539</t>
  </si>
  <si>
    <t>TX301540</t>
  </si>
  <si>
    <t>TX301541</t>
  </si>
  <si>
    <t>TX301542</t>
  </si>
  <si>
    <t>TX301543</t>
  </si>
  <si>
    <t>TX301544</t>
  </si>
  <si>
    <t>TX301545</t>
  </si>
  <si>
    <t>11:17</t>
  </si>
  <si>
    <t>TX301546</t>
  </si>
  <si>
    <t>TX301547</t>
  </si>
  <si>
    <t>16:11</t>
  </si>
  <si>
    <t>TX301548</t>
  </si>
  <si>
    <t>TX301549</t>
  </si>
  <si>
    <t>TX301550</t>
  </si>
  <si>
    <t>TX301551</t>
  </si>
  <si>
    <t>TX301552</t>
  </si>
  <si>
    <t>9:59</t>
  </si>
  <si>
    <t>TX301553</t>
  </si>
  <si>
    <t>TX301554</t>
  </si>
  <si>
    <t>TX301555</t>
  </si>
  <si>
    <t>TX301556</t>
  </si>
  <si>
    <t>TX301557</t>
  </si>
  <si>
    <t>TX301558</t>
  </si>
  <si>
    <t>TX301559</t>
  </si>
  <si>
    <t>TX301560</t>
  </si>
  <si>
    <t>TX301561</t>
  </si>
  <si>
    <t>TX301562</t>
  </si>
  <si>
    <t>TX301563</t>
  </si>
  <si>
    <t>TX301564</t>
  </si>
  <si>
    <t>TX301565</t>
  </si>
  <si>
    <t>TX301566</t>
  </si>
  <si>
    <t>TX301567</t>
  </si>
  <si>
    <t>TX301568</t>
  </si>
  <si>
    <t>TX301569</t>
  </si>
  <si>
    <t>TX301570</t>
  </si>
  <si>
    <t>TX301571</t>
  </si>
  <si>
    <t>10:57</t>
  </si>
  <si>
    <t>TX301572</t>
  </si>
  <si>
    <t>TX301573</t>
  </si>
  <si>
    <t>TX301574</t>
  </si>
  <si>
    <t>TX301575</t>
  </si>
  <si>
    <t>TX301576</t>
  </si>
  <si>
    <t>TX301577</t>
  </si>
  <si>
    <t>TX301578</t>
  </si>
  <si>
    <t>TX301579</t>
  </si>
  <si>
    <t>TX301580</t>
  </si>
  <si>
    <t>TX301581</t>
  </si>
  <si>
    <t>20:51</t>
  </si>
  <si>
    <t>TX301582</t>
  </si>
  <si>
    <t>19:45</t>
  </si>
  <si>
    <t>TX301583</t>
  </si>
  <si>
    <t>TX301584</t>
  </si>
  <si>
    <t>TX301585</t>
  </si>
  <si>
    <t>TX301586</t>
  </si>
  <si>
    <t>TX301587</t>
  </si>
  <si>
    <t>TX301588</t>
  </si>
  <si>
    <t>TX301589</t>
  </si>
  <si>
    <t>TX301590</t>
  </si>
  <si>
    <t>TX301591</t>
  </si>
  <si>
    <t>TX301592</t>
  </si>
  <si>
    <t>TX301593</t>
  </si>
  <si>
    <t>TX301594</t>
  </si>
  <si>
    <t>TX301595</t>
  </si>
  <si>
    <t>20:35</t>
  </si>
  <si>
    <t>TX301596</t>
  </si>
  <si>
    <t>TX301597</t>
  </si>
  <si>
    <t>TX301598</t>
  </si>
  <si>
    <t>TX301599</t>
  </si>
  <si>
    <t>15:51</t>
  </si>
  <si>
    <t>TX301600</t>
  </si>
  <si>
    <t>TX301601</t>
  </si>
  <si>
    <t>TX301602</t>
  </si>
  <si>
    <t>14:02</t>
  </si>
  <si>
    <t>TX301603</t>
  </si>
  <si>
    <t>TX301604</t>
  </si>
  <si>
    <t>TX301605</t>
  </si>
  <si>
    <t>TX301606</t>
  </si>
  <si>
    <t>21:57</t>
  </si>
  <si>
    <t>TX301607</t>
  </si>
  <si>
    <t>TX301608</t>
  </si>
  <si>
    <t>TX301609</t>
  </si>
  <si>
    <t>TX301610</t>
  </si>
  <si>
    <t>TX301611</t>
  </si>
  <si>
    <t>TX301612</t>
  </si>
  <si>
    <t>TX301613</t>
  </si>
  <si>
    <t>TX301614</t>
  </si>
  <si>
    <t>11:04</t>
  </si>
  <si>
    <t>TX301615</t>
  </si>
  <si>
    <t>TX301616</t>
  </si>
  <si>
    <t>TX301617</t>
  </si>
  <si>
    <t>13:56</t>
  </si>
  <si>
    <t>TX301618</t>
  </si>
  <si>
    <t>TX301619</t>
  </si>
  <si>
    <t>TX301620</t>
  </si>
  <si>
    <t>17:57</t>
  </si>
  <si>
    <t>TX301621</t>
  </si>
  <si>
    <t>TX301622</t>
  </si>
  <si>
    <t>TX301623</t>
  </si>
  <si>
    <t>TX301624</t>
  </si>
  <si>
    <t>TX301625</t>
  </si>
  <si>
    <t>TX301626</t>
  </si>
  <si>
    <t>TX301627</t>
  </si>
  <si>
    <t>TX301628</t>
  </si>
  <si>
    <t>TX301629</t>
  </si>
  <si>
    <t>TX301630</t>
  </si>
  <si>
    <t>TX301631</t>
  </si>
  <si>
    <t>18:27</t>
  </si>
  <si>
    <t>TX301632</t>
  </si>
  <si>
    <t>TX301633</t>
  </si>
  <si>
    <t>TX301634</t>
  </si>
  <si>
    <t>TX301635</t>
  </si>
  <si>
    <t>TX301636</t>
  </si>
  <si>
    <t>TX301637</t>
  </si>
  <si>
    <t>TX301638</t>
  </si>
  <si>
    <t>TX301639</t>
  </si>
  <si>
    <t>11:24</t>
  </si>
  <si>
    <t>TX301640</t>
  </si>
  <si>
    <t>TX301641</t>
  </si>
  <si>
    <t>TX301642</t>
  </si>
  <si>
    <t>TX301643</t>
  </si>
  <si>
    <t>TX301644</t>
  </si>
  <si>
    <t>TX301645</t>
  </si>
  <si>
    <t>TX301646</t>
  </si>
  <si>
    <t>TX301647</t>
  </si>
  <si>
    <t>TX301648</t>
  </si>
  <si>
    <t>TX301649</t>
  </si>
  <si>
    <t>TX301650</t>
  </si>
  <si>
    <t>TX301651</t>
  </si>
  <si>
    <t>TX301652</t>
  </si>
  <si>
    <t>TX301653</t>
  </si>
  <si>
    <t>TX301654</t>
  </si>
  <si>
    <t>TX301655</t>
  </si>
  <si>
    <t>12:13</t>
  </si>
  <si>
    <t>TX301656</t>
  </si>
  <si>
    <t>TX301657</t>
  </si>
  <si>
    <t>TX301658</t>
  </si>
  <si>
    <t>TX301659</t>
  </si>
  <si>
    <t>TX301660</t>
  </si>
  <si>
    <t>TX301661</t>
  </si>
  <si>
    <t>TX301662</t>
  </si>
  <si>
    <t>TX301663</t>
  </si>
  <si>
    <t>TX301664</t>
  </si>
  <si>
    <t>TX301665</t>
  </si>
  <si>
    <t>TX301666</t>
  </si>
  <si>
    <t>13:21</t>
  </si>
  <si>
    <t>TX301667</t>
  </si>
  <si>
    <t>TX301668</t>
  </si>
  <si>
    <t>TX301669</t>
  </si>
  <si>
    <t>TX301670</t>
  </si>
  <si>
    <t>TX301671</t>
  </si>
  <si>
    <t>TX301672</t>
  </si>
  <si>
    <t>TX301673</t>
  </si>
  <si>
    <t>TX301674</t>
  </si>
  <si>
    <t>TX301675</t>
  </si>
  <si>
    <t>TX301676</t>
  </si>
  <si>
    <t>TX301677</t>
  </si>
  <si>
    <t>TX301678</t>
  </si>
  <si>
    <t>TX301679</t>
  </si>
  <si>
    <t>TX301680</t>
  </si>
  <si>
    <t>20:40</t>
  </si>
  <si>
    <t>TX301681</t>
  </si>
  <si>
    <t>TX301682</t>
  </si>
  <si>
    <t>TX301683</t>
  </si>
  <si>
    <t>TX301684</t>
  </si>
  <si>
    <t>TX301685</t>
  </si>
  <si>
    <t>TX301686</t>
  </si>
  <si>
    <t>TX301687</t>
  </si>
  <si>
    <t>TX301688</t>
  </si>
  <si>
    <t>TX301689</t>
  </si>
  <si>
    <t>TX301690</t>
  </si>
  <si>
    <t>TX301691</t>
  </si>
  <si>
    <t>TX301692</t>
  </si>
  <si>
    <t>16:54</t>
  </si>
  <si>
    <t>TX301693</t>
  </si>
  <si>
    <t>TX301694</t>
  </si>
  <si>
    <t>TX301695</t>
  </si>
  <si>
    <t>TX301696</t>
  </si>
  <si>
    <t>20:44</t>
  </si>
  <si>
    <t>TX301697</t>
  </si>
  <si>
    <t>TX301698</t>
  </si>
  <si>
    <t>TX301699</t>
  </si>
  <si>
    <t>TX301700</t>
  </si>
  <si>
    <t>TX301701</t>
  </si>
  <si>
    <t>TX301702</t>
  </si>
  <si>
    <t>TX301703</t>
  </si>
  <si>
    <t>TX301704</t>
  </si>
  <si>
    <t>11:23</t>
  </si>
  <si>
    <t>TX301705</t>
  </si>
  <si>
    <t>TX301706</t>
  </si>
  <si>
    <t>TX301707</t>
  </si>
  <si>
    <t>TX301708</t>
  </si>
  <si>
    <t>TX301709</t>
  </si>
  <si>
    <t>TX301710</t>
  </si>
  <si>
    <t>TX301711</t>
  </si>
  <si>
    <t>TX301712</t>
  </si>
  <si>
    <t>TX301713</t>
  </si>
  <si>
    <t>TX301714</t>
  </si>
  <si>
    <t>13:46</t>
  </si>
  <si>
    <t>TX301715</t>
  </si>
  <si>
    <t>TX301716</t>
  </si>
  <si>
    <t>TX301717</t>
  </si>
  <si>
    <t>TX301718</t>
  </si>
  <si>
    <t>TX301719</t>
  </si>
  <si>
    <t>TX301720</t>
  </si>
  <si>
    <t>TX301721</t>
  </si>
  <si>
    <t>TX301722</t>
  </si>
  <si>
    <t>TX301723</t>
  </si>
  <si>
    <t>18:08</t>
  </si>
  <si>
    <t>TX301724</t>
  </si>
  <si>
    <t>TX301725</t>
  </si>
  <si>
    <t>TX301726</t>
  </si>
  <si>
    <t>TX301727</t>
  </si>
  <si>
    <t>TX301728</t>
  </si>
  <si>
    <t>TX301729</t>
  </si>
  <si>
    <t>TX301730</t>
  </si>
  <si>
    <t>TX301731</t>
  </si>
  <si>
    <t>TX301732</t>
  </si>
  <si>
    <t>TX301733</t>
  </si>
  <si>
    <t>TX301734</t>
  </si>
  <si>
    <t>TX301735</t>
  </si>
  <si>
    <t>TX301736</t>
  </si>
  <si>
    <t>TX301737</t>
  </si>
  <si>
    <t>TX301738</t>
  </si>
  <si>
    <t>TX301739</t>
  </si>
  <si>
    <t>TX301740</t>
  </si>
  <si>
    <t>TX301741</t>
  </si>
  <si>
    <t>TX301742</t>
  </si>
  <si>
    <t>TX301743</t>
  </si>
  <si>
    <t>15:37</t>
  </si>
  <si>
    <t>TX301744</t>
  </si>
  <si>
    <t>TX301745</t>
  </si>
  <si>
    <t>TX301746</t>
  </si>
  <si>
    <t>TX301747</t>
  </si>
  <si>
    <t>TX301748</t>
  </si>
  <si>
    <t>TX301749</t>
  </si>
  <si>
    <t>TX301750</t>
  </si>
  <si>
    <t>12:56</t>
  </si>
  <si>
    <t>TX301751</t>
  </si>
  <si>
    <t>TX301752</t>
  </si>
  <si>
    <t>20:07</t>
  </si>
  <si>
    <t>TX301753</t>
  </si>
  <si>
    <t>TX301754</t>
  </si>
  <si>
    <t>TX301755</t>
  </si>
  <si>
    <t>TX301756</t>
  </si>
  <si>
    <t>TX301757</t>
  </si>
  <si>
    <t>TX301758</t>
  </si>
  <si>
    <t>TX301759</t>
  </si>
  <si>
    <t>TX301760</t>
  </si>
  <si>
    <t>TX301761</t>
  </si>
  <si>
    <t>TX301762</t>
  </si>
  <si>
    <t>TX301763</t>
  </si>
  <si>
    <t>TX301764</t>
  </si>
  <si>
    <t>TX301765</t>
  </si>
  <si>
    <t>TX301766</t>
  </si>
  <si>
    <t>TX301767</t>
  </si>
  <si>
    <t>TX301768</t>
  </si>
  <si>
    <t>TX301769</t>
  </si>
  <si>
    <t>13:04</t>
  </si>
  <si>
    <t>TX301770</t>
  </si>
  <si>
    <t>TX301771</t>
  </si>
  <si>
    <t>TX301772</t>
  </si>
  <si>
    <t>TX301773</t>
  </si>
  <si>
    <t>TX301774</t>
  </si>
  <si>
    <t>TX301775</t>
  </si>
  <si>
    <t>TX301776</t>
  </si>
  <si>
    <t>TX301777</t>
  </si>
  <si>
    <t>TX301778</t>
  </si>
  <si>
    <t>TX301779</t>
  </si>
  <si>
    <t>TX301780</t>
  </si>
  <si>
    <t>TX301781</t>
  </si>
  <si>
    <t>TX301782</t>
  </si>
  <si>
    <t>TX301783</t>
  </si>
  <si>
    <t>TX301784</t>
  </si>
  <si>
    <t>14:09</t>
  </si>
  <si>
    <t>TX301785</t>
  </si>
  <si>
    <t>TX301786</t>
  </si>
  <si>
    <t>TX301787</t>
  </si>
  <si>
    <t>21:09</t>
  </si>
  <si>
    <t>TX301788</t>
  </si>
  <si>
    <t>TX301789</t>
  </si>
  <si>
    <t>TX301790</t>
  </si>
  <si>
    <t>TX301791</t>
  </si>
  <si>
    <t>TX301792</t>
  </si>
  <si>
    <t>TX301793</t>
  </si>
  <si>
    <t>TX301794</t>
  </si>
  <si>
    <t>TX301795</t>
  </si>
  <si>
    <t>TX301796</t>
  </si>
  <si>
    <t>TX301797</t>
  </si>
  <si>
    <t>TX301798</t>
  </si>
  <si>
    <t>TX301799</t>
  </si>
  <si>
    <t>TX301800</t>
  </si>
  <si>
    <t>TX301801</t>
  </si>
  <si>
    <t>TX301802</t>
  </si>
  <si>
    <t>TX301803</t>
  </si>
  <si>
    <t>TX301804</t>
  </si>
  <si>
    <t>TX301805</t>
  </si>
  <si>
    <t>TX301806</t>
  </si>
  <si>
    <t>TX301807</t>
  </si>
  <si>
    <t>TX301808</t>
  </si>
  <si>
    <t>TX301809</t>
  </si>
  <si>
    <t>TX301810</t>
  </si>
  <si>
    <t>TX301811</t>
  </si>
  <si>
    <t>TX301812</t>
  </si>
  <si>
    <t>TX301813</t>
  </si>
  <si>
    <t>20:52</t>
  </si>
  <si>
    <t>TX301814</t>
  </si>
  <si>
    <t>TX301815</t>
  </si>
  <si>
    <t>TX301816</t>
  </si>
  <si>
    <t>10:29</t>
  </si>
  <si>
    <t>TX301817</t>
  </si>
  <si>
    <t>15:12</t>
  </si>
  <si>
    <t>TX301818</t>
  </si>
  <si>
    <t>TX301819</t>
  </si>
  <si>
    <t>TX301820</t>
  </si>
  <si>
    <t>TX301821</t>
  </si>
  <si>
    <t>TX301822</t>
  </si>
  <si>
    <t>19:36</t>
  </si>
  <si>
    <t>TX301823</t>
  </si>
  <si>
    <t>TX301824</t>
  </si>
  <si>
    <t>TX301825</t>
  </si>
  <si>
    <t>TX301826</t>
  </si>
  <si>
    <t>TX301827</t>
  </si>
  <si>
    <t>TX301828</t>
  </si>
  <si>
    <t>TX301829</t>
  </si>
  <si>
    <t>TX301830</t>
  </si>
  <si>
    <t>TX301831</t>
  </si>
  <si>
    <t>TX301832</t>
  </si>
  <si>
    <t>TX301833</t>
  </si>
  <si>
    <t>TX301834</t>
  </si>
  <si>
    <t>TX301835</t>
  </si>
  <si>
    <t>9:01</t>
  </si>
  <si>
    <t>TX301836</t>
  </si>
  <si>
    <t>TX301837</t>
  </si>
  <si>
    <t>19:55</t>
  </si>
  <si>
    <t>TX301838</t>
  </si>
  <si>
    <t>TX301839</t>
  </si>
  <si>
    <t>15:32</t>
  </si>
  <si>
    <t>TX301840</t>
  </si>
  <si>
    <t>TX301841</t>
  </si>
  <si>
    <t>TX301842</t>
  </si>
  <si>
    <t>TX301843</t>
  </si>
  <si>
    <t>TX301844</t>
  </si>
  <si>
    <t>TX301845</t>
  </si>
  <si>
    <t>TX301846</t>
  </si>
  <si>
    <t>TX301847</t>
  </si>
  <si>
    <t>TX301848</t>
  </si>
  <si>
    <t>TX301849</t>
  </si>
  <si>
    <t>TX301850</t>
  </si>
  <si>
    <t>21:53</t>
  </si>
  <si>
    <t>TX301851</t>
  </si>
  <si>
    <t>TX301852</t>
  </si>
  <si>
    <t>TX301853</t>
  </si>
  <si>
    <t>TX301854</t>
  </si>
  <si>
    <t>TX301855</t>
  </si>
  <si>
    <t>TX301856</t>
  </si>
  <si>
    <t>TX301857</t>
  </si>
  <si>
    <t>TX301858</t>
  </si>
  <si>
    <t>TX301859</t>
  </si>
  <si>
    <t>TX301860</t>
  </si>
  <si>
    <t>TX301861</t>
  </si>
  <si>
    <t>TX301862</t>
  </si>
  <si>
    <t>TX301863</t>
  </si>
  <si>
    <t>TX301864</t>
  </si>
  <si>
    <t>TX301865</t>
  </si>
  <si>
    <t>TX301866</t>
  </si>
  <si>
    <t>TX301867</t>
  </si>
  <si>
    <t>TX301868</t>
  </si>
  <si>
    <t>TX301869</t>
  </si>
  <si>
    <t>TX301870</t>
  </si>
  <si>
    <t>TX301871</t>
  </si>
  <si>
    <t>TX301872</t>
  </si>
  <si>
    <t>TX301873</t>
  </si>
  <si>
    <t>TX301874</t>
  </si>
  <si>
    <t>TX301875</t>
  </si>
  <si>
    <t>TX301876</t>
  </si>
  <si>
    <t>TX301877</t>
  </si>
  <si>
    <t>TX301878</t>
  </si>
  <si>
    <t>TX301879</t>
  </si>
  <si>
    <t>TX301880</t>
  </si>
  <si>
    <t>TX301881</t>
  </si>
  <si>
    <t>TX301882</t>
  </si>
  <si>
    <t>TX301883</t>
  </si>
  <si>
    <t>TX301884</t>
  </si>
  <si>
    <t>TX301885</t>
  </si>
  <si>
    <t>13:44</t>
  </si>
  <si>
    <t>TX301886</t>
  </si>
  <si>
    <t>TX301887</t>
  </si>
  <si>
    <t>TX301888</t>
  </si>
  <si>
    <t>TX301889</t>
  </si>
  <si>
    <t>TX301890</t>
  </si>
  <si>
    <t>TX301891</t>
  </si>
  <si>
    <t>TX301892</t>
  </si>
  <si>
    <t>TX301893</t>
  </si>
  <si>
    <t>20:12</t>
  </si>
  <si>
    <t>TX301894</t>
  </si>
  <si>
    <t>TX301895</t>
  </si>
  <si>
    <t>TX301896</t>
  </si>
  <si>
    <t>TX301897</t>
  </si>
  <si>
    <t>TX301898</t>
  </si>
  <si>
    <t>TX301899</t>
  </si>
  <si>
    <t>11:41</t>
  </si>
  <si>
    <t>TX301900</t>
  </si>
  <si>
    <t>TX301901</t>
  </si>
  <si>
    <t>TX301902</t>
  </si>
  <si>
    <t>TX301903</t>
  </si>
  <si>
    <t>TX301904</t>
  </si>
  <si>
    <t>TX301905</t>
  </si>
  <si>
    <t>TX301906</t>
  </si>
  <si>
    <t>17:03</t>
  </si>
  <si>
    <t>TX301907</t>
  </si>
  <si>
    <t>TX301908</t>
  </si>
  <si>
    <t>TX301909</t>
  </si>
  <si>
    <t>TX301910</t>
  </si>
  <si>
    <t>TX301911</t>
  </si>
  <si>
    <t>TX301912</t>
  </si>
  <si>
    <t>TX301913</t>
  </si>
  <si>
    <t>TX301914</t>
  </si>
  <si>
    <t>TX301915</t>
  </si>
  <si>
    <t>TX301916</t>
  </si>
  <si>
    <t>TX301917</t>
  </si>
  <si>
    <t>TX301918</t>
  </si>
  <si>
    <t>TX301919</t>
  </si>
  <si>
    <t>TX301920</t>
  </si>
  <si>
    <t>TX301921</t>
  </si>
  <si>
    <t>TX301922</t>
  </si>
  <si>
    <t>TX301923</t>
  </si>
  <si>
    <t>TX301924</t>
  </si>
  <si>
    <t>TX301925</t>
  </si>
  <si>
    <t>TX301926</t>
  </si>
  <si>
    <t>TX301927</t>
  </si>
  <si>
    <t>TX301928</t>
  </si>
  <si>
    <t>TX301929</t>
  </si>
  <si>
    <t>TX301930</t>
  </si>
  <si>
    <t>TX301931</t>
  </si>
  <si>
    <t>TX301932</t>
  </si>
  <si>
    <t>TX301933</t>
  </si>
  <si>
    <t>TX301934</t>
  </si>
  <si>
    <t>TX301935</t>
  </si>
  <si>
    <t>TX301936</t>
  </si>
  <si>
    <t>TX301937</t>
  </si>
  <si>
    <t>TX301938</t>
  </si>
  <si>
    <t>TX301939</t>
  </si>
  <si>
    <t>TX301940</t>
  </si>
  <si>
    <t>TX301941</t>
  </si>
  <si>
    <t>TX301942</t>
  </si>
  <si>
    <t>TX301943</t>
  </si>
  <si>
    <t>TX301944</t>
  </si>
  <si>
    <t>TX301945</t>
  </si>
  <si>
    <t>TX301946</t>
  </si>
  <si>
    <t>TX301947</t>
  </si>
  <si>
    <t>TX301948</t>
  </si>
  <si>
    <t>TX301949</t>
  </si>
  <si>
    <t>TX301950</t>
  </si>
  <si>
    <t>TX301951</t>
  </si>
  <si>
    <t>TX301952</t>
  </si>
  <si>
    <t>TX301953</t>
  </si>
  <si>
    <t>TX301954</t>
  </si>
  <si>
    <t>TX301955</t>
  </si>
  <si>
    <t>10:21</t>
  </si>
  <si>
    <t>TX301956</t>
  </si>
  <si>
    <t>TX301957</t>
  </si>
  <si>
    <t>TX301958</t>
  </si>
  <si>
    <t>TX301959</t>
  </si>
  <si>
    <t>TX301960</t>
  </si>
  <si>
    <t>TX301961</t>
  </si>
  <si>
    <t>TX301962</t>
  </si>
  <si>
    <t>TX301963</t>
  </si>
  <si>
    <t>TX301964</t>
  </si>
  <si>
    <t>TX301965</t>
  </si>
  <si>
    <t>TX301966</t>
  </si>
  <si>
    <t>TX301967</t>
  </si>
  <si>
    <t>TX301968</t>
  </si>
  <si>
    <t>TX301969</t>
  </si>
  <si>
    <t>TX301970</t>
  </si>
  <si>
    <t>TX301971</t>
  </si>
  <si>
    <t>TX301972</t>
  </si>
  <si>
    <t>21:24</t>
  </si>
  <si>
    <t>TX301973</t>
  </si>
  <si>
    <t>TX301974</t>
  </si>
  <si>
    <t>16:44</t>
  </si>
  <si>
    <t>TX301975</t>
  </si>
  <si>
    <t>TX301976</t>
  </si>
  <si>
    <t>TX301977</t>
  </si>
  <si>
    <t>TX301978</t>
  </si>
  <si>
    <t>TX301979</t>
  </si>
  <si>
    <t>TX301980</t>
  </si>
  <si>
    <t>TX301981</t>
  </si>
  <si>
    <t>TX301982</t>
  </si>
  <si>
    <t>TX301983</t>
  </si>
  <si>
    <t>TX301984</t>
  </si>
  <si>
    <t>TX301985</t>
  </si>
  <si>
    <t>TX301986</t>
  </si>
  <si>
    <t>TX301987</t>
  </si>
  <si>
    <t>TX301988</t>
  </si>
  <si>
    <t>TX301989</t>
  </si>
  <si>
    <t>TX301990</t>
  </si>
  <si>
    <t>TX301991</t>
  </si>
  <si>
    <t>TX301992</t>
  </si>
  <si>
    <t>TX301993</t>
  </si>
  <si>
    <t>TX301994</t>
  </si>
  <si>
    <t>TX301995</t>
  </si>
  <si>
    <t>TX301996</t>
  </si>
  <si>
    <t>TX301997</t>
  </si>
  <si>
    <t>TX301998</t>
  </si>
  <si>
    <t>TX301999</t>
  </si>
  <si>
    <t>Sum of TotalPrice</t>
  </si>
  <si>
    <t>Sum of Quantity</t>
  </si>
  <si>
    <t>Sum of UnitPrice</t>
  </si>
  <si>
    <t>Row Labels</t>
  </si>
  <si>
    <t>Grand Total</t>
  </si>
  <si>
    <t>Column1</t>
  </si>
  <si>
    <t>TOTAL SALES</t>
  </si>
  <si>
    <t>TOTAL QUANTITY SOLD</t>
  </si>
  <si>
    <t>AVERAGE UNIT PRICE</t>
  </si>
  <si>
    <t>2023</t>
  </si>
  <si>
    <t>2024</t>
  </si>
  <si>
    <t>2025</t>
  </si>
  <si>
    <t>Jan</t>
  </si>
  <si>
    <t>Feb</t>
  </si>
  <si>
    <t>Mar</t>
  </si>
  <si>
    <t>Apr</t>
  </si>
  <si>
    <t>May</t>
  </si>
  <si>
    <t>Jun</t>
  </si>
  <si>
    <t>Jul</t>
  </si>
  <si>
    <t>Aug</t>
  </si>
  <si>
    <t>Sep</t>
  </si>
  <si>
    <t>Oct</t>
  </si>
  <si>
    <t>Nov</t>
  </si>
  <si>
    <t>Dec</t>
  </si>
  <si>
    <t>Total Sales</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</si>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</sst>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 x14ac:knownFonts="1">
    <font>
      <sz val="11"/>
      <color theme="1"/>
      <name val="Calibri"/>
      <family val="2"/>
      <scheme val="minor"/>
    </font>
    <font>
      <sz val="18"/>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1" fillId="0" borderId="0" xfId="0" applyNumberFormat="1" applyFont="1" applyAlignment="1">
      <alignment horizontal="center"/>
    </xf>
    <xf numFmtId="3" fontId="1" fillId="0" borderId="0" xfId="0" applyNumberFormat="1" applyFont="1" applyAlignment="1">
      <alignment horizontal="center"/>
    </xf>
    <xf numFmtId="0" fontId="0" fillId="0" borderId="0" xfId="0" applyNumberFormat="1"/>
  </cellXfs>
  <cellStyles count="1">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colors>
    <mruColors>
      <color rgb="FFCDE7F7"/>
      <color rgb="FF1EDBEA"/>
      <color rgb="FF31D7CF"/>
      <color rgb="FF33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Transactions(2023-2025).xlsx]montly sales and quantity trend!PivotTable1</c:name>
    <c:fmtId val="13"/>
  </c:pivotSource>
  <c:chart>
    <c:title>
      <c:tx>
        <c:rich>
          <a:bodyPr rot="0" spcFirstLastPara="1" vertOverflow="ellipsis" vert="horz" wrap="square" anchor="ctr" anchorCtr="1"/>
          <a:lstStyle/>
          <a:p>
            <a:pPr>
              <a:defRPr sz="1400" b="0" i="0" u="none" strike="noStrike" kern="1200" spc="0" baseline="0">
                <a:ln>
                  <a:noFill/>
                </a:ln>
                <a:solidFill>
                  <a:schemeClr val="tx1">
                    <a:lumMod val="95000"/>
                    <a:lumOff val="5000"/>
                  </a:schemeClr>
                </a:solidFill>
                <a:latin typeface="+mn-lt"/>
                <a:ea typeface="+mn-ea"/>
                <a:cs typeface="+mn-cs"/>
              </a:defRPr>
            </a:pPr>
            <a:r>
              <a:rPr lang="en-IN"/>
              <a:t>Monthly Sales &amp; Quantity Trend</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tx1">
                  <a:lumMod val="95000"/>
                  <a:lumOff val="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'montly sales and quantity trend'!$B$3</c:f>
              <c:strCache>
                <c:ptCount val="1"/>
                <c:pt idx="0">
                  <c:v>Total Sales</c:v>
                </c:pt>
              </c:strCache>
            </c:strRef>
          </c:tx>
          <c:spPr>
            <a:ln w="28575" cap="rnd">
              <a:solidFill>
                <a:schemeClr val="accent1"/>
              </a:solidFill>
              <a:round/>
            </a:ln>
            <a:effectLst/>
          </c:spPr>
          <c:marker>
            <c:symbol val="none"/>
          </c:marker>
          <c:cat>
            <c:multiLvlStrRef>
              <c:f>'montly sales and quantity trend'!$A$4:$A$37</c:f>
              <c:multiLvlStrCache>
                <c:ptCount val="30"/>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lvl>
                <c:lvl>
                  <c:pt idx="0">
                    <c:v>2023</c:v>
                  </c:pt>
                  <c:pt idx="12">
                    <c:v>2024</c:v>
                  </c:pt>
                  <c:pt idx="24">
                    <c:v>2025</c:v>
                  </c:pt>
                </c:lvl>
              </c:multiLvlStrCache>
            </c:multiLvlStrRef>
          </c:cat>
          <c:val>
            <c:numRef>
              <c:f>'montly sales and quantity trend'!$B$4:$B$37</c:f>
              <c:numCache>
                <c:formatCode>General</c:formatCode>
                <c:ptCount val="30"/>
                <c:pt idx="0">
                  <c:v>79024.959999999992</c:v>
                </c:pt>
                <c:pt idx="1">
                  <c:v>65933.260000000009</c:v>
                </c:pt>
                <c:pt idx="2">
                  <c:v>93869.84</c:v>
                </c:pt>
                <c:pt idx="3">
                  <c:v>85854.10000000002</c:v>
                </c:pt>
                <c:pt idx="4">
                  <c:v>89330.11</c:v>
                </c:pt>
                <c:pt idx="5">
                  <c:v>68123.56</c:v>
                </c:pt>
                <c:pt idx="6">
                  <c:v>48789.179999999993</c:v>
                </c:pt>
                <c:pt idx="7">
                  <c:v>63106.260000000009</c:v>
                </c:pt>
                <c:pt idx="8">
                  <c:v>79470.030000000013</c:v>
                </c:pt>
                <c:pt idx="9">
                  <c:v>69640.429999999993</c:v>
                </c:pt>
                <c:pt idx="10">
                  <c:v>91532.21</c:v>
                </c:pt>
                <c:pt idx="11">
                  <c:v>83182.060000000041</c:v>
                </c:pt>
                <c:pt idx="12">
                  <c:v>80836.75999999998</c:v>
                </c:pt>
                <c:pt idx="13">
                  <c:v>66256.180000000022</c:v>
                </c:pt>
                <c:pt idx="14">
                  <c:v>77380.720000000016</c:v>
                </c:pt>
                <c:pt idx="15">
                  <c:v>65795.42</c:v>
                </c:pt>
                <c:pt idx="16">
                  <c:v>93687.65</c:v>
                </c:pt>
                <c:pt idx="17">
                  <c:v>75827.589999999982</c:v>
                </c:pt>
                <c:pt idx="18">
                  <c:v>74659.179999999993</c:v>
                </c:pt>
                <c:pt idx="19">
                  <c:v>39286.18</c:v>
                </c:pt>
                <c:pt idx="20">
                  <c:v>65209.520000000026</c:v>
                </c:pt>
                <c:pt idx="21">
                  <c:v>74019.560000000012</c:v>
                </c:pt>
                <c:pt idx="22">
                  <c:v>94960.080000000016</c:v>
                </c:pt>
                <c:pt idx="23">
                  <c:v>76606.97</c:v>
                </c:pt>
                <c:pt idx="24">
                  <c:v>58466.290000000008</c:v>
                </c:pt>
                <c:pt idx="25">
                  <c:v>46896.679999999993</c:v>
                </c:pt>
                <c:pt idx="26">
                  <c:v>82562.31</c:v>
                </c:pt>
                <c:pt idx="27">
                  <c:v>58980.739999999991</c:v>
                </c:pt>
                <c:pt idx="28">
                  <c:v>69889.75</c:v>
                </c:pt>
                <c:pt idx="29">
                  <c:v>88465.97</c:v>
                </c:pt>
              </c:numCache>
            </c:numRef>
          </c:val>
          <c:smooth val="0"/>
          <c:extLst>
            <c:ext xmlns:c16="http://schemas.microsoft.com/office/drawing/2014/chart" uri="{C3380CC4-5D6E-409C-BE32-E72D297353CC}">
              <c16:uniqueId val="{00000000-0968-48A7-9545-2C21B10BABB0}"/>
            </c:ext>
          </c:extLst>
        </c:ser>
        <c:ser>
          <c:idx val="1"/>
          <c:order val="1"/>
          <c:tx>
            <c:strRef>
              <c:f>'montly sales and quantity trend'!$C$3</c:f>
              <c:strCache>
                <c:ptCount val="1"/>
                <c:pt idx="0">
                  <c:v>Total Quantity</c:v>
                </c:pt>
              </c:strCache>
            </c:strRef>
          </c:tx>
          <c:spPr>
            <a:ln w="28575" cap="rnd">
              <a:solidFill>
                <a:schemeClr val="accent2"/>
              </a:solidFill>
              <a:round/>
            </a:ln>
            <a:effectLst/>
          </c:spPr>
          <c:marker>
            <c:symbol val="none"/>
          </c:marker>
          <c:cat>
            <c:multiLvlStrRef>
              <c:f>'montly sales and quantity trend'!$A$4:$A$37</c:f>
              <c:multiLvlStrCache>
                <c:ptCount val="30"/>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lvl>
                <c:lvl>
                  <c:pt idx="0">
                    <c:v>2023</c:v>
                  </c:pt>
                  <c:pt idx="12">
                    <c:v>2024</c:v>
                  </c:pt>
                  <c:pt idx="24">
                    <c:v>2025</c:v>
                  </c:pt>
                </c:lvl>
              </c:multiLvlStrCache>
            </c:multiLvlStrRef>
          </c:cat>
          <c:val>
            <c:numRef>
              <c:f>'montly sales and quantity trend'!$C$4:$C$37</c:f>
              <c:numCache>
                <c:formatCode>General</c:formatCode>
                <c:ptCount val="30"/>
                <c:pt idx="0">
                  <c:v>450</c:v>
                </c:pt>
                <c:pt idx="1">
                  <c:v>292</c:v>
                </c:pt>
                <c:pt idx="2">
                  <c:v>453</c:v>
                </c:pt>
                <c:pt idx="3">
                  <c:v>380</c:v>
                </c:pt>
                <c:pt idx="4">
                  <c:v>431</c:v>
                </c:pt>
                <c:pt idx="5">
                  <c:v>352</c:v>
                </c:pt>
                <c:pt idx="6">
                  <c:v>278</c:v>
                </c:pt>
                <c:pt idx="7">
                  <c:v>317</c:v>
                </c:pt>
                <c:pt idx="8">
                  <c:v>438</c:v>
                </c:pt>
                <c:pt idx="9">
                  <c:v>336</c:v>
                </c:pt>
                <c:pt idx="10">
                  <c:v>444</c:v>
                </c:pt>
                <c:pt idx="11">
                  <c:v>390</c:v>
                </c:pt>
                <c:pt idx="12">
                  <c:v>364</c:v>
                </c:pt>
                <c:pt idx="13">
                  <c:v>340</c:v>
                </c:pt>
                <c:pt idx="14">
                  <c:v>395</c:v>
                </c:pt>
                <c:pt idx="15">
                  <c:v>290</c:v>
                </c:pt>
                <c:pt idx="16">
                  <c:v>413</c:v>
                </c:pt>
                <c:pt idx="17">
                  <c:v>389</c:v>
                </c:pt>
                <c:pt idx="18">
                  <c:v>400</c:v>
                </c:pt>
                <c:pt idx="19">
                  <c:v>281</c:v>
                </c:pt>
                <c:pt idx="20">
                  <c:v>362</c:v>
                </c:pt>
                <c:pt idx="21">
                  <c:v>364</c:v>
                </c:pt>
                <c:pt idx="22">
                  <c:v>401</c:v>
                </c:pt>
                <c:pt idx="23">
                  <c:v>374</c:v>
                </c:pt>
                <c:pt idx="24">
                  <c:v>376</c:v>
                </c:pt>
                <c:pt idx="25">
                  <c:v>285</c:v>
                </c:pt>
                <c:pt idx="26">
                  <c:v>424</c:v>
                </c:pt>
                <c:pt idx="27">
                  <c:v>327</c:v>
                </c:pt>
                <c:pt idx="28">
                  <c:v>318</c:v>
                </c:pt>
                <c:pt idx="29">
                  <c:v>393</c:v>
                </c:pt>
              </c:numCache>
            </c:numRef>
          </c:val>
          <c:smooth val="0"/>
          <c:extLst>
            <c:ext xmlns:c16="http://schemas.microsoft.com/office/drawing/2014/chart" uri="{C3380CC4-5D6E-409C-BE32-E72D297353CC}">
              <c16:uniqueId val="{00000001-0968-48A7-9545-2C21B10BABB0}"/>
            </c:ext>
          </c:extLst>
        </c:ser>
        <c:dLbls>
          <c:showLegendKey val="0"/>
          <c:showVal val="0"/>
          <c:showCatName val="0"/>
          <c:showSerName val="0"/>
          <c:showPercent val="0"/>
          <c:showBubbleSize val="0"/>
        </c:dLbls>
        <c:smooth val="0"/>
        <c:axId val="762567599"/>
        <c:axId val="762566159"/>
      </c:lineChart>
      <c:catAx>
        <c:axId val="762567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latin typeface="+mn-lt"/>
                <a:ea typeface="+mn-ea"/>
                <a:cs typeface="+mn-cs"/>
              </a:defRPr>
            </a:pPr>
            <a:endParaRPr lang="en-US"/>
          </a:p>
        </c:txPr>
        <c:crossAx val="762566159"/>
        <c:crosses val="autoZero"/>
        <c:auto val="1"/>
        <c:lblAlgn val="ctr"/>
        <c:lblOffset val="100"/>
        <c:noMultiLvlLbl val="0"/>
      </c:catAx>
      <c:valAx>
        <c:axId val="762566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latin typeface="+mn-lt"/>
                <a:ea typeface="+mn-ea"/>
                <a:cs typeface="+mn-cs"/>
              </a:defRPr>
            </a:pPr>
            <a:endParaRPr lang="en-US"/>
          </a:p>
        </c:txPr>
        <c:crossAx val="762567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ln>
            <a:noFill/>
          </a:ln>
          <a:solidFill>
            <a:schemeClr val="tx1">
              <a:lumMod val="95000"/>
              <a:lumOff val="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Transactions(2023-2025).xlsx]Sheet6!PivotTable3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Store Location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4"/>
                <c:pt idx="0">
                  <c:v>Liam</c:v>
                </c:pt>
                <c:pt idx="1">
                  <c:v>Mia</c:v>
                </c:pt>
                <c:pt idx="2">
                  <c:v>Noah</c:v>
                </c:pt>
                <c:pt idx="3">
                  <c:v>Olivia</c:v>
                </c:pt>
              </c:strCache>
            </c:strRef>
          </c:cat>
          <c:val>
            <c:numRef>
              <c:f>Sheet6!$B$4:$B$8</c:f>
              <c:numCache>
                <c:formatCode>General</c:formatCode>
                <c:ptCount val="4"/>
                <c:pt idx="0">
                  <c:v>471476.29000000015</c:v>
                </c:pt>
                <c:pt idx="1">
                  <c:v>580957.42999999912</c:v>
                </c:pt>
                <c:pt idx="2">
                  <c:v>608430.73999999976</c:v>
                </c:pt>
                <c:pt idx="3">
                  <c:v>546779.08999999985</c:v>
                </c:pt>
              </c:numCache>
            </c:numRef>
          </c:val>
          <c:extLst>
            <c:ext xmlns:c16="http://schemas.microsoft.com/office/drawing/2014/chart" uri="{C3380CC4-5D6E-409C-BE32-E72D297353CC}">
              <c16:uniqueId val="{00000000-948A-40D0-94E3-EF608BE7A46D}"/>
            </c:ext>
          </c:extLst>
        </c:ser>
        <c:dLbls>
          <c:dLblPos val="outEnd"/>
          <c:showLegendKey val="0"/>
          <c:showVal val="1"/>
          <c:showCatName val="0"/>
          <c:showSerName val="0"/>
          <c:showPercent val="0"/>
          <c:showBubbleSize val="0"/>
        </c:dLbls>
        <c:gapWidth val="219"/>
        <c:overlap val="-27"/>
        <c:axId val="762577679"/>
        <c:axId val="762576719"/>
      </c:barChart>
      <c:catAx>
        <c:axId val="762577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76719"/>
        <c:crosses val="autoZero"/>
        <c:auto val="1"/>
        <c:lblAlgn val="ctr"/>
        <c:lblOffset val="100"/>
        <c:noMultiLvlLbl val="0"/>
      </c:catAx>
      <c:valAx>
        <c:axId val="76257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7767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Transactions(2023-2025).xlsx]Sheet7!PivotTable4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Product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Sheet7!$A$4:$A$11</c:f>
              <c:strCache>
                <c:ptCount val="7"/>
                <c:pt idx="0">
                  <c:v>Chair</c:v>
                </c:pt>
                <c:pt idx="1">
                  <c:v>Desk</c:v>
                </c:pt>
                <c:pt idx="2">
                  <c:v>Laptop</c:v>
                </c:pt>
                <c:pt idx="3">
                  <c:v>Monitor</c:v>
                </c:pt>
                <c:pt idx="4">
                  <c:v>Phone</c:v>
                </c:pt>
                <c:pt idx="5">
                  <c:v>Printer</c:v>
                </c:pt>
                <c:pt idx="6">
                  <c:v>Tablet</c:v>
                </c:pt>
              </c:strCache>
            </c:strRef>
          </c:cat>
          <c:val>
            <c:numRef>
              <c:f>Sheet7!$B$4:$B$11</c:f>
              <c:numCache>
                <c:formatCode>General</c:formatCode>
                <c:ptCount val="7"/>
                <c:pt idx="0">
                  <c:v>319442.15000000014</c:v>
                </c:pt>
                <c:pt idx="1">
                  <c:v>293278.60000000003</c:v>
                </c:pt>
                <c:pt idx="2">
                  <c:v>285263.21000000002</c:v>
                </c:pt>
                <c:pt idx="3">
                  <c:v>347995.6399999999</c:v>
                </c:pt>
                <c:pt idx="4">
                  <c:v>326211.21000000008</c:v>
                </c:pt>
                <c:pt idx="5">
                  <c:v>325584.94999999984</c:v>
                </c:pt>
                <c:pt idx="6">
                  <c:v>309867.79000000021</c:v>
                </c:pt>
              </c:numCache>
            </c:numRef>
          </c:val>
          <c:extLst>
            <c:ext xmlns:c16="http://schemas.microsoft.com/office/drawing/2014/chart" uri="{C3380CC4-5D6E-409C-BE32-E72D297353CC}">
              <c16:uniqueId val="{00000000-BE0D-4A88-A603-7F4FC8AA3F04}"/>
            </c:ext>
          </c:extLst>
        </c:ser>
        <c:dLbls>
          <c:dLblPos val="outEnd"/>
          <c:showLegendKey val="0"/>
          <c:showVal val="1"/>
          <c:showCatName val="0"/>
          <c:showSerName val="0"/>
          <c:showPercent val="0"/>
          <c:showBubbleSize val="0"/>
        </c:dLbls>
        <c:gapWidth val="219"/>
        <c:overlap val="-27"/>
        <c:axId val="1471753455"/>
        <c:axId val="1471739535"/>
      </c:barChart>
      <c:catAx>
        <c:axId val="14717534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39535"/>
        <c:crosses val="autoZero"/>
        <c:auto val="1"/>
        <c:lblAlgn val="ctr"/>
        <c:lblOffset val="100"/>
        <c:noMultiLvlLbl val="0"/>
      </c:catAx>
      <c:valAx>
        <c:axId val="14717395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534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Transactions(2023-2025).xlsx]Sheet8!PivotTable5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Payment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Sheet8!$B$3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882-439E-A680-582EA92913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882-439E-A680-582EA929137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822E-451D-A79D-88B0AA9D26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882-439E-A680-582EA929137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882-439E-A680-582EA9291373}"/>
              </c:ext>
            </c:extLst>
          </c:dPt>
          <c:dLbls>
            <c:dLbl>
              <c:idx val="2"/>
              <c:layout>
                <c:manualLayout>
                  <c:x val="2.3216559735588609E-2"/>
                  <c:y val="1.9916892892676581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22E-451D-A79D-88B0AA9D26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Sheet8!$A$4:$A$9</c:f>
              <c:strCache>
                <c:ptCount val="5"/>
                <c:pt idx="0">
                  <c:v>Cash</c:v>
                </c:pt>
                <c:pt idx="1">
                  <c:v>Credit Card</c:v>
                </c:pt>
                <c:pt idx="2">
                  <c:v>Debit Card</c:v>
                </c:pt>
                <c:pt idx="3">
                  <c:v>Gift Card</c:v>
                </c:pt>
                <c:pt idx="4">
                  <c:v>Online</c:v>
                </c:pt>
              </c:strCache>
            </c:strRef>
          </c:cat>
          <c:val>
            <c:numRef>
              <c:f>Sheet8!$B$4:$B$9</c:f>
              <c:numCache>
                <c:formatCode>General</c:formatCode>
                <c:ptCount val="5"/>
                <c:pt idx="0">
                  <c:v>416599.22999999986</c:v>
                </c:pt>
                <c:pt idx="1">
                  <c:v>474156.66000000027</c:v>
                </c:pt>
                <c:pt idx="2">
                  <c:v>498721.24</c:v>
                </c:pt>
                <c:pt idx="3">
                  <c:v>382384.33999999997</c:v>
                </c:pt>
                <c:pt idx="4">
                  <c:v>435782.0799999999</c:v>
                </c:pt>
              </c:numCache>
            </c:numRef>
          </c:val>
          <c:extLst>
            <c:ext xmlns:c16="http://schemas.microsoft.com/office/drawing/2014/chart" uri="{C3380CC4-5D6E-409C-BE32-E72D297353CC}">
              <c16:uniqueId val="{00000000-822E-451D-A79D-88B0AA9D267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Transactions(2023-2025).xlsx]Sheet9!PivotTable6</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Sales Performance by Loction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s>
    <c:plotArea>
      <c:layout>
        <c:manualLayout>
          <c:layoutTarget val="inner"/>
          <c:xMode val="edge"/>
          <c:yMode val="edge"/>
          <c:x val="9.8115141465057454E-2"/>
          <c:y val="0.21698855351414403"/>
          <c:w val="0.79052573972186535"/>
          <c:h val="0.50673337707786525"/>
        </c:manualLayout>
      </c:layout>
      <c:barChart>
        <c:barDir val="col"/>
        <c:grouping val="stacked"/>
        <c:varyColors val="0"/>
        <c:ser>
          <c:idx val="0"/>
          <c:order val="0"/>
          <c:tx>
            <c:strRef>
              <c:f>Sheet9!$B$3</c:f>
              <c:strCache>
                <c:ptCount val="1"/>
                <c:pt idx="0">
                  <c:v>Total</c:v>
                </c:pt>
              </c:strCache>
            </c:strRef>
          </c:tx>
          <c:spPr>
            <a:solidFill>
              <a:schemeClr val="accent1"/>
            </a:solidFill>
            <a:ln>
              <a:noFill/>
            </a:ln>
            <a:effectLst/>
          </c:spPr>
          <c:invertIfNegative val="0"/>
          <c:dPt>
            <c:idx val="9"/>
            <c:invertIfNegative val="0"/>
            <c:bubble3D val="0"/>
          </c:dPt>
          <c:dPt>
            <c:idx val="10"/>
            <c:invertIfNegative val="0"/>
            <c:bubble3D val="0"/>
          </c:dPt>
          <c:dPt>
            <c:idx val="11"/>
            <c:invertIfNegative val="0"/>
            <c:bubble3D val="0"/>
          </c:dPt>
          <c:cat>
            <c:multiLvlStrRef>
              <c:f>Sheet9!$A$4:$A$20</c:f>
              <c:multiLvlStrCache>
                <c:ptCount val="12"/>
                <c:lvl>
                  <c:pt idx="0">
                    <c:v>2023</c:v>
                  </c:pt>
                  <c:pt idx="1">
                    <c:v>2024</c:v>
                  </c:pt>
                  <c:pt idx="2">
                    <c:v>2025</c:v>
                  </c:pt>
                  <c:pt idx="3">
                    <c:v>2023</c:v>
                  </c:pt>
                  <c:pt idx="4">
                    <c:v>2024</c:v>
                  </c:pt>
                  <c:pt idx="5">
                    <c:v>2025</c:v>
                  </c:pt>
                  <c:pt idx="6">
                    <c:v>2023</c:v>
                  </c:pt>
                  <c:pt idx="7">
                    <c:v>2024</c:v>
                  </c:pt>
                  <c:pt idx="8">
                    <c:v>2025</c:v>
                  </c:pt>
                  <c:pt idx="9">
                    <c:v>2023</c:v>
                  </c:pt>
                  <c:pt idx="10">
                    <c:v>2024</c:v>
                  </c:pt>
                  <c:pt idx="11">
                    <c:v>2025</c:v>
                  </c:pt>
                </c:lvl>
                <c:lvl>
                  <c:pt idx="0">
                    <c:v>Store A</c:v>
                  </c:pt>
                  <c:pt idx="3">
                    <c:v>Store B</c:v>
                  </c:pt>
                  <c:pt idx="6">
                    <c:v>Store C</c:v>
                  </c:pt>
                  <c:pt idx="9">
                    <c:v>Store D</c:v>
                  </c:pt>
                </c:lvl>
              </c:multiLvlStrCache>
            </c:multiLvlStrRef>
          </c:cat>
          <c:val>
            <c:numRef>
              <c:f>Sheet9!$B$4:$B$20</c:f>
              <c:numCache>
                <c:formatCode>General</c:formatCode>
                <c:ptCount val="12"/>
                <c:pt idx="0">
                  <c:v>223214.39000000007</c:v>
                </c:pt>
                <c:pt idx="1">
                  <c:v>207929.69000000006</c:v>
                </c:pt>
                <c:pt idx="2">
                  <c:v>91158.079999999973</c:v>
                </c:pt>
                <c:pt idx="3">
                  <c:v>238786.8</c:v>
                </c:pt>
                <c:pt idx="4">
                  <c:v>207699.07</c:v>
                </c:pt>
                <c:pt idx="5">
                  <c:v>91906.26</c:v>
                </c:pt>
                <c:pt idx="6">
                  <c:v>232890.9499999999</c:v>
                </c:pt>
                <c:pt idx="7">
                  <c:v>238202.96999999997</c:v>
                </c:pt>
                <c:pt idx="8">
                  <c:v>123915.12000000004</c:v>
                </c:pt>
                <c:pt idx="9">
                  <c:v>222963.86000000002</c:v>
                </c:pt>
                <c:pt idx="10">
                  <c:v>230694.08000000019</c:v>
                </c:pt>
                <c:pt idx="11">
                  <c:v>98282.280000000013</c:v>
                </c:pt>
              </c:numCache>
            </c:numRef>
          </c:val>
          <c:extLst>
            <c:ext xmlns:c16="http://schemas.microsoft.com/office/drawing/2014/chart" uri="{C3380CC4-5D6E-409C-BE32-E72D297353CC}">
              <c16:uniqueId val="{00000000-1AF1-4188-B7EE-952B1D23A9CC}"/>
            </c:ext>
          </c:extLst>
        </c:ser>
        <c:dLbls>
          <c:showLegendKey val="0"/>
          <c:showVal val="0"/>
          <c:showCatName val="0"/>
          <c:showSerName val="0"/>
          <c:showPercent val="0"/>
          <c:showBubbleSize val="0"/>
        </c:dLbls>
        <c:gapWidth val="150"/>
        <c:overlap val="100"/>
        <c:axId val="762545039"/>
        <c:axId val="1410541343"/>
      </c:barChart>
      <c:catAx>
        <c:axId val="762545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0541343"/>
        <c:crosses val="autoZero"/>
        <c:auto val="1"/>
        <c:lblAlgn val="ctr"/>
        <c:lblOffset val="100"/>
        <c:noMultiLvlLbl val="0"/>
      </c:catAx>
      <c:valAx>
        <c:axId val="1410541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4503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Transactions(2023-2025).xlsx]Sheet10!PivotTable7</c:name>
    <c:fmtId val="4"/>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IN"/>
              <a:t>Sales</a:t>
            </a:r>
            <a:r>
              <a:rPr lang="en-IN" baseline="0"/>
              <a:t> and Quantity by Product</a:t>
            </a:r>
            <a:endParaRPr lang="en-IN"/>
          </a:p>
        </c:rich>
      </c:tx>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Sheet10!$B$3</c:f>
              <c:strCache>
                <c:ptCount val="1"/>
                <c:pt idx="0">
                  <c:v>Sum of TotalPrice</c:v>
                </c:pt>
              </c:strCache>
            </c:strRef>
          </c:tx>
          <c:spPr>
            <a:solidFill>
              <a:schemeClr val="accent1"/>
            </a:solidFill>
            <a:ln>
              <a:noFill/>
            </a:ln>
            <a:effectLst/>
          </c:spPr>
          <c:invertIfNegative val="0"/>
          <c:cat>
            <c:strRef>
              <c:f>Sheet10!$A$4:$A$11</c:f>
              <c:strCache>
                <c:ptCount val="7"/>
                <c:pt idx="0">
                  <c:v>Chair</c:v>
                </c:pt>
                <c:pt idx="1">
                  <c:v>Desk</c:v>
                </c:pt>
                <c:pt idx="2">
                  <c:v>Laptop</c:v>
                </c:pt>
                <c:pt idx="3">
                  <c:v>Monitor</c:v>
                </c:pt>
                <c:pt idx="4">
                  <c:v>Phone</c:v>
                </c:pt>
                <c:pt idx="5">
                  <c:v>Printer</c:v>
                </c:pt>
                <c:pt idx="6">
                  <c:v>Tablet</c:v>
                </c:pt>
              </c:strCache>
            </c:strRef>
          </c:cat>
          <c:val>
            <c:numRef>
              <c:f>Sheet10!$B$4:$B$11</c:f>
              <c:numCache>
                <c:formatCode>General</c:formatCode>
                <c:ptCount val="7"/>
                <c:pt idx="0">
                  <c:v>319442.15000000014</c:v>
                </c:pt>
                <c:pt idx="1">
                  <c:v>293278.60000000003</c:v>
                </c:pt>
                <c:pt idx="2">
                  <c:v>285263.21000000002</c:v>
                </c:pt>
                <c:pt idx="3">
                  <c:v>347995.6399999999</c:v>
                </c:pt>
                <c:pt idx="4">
                  <c:v>326211.21000000008</c:v>
                </c:pt>
                <c:pt idx="5">
                  <c:v>325584.94999999984</c:v>
                </c:pt>
                <c:pt idx="6">
                  <c:v>309867.79000000021</c:v>
                </c:pt>
              </c:numCache>
            </c:numRef>
          </c:val>
          <c:extLst>
            <c:ext xmlns:c16="http://schemas.microsoft.com/office/drawing/2014/chart" uri="{C3380CC4-5D6E-409C-BE32-E72D297353CC}">
              <c16:uniqueId val="{00000000-E156-4D50-9CC2-0C5A3128BE92}"/>
            </c:ext>
          </c:extLst>
        </c:ser>
        <c:dLbls>
          <c:showLegendKey val="0"/>
          <c:showVal val="0"/>
          <c:showCatName val="0"/>
          <c:showSerName val="0"/>
          <c:showPercent val="0"/>
          <c:showBubbleSize val="0"/>
        </c:dLbls>
        <c:gapWidth val="150"/>
        <c:axId val="260728128"/>
        <c:axId val="260725728"/>
      </c:barChart>
      <c:lineChart>
        <c:grouping val="standard"/>
        <c:varyColors val="0"/>
        <c:ser>
          <c:idx val="1"/>
          <c:order val="1"/>
          <c:tx>
            <c:strRef>
              <c:f>Sheet10!$C$3</c:f>
              <c:strCache>
                <c:ptCount val="1"/>
                <c:pt idx="0">
                  <c:v>Sum of Quantity</c:v>
                </c:pt>
              </c:strCache>
            </c:strRef>
          </c:tx>
          <c:spPr>
            <a:ln w="28575" cap="rnd">
              <a:solidFill>
                <a:schemeClr val="accent2"/>
              </a:solidFill>
              <a:round/>
            </a:ln>
            <a:effectLst/>
          </c:spPr>
          <c:marker>
            <c:symbol val="none"/>
          </c:marker>
          <c:cat>
            <c:strRef>
              <c:f>Sheet10!$A$4:$A$11</c:f>
              <c:strCache>
                <c:ptCount val="7"/>
                <c:pt idx="0">
                  <c:v>Chair</c:v>
                </c:pt>
                <c:pt idx="1">
                  <c:v>Desk</c:v>
                </c:pt>
                <c:pt idx="2">
                  <c:v>Laptop</c:v>
                </c:pt>
                <c:pt idx="3">
                  <c:v>Monitor</c:v>
                </c:pt>
                <c:pt idx="4">
                  <c:v>Phone</c:v>
                </c:pt>
                <c:pt idx="5">
                  <c:v>Printer</c:v>
                </c:pt>
                <c:pt idx="6">
                  <c:v>Tablet</c:v>
                </c:pt>
              </c:strCache>
            </c:strRef>
          </c:cat>
          <c:val>
            <c:numRef>
              <c:f>Sheet10!$C$4:$C$11</c:f>
              <c:numCache>
                <c:formatCode>General</c:formatCode>
                <c:ptCount val="7"/>
                <c:pt idx="0">
                  <c:v>1553</c:v>
                </c:pt>
                <c:pt idx="1">
                  <c:v>1473</c:v>
                </c:pt>
                <c:pt idx="2">
                  <c:v>1496</c:v>
                </c:pt>
                <c:pt idx="3">
                  <c:v>1621</c:v>
                </c:pt>
                <c:pt idx="4">
                  <c:v>1609</c:v>
                </c:pt>
                <c:pt idx="5">
                  <c:v>1675</c:v>
                </c:pt>
                <c:pt idx="6">
                  <c:v>1630</c:v>
                </c:pt>
              </c:numCache>
            </c:numRef>
          </c:val>
          <c:smooth val="0"/>
          <c:extLst>
            <c:ext xmlns:c16="http://schemas.microsoft.com/office/drawing/2014/chart" uri="{C3380CC4-5D6E-409C-BE32-E72D297353CC}">
              <c16:uniqueId val="{00000001-E156-4D50-9CC2-0C5A3128BE92}"/>
            </c:ext>
          </c:extLst>
        </c:ser>
        <c:dLbls>
          <c:showLegendKey val="0"/>
          <c:showVal val="0"/>
          <c:showCatName val="0"/>
          <c:showSerName val="0"/>
          <c:showPercent val="0"/>
          <c:showBubbleSize val="0"/>
        </c:dLbls>
        <c:marker val="1"/>
        <c:smooth val="0"/>
        <c:axId val="260727168"/>
        <c:axId val="260726688"/>
      </c:lineChart>
      <c:catAx>
        <c:axId val="260728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5728"/>
        <c:crosses val="autoZero"/>
        <c:auto val="1"/>
        <c:lblAlgn val="ctr"/>
        <c:lblOffset val="100"/>
        <c:noMultiLvlLbl val="0"/>
      </c:catAx>
      <c:valAx>
        <c:axId val="260725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8128"/>
        <c:crosses val="autoZero"/>
        <c:crossBetween val="between"/>
      </c:valAx>
      <c:valAx>
        <c:axId val="260726688"/>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7168"/>
        <c:crosses val="max"/>
        <c:crossBetween val="between"/>
      </c:valAx>
      <c:catAx>
        <c:axId val="260727168"/>
        <c:scaling>
          <c:orientation val="minMax"/>
        </c:scaling>
        <c:delete val="1"/>
        <c:axPos val="b"/>
        <c:numFmt formatCode="General" sourceLinked="1"/>
        <c:majorTickMark val="none"/>
        <c:minorTickMark val="none"/>
        <c:tickLblPos val="nextTo"/>
        <c:crossAx val="26072668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Transactions(2023-2025).xlsx]montly sales and quantity trend!PivotTable1</c:name>
    <c:fmtId val="19"/>
  </c:pivotSource>
  <c:chart>
    <c:title>
      <c:tx>
        <c:rich>
          <a:bodyPr rot="0" spcFirstLastPara="1" vertOverflow="ellipsis" vert="horz" wrap="square" anchor="ctr" anchorCtr="1"/>
          <a:lstStyle/>
          <a:p>
            <a:pPr>
              <a:defRPr sz="1400" b="0" i="0" u="none" strike="noStrike" kern="1200" spc="0" baseline="0">
                <a:ln>
                  <a:noFill/>
                </a:ln>
                <a:solidFill>
                  <a:schemeClr val="tx1">
                    <a:lumMod val="95000"/>
                    <a:lumOff val="5000"/>
                  </a:schemeClr>
                </a:solidFill>
                <a:latin typeface="+mn-lt"/>
                <a:ea typeface="+mn-ea"/>
                <a:cs typeface="+mn-cs"/>
              </a:defRPr>
            </a:pPr>
            <a:r>
              <a:rPr lang="en-IN"/>
              <a:t>Monthly Sales &amp; Quantity Trend</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'montly sales and quantity trend'!$B$3</c:f>
              <c:strCache>
                <c:ptCount val="1"/>
                <c:pt idx="0">
                  <c:v>Total Sales</c:v>
                </c:pt>
              </c:strCache>
            </c:strRef>
          </c:tx>
          <c:spPr>
            <a:ln w="28575" cap="rnd">
              <a:solidFill>
                <a:schemeClr val="accent1"/>
              </a:solidFill>
              <a:round/>
            </a:ln>
            <a:effectLst/>
          </c:spPr>
          <c:marker>
            <c:symbol val="none"/>
          </c:marker>
          <c:cat>
            <c:multiLvlStrRef>
              <c:f>'montly sales and quantity trend'!$A$4:$A$37</c:f>
              <c:multiLvlStrCache>
                <c:ptCount val="30"/>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lvl>
                <c:lvl>
                  <c:pt idx="0">
                    <c:v>2023</c:v>
                  </c:pt>
                  <c:pt idx="12">
                    <c:v>2024</c:v>
                  </c:pt>
                  <c:pt idx="24">
                    <c:v>2025</c:v>
                  </c:pt>
                </c:lvl>
              </c:multiLvlStrCache>
            </c:multiLvlStrRef>
          </c:cat>
          <c:val>
            <c:numRef>
              <c:f>'montly sales and quantity trend'!$B$4:$B$37</c:f>
              <c:numCache>
                <c:formatCode>General</c:formatCode>
                <c:ptCount val="30"/>
                <c:pt idx="0">
                  <c:v>79024.959999999992</c:v>
                </c:pt>
                <c:pt idx="1">
                  <c:v>65933.260000000009</c:v>
                </c:pt>
                <c:pt idx="2">
                  <c:v>93869.84</c:v>
                </c:pt>
                <c:pt idx="3">
                  <c:v>85854.10000000002</c:v>
                </c:pt>
                <c:pt idx="4">
                  <c:v>89330.11</c:v>
                </c:pt>
                <c:pt idx="5">
                  <c:v>68123.56</c:v>
                </c:pt>
                <c:pt idx="6">
                  <c:v>48789.179999999993</c:v>
                </c:pt>
                <c:pt idx="7">
                  <c:v>63106.260000000009</c:v>
                </c:pt>
                <c:pt idx="8">
                  <c:v>79470.030000000013</c:v>
                </c:pt>
                <c:pt idx="9">
                  <c:v>69640.429999999993</c:v>
                </c:pt>
                <c:pt idx="10">
                  <c:v>91532.21</c:v>
                </c:pt>
                <c:pt idx="11">
                  <c:v>83182.060000000041</c:v>
                </c:pt>
                <c:pt idx="12">
                  <c:v>80836.75999999998</c:v>
                </c:pt>
                <c:pt idx="13">
                  <c:v>66256.180000000022</c:v>
                </c:pt>
                <c:pt idx="14">
                  <c:v>77380.720000000016</c:v>
                </c:pt>
                <c:pt idx="15">
                  <c:v>65795.42</c:v>
                </c:pt>
                <c:pt idx="16">
                  <c:v>93687.65</c:v>
                </c:pt>
                <c:pt idx="17">
                  <c:v>75827.589999999982</c:v>
                </c:pt>
                <c:pt idx="18">
                  <c:v>74659.179999999993</c:v>
                </c:pt>
                <c:pt idx="19">
                  <c:v>39286.18</c:v>
                </c:pt>
                <c:pt idx="20">
                  <c:v>65209.520000000026</c:v>
                </c:pt>
                <c:pt idx="21">
                  <c:v>74019.560000000012</c:v>
                </c:pt>
                <c:pt idx="22">
                  <c:v>94960.080000000016</c:v>
                </c:pt>
                <c:pt idx="23">
                  <c:v>76606.97</c:v>
                </c:pt>
                <c:pt idx="24">
                  <c:v>58466.290000000008</c:v>
                </c:pt>
                <c:pt idx="25">
                  <c:v>46896.679999999993</c:v>
                </c:pt>
                <c:pt idx="26">
                  <c:v>82562.31</c:v>
                </c:pt>
                <c:pt idx="27">
                  <c:v>58980.739999999991</c:v>
                </c:pt>
                <c:pt idx="28">
                  <c:v>69889.75</c:v>
                </c:pt>
                <c:pt idx="29">
                  <c:v>88465.97</c:v>
                </c:pt>
              </c:numCache>
            </c:numRef>
          </c:val>
          <c:smooth val="0"/>
          <c:extLst>
            <c:ext xmlns:c16="http://schemas.microsoft.com/office/drawing/2014/chart" uri="{C3380CC4-5D6E-409C-BE32-E72D297353CC}">
              <c16:uniqueId val="{00000000-BE27-4D17-97FF-106B4F219B15}"/>
            </c:ext>
          </c:extLst>
        </c:ser>
        <c:ser>
          <c:idx val="1"/>
          <c:order val="1"/>
          <c:tx>
            <c:strRef>
              <c:f>'montly sales and quantity trend'!$C$3</c:f>
              <c:strCache>
                <c:ptCount val="1"/>
                <c:pt idx="0">
                  <c:v>Total Quantity</c:v>
                </c:pt>
              </c:strCache>
            </c:strRef>
          </c:tx>
          <c:spPr>
            <a:ln w="28575" cap="rnd">
              <a:solidFill>
                <a:schemeClr val="accent2"/>
              </a:solidFill>
              <a:round/>
            </a:ln>
            <a:effectLst/>
          </c:spPr>
          <c:marker>
            <c:symbol val="none"/>
          </c:marker>
          <c:cat>
            <c:multiLvlStrRef>
              <c:f>'montly sales and quantity trend'!$A$4:$A$37</c:f>
              <c:multiLvlStrCache>
                <c:ptCount val="30"/>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lvl>
                <c:lvl>
                  <c:pt idx="0">
                    <c:v>2023</c:v>
                  </c:pt>
                  <c:pt idx="12">
                    <c:v>2024</c:v>
                  </c:pt>
                  <c:pt idx="24">
                    <c:v>2025</c:v>
                  </c:pt>
                </c:lvl>
              </c:multiLvlStrCache>
            </c:multiLvlStrRef>
          </c:cat>
          <c:val>
            <c:numRef>
              <c:f>'montly sales and quantity trend'!$C$4:$C$37</c:f>
              <c:numCache>
                <c:formatCode>General</c:formatCode>
                <c:ptCount val="30"/>
                <c:pt idx="0">
                  <c:v>450</c:v>
                </c:pt>
                <c:pt idx="1">
                  <c:v>292</c:v>
                </c:pt>
                <c:pt idx="2">
                  <c:v>453</c:v>
                </c:pt>
                <c:pt idx="3">
                  <c:v>380</c:v>
                </c:pt>
                <c:pt idx="4">
                  <c:v>431</c:v>
                </c:pt>
                <c:pt idx="5">
                  <c:v>352</c:v>
                </c:pt>
                <c:pt idx="6">
                  <c:v>278</c:v>
                </c:pt>
                <c:pt idx="7">
                  <c:v>317</c:v>
                </c:pt>
                <c:pt idx="8">
                  <c:v>438</c:v>
                </c:pt>
                <c:pt idx="9">
                  <c:v>336</c:v>
                </c:pt>
                <c:pt idx="10">
                  <c:v>444</c:v>
                </c:pt>
                <c:pt idx="11">
                  <c:v>390</c:v>
                </c:pt>
                <c:pt idx="12">
                  <c:v>364</c:v>
                </c:pt>
                <c:pt idx="13">
                  <c:v>340</c:v>
                </c:pt>
                <c:pt idx="14">
                  <c:v>395</c:v>
                </c:pt>
                <c:pt idx="15">
                  <c:v>290</c:v>
                </c:pt>
                <c:pt idx="16">
                  <c:v>413</c:v>
                </c:pt>
                <c:pt idx="17">
                  <c:v>389</c:v>
                </c:pt>
                <c:pt idx="18">
                  <c:v>400</c:v>
                </c:pt>
                <c:pt idx="19">
                  <c:v>281</c:v>
                </c:pt>
                <c:pt idx="20">
                  <c:v>362</c:v>
                </c:pt>
                <c:pt idx="21">
                  <c:v>364</c:v>
                </c:pt>
                <c:pt idx="22">
                  <c:v>401</c:v>
                </c:pt>
                <c:pt idx="23">
                  <c:v>374</c:v>
                </c:pt>
                <c:pt idx="24">
                  <c:v>376</c:v>
                </c:pt>
                <c:pt idx="25">
                  <c:v>285</c:v>
                </c:pt>
                <c:pt idx="26">
                  <c:v>424</c:v>
                </c:pt>
                <c:pt idx="27">
                  <c:v>327</c:v>
                </c:pt>
                <c:pt idx="28">
                  <c:v>318</c:v>
                </c:pt>
                <c:pt idx="29">
                  <c:v>393</c:v>
                </c:pt>
              </c:numCache>
            </c:numRef>
          </c:val>
          <c:smooth val="0"/>
          <c:extLst>
            <c:ext xmlns:c16="http://schemas.microsoft.com/office/drawing/2014/chart" uri="{C3380CC4-5D6E-409C-BE32-E72D297353CC}">
              <c16:uniqueId val="{00000001-BE27-4D17-97FF-106B4F219B15}"/>
            </c:ext>
          </c:extLst>
        </c:ser>
        <c:dLbls>
          <c:showLegendKey val="0"/>
          <c:showVal val="0"/>
          <c:showCatName val="0"/>
          <c:showSerName val="0"/>
          <c:showPercent val="0"/>
          <c:showBubbleSize val="0"/>
        </c:dLbls>
        <c:smooth val="0"/>
        <c:axId val="762567599"/>
        <c:axId val="762566159"/>
      </c:lineChart>
      <c:catAx>
        <c:axId val="762567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latin typeface="+mn-lt"/>
                <a:ea typeface="+mn-ea"/>
                <a:cs typeface="+mn-cs"/>
              </a:defRPr>
            </a:pPr>
            <a:endParaRPr lang="en-US"/>
          </a:p>
        </c:txPr>
        <c:crossAx val="762566159"/>
        <c:crosses val="autoZero"/>
        <c:auto val="1"/>
        <c:lblAlgn val="ctr"/>
        <c:lblOffset val="100"/>
        <c:noMultiLvlLbl val="0"/>
      </c:catAx>
      <c:valAx>
        <c:axId val="762566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latin typeface="+mn-lt"/>
                <a:ea typeface="+mn-ea"/>
                <a:cs typeface="+mn-cs"/>
              </a:defRPr>
            </a:pPr>
            <a:endParaRPr lang="en-US"/>
          </a:p>
        </c:txPr>
        <c:crossAx val="762567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ln>
            <a:noFill/>
          </a:ln>
          <a:solidFill>
            <a:schemeClr val="tx1">
              <a:lumMod val="95000"/>
              <a:lumOff val="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Transactions(2023-2025).xlsx]Sheet6!PivotTable3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Store Location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4"/>
                <c:pt idx="0">
                  <c:v>Liam</c:v>
                </c:pt>
                <c:pt idx="1">
                  <c:v>Mia</c:v>
                </c:pt>
                <c:pt idx="2">
                  <c:v>Noah</c:v>
                </c:pt>
                <c:pt idx="3">
                  <c:v>Olivia</c:v>
                </c:pt>
              </c:strCache>
            </c:strRef>
          </c:cat>
          <c:val>
            <c:numRef>
              <c:f>Sheet6!$B$4:$B$8</c:f>
              <c:numCache>
                <c:formatCode>General</c:formatCode>
                <c:ptCount val="4"/>
                <c:pt idx="0">
                  <c:v>471476.29000000015</c:v>
                </c:pt>
                <c:pt idx="1">
                  <c:v>580957.42999999912</c:v>
                </c:pt>
                <c:pt idx="2">
                  <c:v>608430.73999999976</c:v>
                </c:pt>
                <c:pt idx="3">
                  <c:v>546779.08999999985</c:v>
                </c:pt>
              </c:numCache>
            </c:numRef>
          </c:val>
          <c:extLst>
            <c:ext xmlns:c16="http://schemas.microsoft.com/office/drawing/2014/chart" uri="{C3380CC4-5D6E-409C-BE32-E72D297353CC}">
              <c16:uniqueId val="{00000000-FEEA-4418-8240-4CF002257208}"/>
            </c:ext>
          </c:extLst>
        </c:ser>
        <c:dLbls>
          <c:dLblPos val="outEnd"/>
          <c:showLegendKey val="0"/>
          <c:showVal val="1"/>
          <c:showCatName val="0"/>
          <c:showSerName val="0"/>
          <c:showPercent val="0"/>
          <c:showBubbleSize val="0"/>
        </c:dLbls>
        <c:gapWidth val="219"/>
        <c:overlap val="-27"/>
        <c:axId val="762577679"/>
        <c:axId val="762576719"/>
      </c:barChart>
      <c:catAx>
        <c:axId val="762577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76719"/>
        <c:crosses val="autoZero"/>
        <c:auto val="1"/>
        <c:lblAlgn val="ctr"/>
        <c:lblOffset val="100"/>
        <c:noMultiLvlLbl val="0"/>
      </c:catAx>
      <c:valAx>
        <c:axId val="76257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7767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Transactions(2023-2025).xlsx]Sheet7!PivotTable4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Product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Sheet7!$B$3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Sheet7!$A$4:$A$11</c:f>
              <c:strCache>
                <c:ptCount val="7"/>
                <c:pt idx="0">
                  <c:v>Chair</c:v>
                </c:pt>
                <c:pt idx="1">
                  <c:v>Desk</c:v>
                </c:pt>
                <c:pt idx="2">
                  <c:v>Laptop</c:v>
                </c:pt>
                <c:pt idx="3">
                  <c:v>Monitor</c:v>
                </c:pt>
                <c:pt idx="4">
                  <c:v>Phone</c:v>
                </c:pt>
                <c:pt idx="5">
                  <c:v>Printer</c:v>
                </c:pt>
                <c:pt idx="6">
                  <c:v>Tablet</c:v>
                </c:pt>
              </c:strCache>
            </c:strRef>
          </c:cat>
          <c:val>
            <c:numRef>
              <c:f>Sheet7!$B$4:$B$11</c:f>
              <c:numCache>
                <c:formatCode>General</c:formatCode>
                <c:ptCount val="7"/>
                <c:pt idx="0">
                  <c:v>319442.15000000014</c:v>
                </c:pt>
                <c:pt idx="1">
                  <c:v>293278.60000000003</c:v>
                </c:pt>
                <c:pt idx="2">
                  <c:v>285263.21000000002</c:v>
                </c:pt>
                <c:pt idx="3">
                  <c:v>347995.6399999999</c:v>
                </c:pt>
                <c:pt idx="4">
                  <c:v>326211.21000000008</c:v>
                </c:pt>
                <c:pt idx="5">
                  <c:v>325584.94999999984</c:v>
                </c:pt>
                <c:pt idx="6">
                  <c:v>309867.79000000021</c:v>
                </c:pt>
              </c:numCache>
            </c:numRef>
          </c:val>
          <c:extLst>
            <c:ext xmlns:c16="http://schemas.microsoft.com/office/drawing/2014/chart" uri="{C3380CC4-5D6E-409C-BE32-E72D297353CC}">
              <c16:uniqueId val="{00000000-DB20-4E1B-A3CF-72C7B2C8954B}"/>
            </c:ext>
          </c:extLst>
        </c:ser>
        <c:dLbls>
          <c:dLblPos val="outEnd"/>
          <c:showLegendKey val="0"/>
          <c:showVal val="1"/>
          <c:showCatName val="0"/>
          <c:showSerName val="0"/>
          <c:showPercent val="0"/>
          <c:showBubbleSize val="0"/>
        </c:dLbls>
        <c:gapWidth val="219"/>
        <c:axId val="1471753455"/>
        <c:axId val="1471739535"/>
      </c:barChart>
      <c:catAx>
        <c:axId val="14717534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39535"/>
        <c:crosses val="autoZero"/>
        <c:auto val="1"/>
        <c:lblAlgn val="ctr"/>
        <c:lblOffset val="100"/>
        <c:noMultiLvlLbl val="0"/>
      </c:catAx>
      <c:valAx>
        <c:axId val="147173953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534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Transactions(2023-2025).xlsx]Sheet8!PivotTable5</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Payment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Sheet8!$B$3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87C-4449-9C2F-D9EA25FD09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87C-4449-9C2F-D9EA25FD09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87C-4449-9C2F-D9EA25FD09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87C-4449-9C2F-D9EA25FD090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87C-4449-9C2F-D9EA25FD090E}"/>
              </c:ext>
            </c:extLst>
          </c:dPt>
          <c:dLbls>
            <c:dLbl>
              <c:idx val="2"/>
              <c:layout>
                <c:manualLayout>
                  <c:x val="2.3216559735588609E-2"/>
                  <c:y val="1.9916892892676581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7C-4449-9C2F-D9EA25FD09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Sheet8!$A$4:$A$9</c:f>
              <c:strCache>
                <c:ptCount val="5"/>
                <c:pt idx="0">
                  <c:v>Cash</c:v>
                </c:pt>
                <c:pt idx="1">
                  <c:v>Credit Card</c:v>
                </c:pt>
                <c:pt idx="2">
                  <c:v>Debit Card</c:v>
                </c:pt>
                <c:pt idx="3">
                  <c:v>Gift Card</c:v>
                </c:pt>
                <c:pt idx="4">
                  <c:v>Online</c:v>
                </c:pt>
              </c:strCache>
            </c:strRef>
          </c:cat>
          <c:val>
            <c:numRef>
              <c:f>Sheet8!$B$4:$B$9</c:f>
              <c:numCache>
                <c:formatCode>General</c:formatCode>
                <c:ptCount val="5"/>
                <c:pt idx="0">
                  <c:v>416599.22999999986</c:v>
                </c:pt>
                <c:pt idx="1">
                  <c:v>474156.66000000027</c:v>
                </c:pt>
                <c:pt idx="2">
                  <c:v>498721.24</c:v>
                </c:pt>
                <c:pt idx="3">
                  <c:v>382384.33999999997</c:v>
                </c:pt>
                <c:pt idx="4">
                  <c:v>435782.0799999999</c:v>
                </c:pt>
              </c:numCache>
            </c:numRef>
          </c:val>
          <c:extLst>
            <c:ext xmlns:c16="http://schemas.microsoft.com/office/drawing/2014/chart" uri="{C3380CC4-5D6E-409C-BE32-E72D297353CC}">
              <c16:uniqueId val="{0000000A-887C-4449-9C2F-D9EA25FD090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Transactions(2023-2025).xlsx]Sheet9!PivotTable6</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Sales Performance by Loction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115141465057454E-2"/>
          <c:y val="0.21698855351414403"/>
          <c:w val="0.79052573972186535"/>
          <c:h val="0.50673337707786525"/>
        </c:manualLayout>
      </c:layout>
      <c:barChart>
        <c:barDir val="col"/>
        <c:grouping val="clustered"/>
        <c:varyColors val="0"/>
        <c:ser>
          <c:idx val="0"/>
          <c:order val="0"/>
          <c:tx>
            <c:strRef>
              <c:f>Sheet9!$B$3</c:f>
              <c:strCache>
                <c:ptCount val="1"/>
                <c:pt idx="0">
                  <c:v>Total</c:v>
                </c:pt>
              </c:strCache>
            </c:strRef>
          </c:tx>
          <c:spPr>
            <a:solidFill>
              <a:schemeClr val="accent1"/>
            </a:solidFill>
            <a:ln>
              <a:noFill/>
            </a:ln>
            <a:effectLst/>
          </c:spPr>
          <c:invertIfNegative val="0"/>
          <c:cat>
            <c:multiLvlStrRef>
              <c:f>Sheet9!$A$4:$A$20</c:f>
              <c:multiLvlStrCache>
                <c:ptCount val="12"/>
                <c:lvl>
                  <c:pt idx="0">
                    <c:v>2023</c:v>
                  </c:pt>
                  <c:pt idx="1">
                    <c:v>2024</c:v>
                  </c:pt>
                  <c:pt idx="2">
                    <c:v>2025</c:v>
                  </c:pt>
                  <c:pt idx="3">
                    <c:v>2023</c:v>
                  </c:pt>
                  <c:pt idx="4">
                    <c:v>2024</c:v>
                  </c:pt>
                  <c:pt idx="5">
                    <c:v>2025</c:v>
                  </c:pt>
                  <c:pt idx="6">
                    <c:v>2023</c:v>
                  </c:pt>
                  <c:pt idx="7">
                    <c:v>2024</c:v>
                  </c:pt>
                  <c:pt idx="8">
                    <c:v>2025</c:v>
                  </c:pt>
                  <c:pt idx="9">
                    <c:v>2023</c:v>
                  </c:pt>
                  <c:pt idx="10">
                    <c:v>2024</c:v>
                  </c:pt>
                  <c:pt idx="11">
                    <c:v>2025</c:v>
                  </c:pt>
                </c:lvl>
                <c:lvl>
                  <c:pt idx="0">
                    <c:v>Store A</c:v>
                  </c:pt>
                  <c:pt idx="3">
                    <c:v>Store B</c:v>
                  </c:pt>
                  <c:pt idx="6">
                    <c:v>Store C</c:v>
                  </c:pt>
                  <c:pt idx="9">
                    <c:v>Store D</c:v>
                  </c:pt>
                </c:lvl>
              </c:multiLvlStrCache>
            </c:multiLvlStrRef>
          </c:cat>
          <c:val>
            <c:numRef>
              <c:f>Sheet9!$B$4:$B$20</c:f>
              <c:numCache>
                <c:formatCode>General</c:formatCode>
                <c:ptCount val="12"/>
                <c:pt idx="0">
                  <c:v>223214.39000000007</c:v>
                </c:pt>
                <c:pt idx="1">
                  <c:v>207929.69000000006</c:v>
                </c:pt>
                <c:pt idx="2">
                  <c:v>91158.079999999973</c:v>
                </c:pt>
                <c:pt idx="3">
                  <c:v>238786.8</c:v>
                </c:pt>
                <c:pt idx="4">
                  <c:v>207699.07</c:v>
                </c:pt>
                <c:pt idx="5">
                  <c:v>91906.26</c:v>
                </c:pt>
                <c:pt idx="6">
                  <c:v>232890.9499999999</c:v>
                </c:pt>
                <c:pt idx="7">
                  <c:v>238202.96999999997</c:v>
                </c:pt>
                <c:pt idx="8">
                  <c:v>123915.12000000004</c:v>
                </c:pt>
                <c:pt idx="9">
                  <c:v>222963.86000000002</c:v>
                </c:pt>
                <c:pt idx="10">
                  <c:v>230694.08000000019</c:v>
                </c:pt>
                <c:pt idx="11">
                  <c:v>98282.280000000013</c:v>
                </c:pt>
              </c:numCache>
            </c:numRef>
          </c:val>
          <c:extLst>
            <c:ext xmlns:c16="http://schemas.microsoft.com/office/drawing/2014/chart" uri="{C3380CC4-5D6E-409C-BE32-E72D297353CC}">
              <c16:uniqueId val="{00000000-D533-4CEF-BE12-BAE9B3A66B69}"/>
            </c:ext>
          </c:extLst>
        </c:ser>
        <c:dLbls>
          <c:showLegendKey val="0"/>
          <c:showVal val="0"/>
          <c:showCatName val="0"/>
          <c:showSerName val="0"/>
          <c:showPercent val="0"/>
          <c:showBubbleSize val="0"/>
        </c:dLbls>
        <c:gapWidth val="150"/>
        <c:axId val="762545039"/>
        <c:axId val="1410541343"/>
      </c:barChart>
      <c:catAx>
        <c:axId val="762545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0541343"/>
        <c:crosses val="autoZero"/>
        <c:auto val="1"/>
        <c:lblAlgn val="ctr"/>
        <c:lblOffset val="100"/>
        <c:noMultiLvlLbl val="0"/>
      </c:catAx>
      <c:valAx>
        <c:axId val="1410541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4503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Transactions(2023-2025).xlsx]Sheet10!PivotTable7</c:name>
    <c:fmtId val="6"/>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IN"/>
              <a:t>Sales</a:t>
            </a:r>
            <a:r>
              <a:rPr lang="en-IN" baseline="0"/>
              <a:t> and Quantity by Product</a:t>
            </a:r>
            <a:endParaRPr lang="en-IN"/>
          </a:p>
        </c:rich>
      </c:tx>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Sheet10!$B$3</c:f>
              <c:strCache>
                <c:ptCount val="1"/>
                <c:pt idx="0">
                  <c:v>Sum of TotalPrice</c:v>
                </c:pt>
              </c:strCache>
            </c:strRef>
          </c:tx>
          <c:spPr>
            <a:solidFill>
              <a:schemeClr val="accent1"/>
            </a:solidFill>
            <a:ln>
              <a:noFill/>
            </a:ln>
            <a:effectLst/>
          </c:spPr>
          <c:invertIfNegative val="0"/>
          <c:cat>
            <c:strRef>
              <c:f>Sheet10!$A$4:$A$11</c:f>
              <c:strCache>
                <c:ptCount val="7"/>
                <c:pt idx="0">
                  <c:v>Chair</c:v>
                </c:pt>
                <c:pt idx="1">
                  <c:v>Desk</c:v>
                </c:pt>
                <c:pt idx="2">
                  <c:v>Laptop</c:v>
                </c:pt>
                <c:pt idx="3">
                  <c:v>Monitor</c:v>
                </c:pt>
                <c:pt idx="4">
                  <c:v>Phone</c:v>
                </c:pt>
                <c:pt idx="5">
                  <c:v>Printer</c:v>
                </c:pt>
                <c:pt idx="6">
                  <c:v>Tablet</c:v>
                </c:pt>
              </c:strCache>
            </c:strRef>
          </c:cat>
          <c:val>
            <c:numRef>
              <c:f>Sheet10!$B$4:$B$11</c:f>
              <c:numCache>
                <c:formatCode>General</c:formatCode>
                <c:ptCount val="7"/>
                <c:pt idx="0">
                  <c:v>319442.15000000014</c:v>
                </c:pt>
                <c:pt idx="1">
                  <c:v>293278.60000000003</c:v>
                </c:pt>
                <c:pt idx="2">
                  <c:v>285263.21000000002</c:v>
                </c:pt>
                <c:pt idx="3">
                  <c:v>347995.6399999999</c:v>
                </c:pt>
                <c:pt idx="4">
                  <c:v>326211.21000000008</c:v>
                </c:pt>
                <c:pt idx="5">
                  <c:v>325584.94999999984</c:v>
                </c:pt>
                <c:pt idx="6">
                  <c:v>309867.79000000021</c:v>
                </c:pt>
              </c:numCache>
            </c:numRef>
          </c:val>
          <c:extLst>
            <c:ext xmlns:c16="http://schemas.microsoft.com/office/drawing/2014/chart" uri="{C3380CC4-5D6E-409C-BE32-E72D297353CC}">
              <c16:uniqueId val="{00000000-36A5-4804-82BD-0250FDD8A7AC}"/>
            </c:ext>
          </c:extLst>
        </c:ser>
        <c:dLbls>
          <c:showLegendKey val="0"/>
          <c:showVal val="0"/>
          <c:showCatName val="0"/>
          <c:showSerName val="0"/>
          <c:showPercent val="0"/>
          <c:showBubbleSize val="0"/>
        </c:dLbls>
        <c:gapWidth val="150"/>
        <c:axId val="260728128"/>
        <c:axId val="260725728"/>
      </c:barChart>
      <c:lineChart>
        <c:grouping val="standard"/>
        <c:varyColors val="0"/>
        <c:ser>
          <c:idx val="1"/>
          <c:order val="1"/>
          <c:tx>
            <c:strRef>
              <c:f>Sheet10!$C$3</c:f>
              <c:strCache>
                <c:ptCount val="1"/>
                <c:pt idx="0">
                  <c:v>Sum of Quantity</c:v>
                </c:pt>
              </c:strCache>
            </c:strRef>
          </c:tx>
          <c:spPr>
            <a:ln w="28575" cap="rnd">
              <a:solidFill>
                <a:schemeClr val="accent2"/>
              </a:solidFill>
              <a:round/>
            </a:ln>
            <a:effectLst/>
          </c:spPr>
          <c:marker>
            <c:symbol val="none"/>
          </c:marker>
          <c:cat>
            <c:strRef>
              <c:f>Sheet10!$A$4:$A$11</c:f>
              <c:strCache>
                <c:ptCount val="7"/>
                <c:pt idx="0">
                  <c:v>Chair</c:v>
                </c:pt>
                <c:pt idx="1">
                  <c:v>Desk</c:v>
                </c:pt>
                <c:pt idx="2">
                  <c:v>Laptop</c:v>
                </c:pt>
                <c:pt idx="3">
                  <c:v>Monitor</c:v>
                </c:pt>
                <c:pt idx="4">
                  <c:v>Phone</c:v>
                </c:pt>
                <c:pt idx="5">
                  <c:v>Printer</c:v>
                </c:pt>
                <c:pt idx="6">
                  <c:v>Tablet</c:v>
                </c:pt>
              </c:strCache>
            </c:strRef>
          </c:cat>
          <c:val>
            <c:numRef>
              <c:f>Sheet10!$C$4:$C$11</c:f>
              <c:numCache>
                <c:formatCode>General</c:formatCode>
                <c:ptCount val="7"/>
                <c:pt idx="0">
                  <c:v>1553</c:v>
                </c:pt>
                <c:pt idx="1">
                  <c:v>1473</c:v>
                </c:pt>
                <c:pt idx="2">
                  <c:v>1496</c:v>
                </c:pt>
                <c:pt idx="3">
                  <c:v>1621</c:v>
                </c:pt>
                <c:pt idx="4">
                  <c:v>1609</c:v>
                </c:pt>
                <c:pt idx="5">
                  <c:v>1675</c:v>
                </c:pt>
                <c:pt idx="6">
                  <c:v>1630</c:v>
                </c:pt>
              </c:numCache>
            </c:numRef>
          </c:val>
          <c:smooth val="0"/>
          <c:extLst>
            <c:ext xmlns:c16="http://schemas.microsoft.com/office/drawing/2014/chart" uri="{C3380CC4-5D6E-409C-BE32-E72D297353CC}">
              <c16:uniqueId val="{00000001-36A5-4804-82BD-0250FDD8A7AC}"/>
            </c:ext>
          </c:extLst>
        </c:ser>
        <c:dLbls>
          <c:showLegendKey val="0"/>
          <c:showVal val="0"/>
          <c:showCatName val="0"/>
          <c:showSerName val="0"/>
          <c:showPercent val="0"/>
          <c:showBubbleSize val="0"/>
        </c:dLbls>
        <c:marker val="1"/>
        <c:smooth val="0"/>
        <c:axId val="260727168"/>
        <c:axId val="260726688"/>
      </c:lineChart>
      <c:catAx>
        <c:axId val="260728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5728"/>
        <c:crosses val="autoZero"/>
        <c:auto val="1"/>
        <c:lblAlgn val="ctr"/>
        <c:lblOffset val="100"/>
        <c:noMultiLvlLbl val="0"/>
      </c:catAx>
      <c:valAx>
        <c:axId val="260725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8128"/>
        <c:crosses val="autoZero"/>
        <c:crossBetween val="between"/>
      </c:valAx>
      <c:valAx>
        <c:axId val="260726688"/>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7168"/>
        <c:crosses val="max"/>
        <c:crossBetween val="between"/>
      </c:valAx>
      <c:catAx>
        <c:axId val="260727168"/>
        <c:scaling>
          <c:orientation val="minMax"/>
        </c:scaling>
        <c:delete val="1"/>
        <c:axPos val="b"/>
        <c:numFmt formatCode="General" sourceLinked="1"/>
        <c:majorTickMark val="none"/>
        <c:minorTickMark val="none"/>
        <c:tickLblPos val="nextTo"/>
        <c:crossAx val="26072668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Transactions(2023-2025).xlsx]montly sales and quantity trend!PivotTable1</c:name>
    <c:fmtId val="21"/>
  </c:pivotSource>
  <c:chart>
    <c:title>
      <c:tx>
        <c:rich>
          <a:bodyPr rot="0" spcFirstLastPara="1" vertOverflow="ellipsis" vert="horz" wrap="square" anchor="ctr" anchorCtr="1"/>
          <a:lstStyle/>
          <a:p>
            <a:pPr>
              <a:defRPr sz="1400" b="1" i="0" u="none" strike="noStrike" kern="1200" spc="0" baseline="0">
                <a:ln>
                  <a:noFill/>
                </a:ln>
                <a:solidFill>
                  <a:schemeClr val="tx1">
                    <a:lumMod val="95000"/>
                    <a:lumOff val="5000"/>
                  </a:schemeClr>
                </a:solidFill>
                <a:latin typeface="Aptos" panose="020B0004020202020204" pitchFamily="34" charset="0"/>
                <a:ea typeface="+mn-ea"/>
                <a:cs typeface="+mn-cs"/>
              </a:defRPr>
            </a:pPr>
            <a:r>
              <a:rPr lang="en-IN" b="1">
                <a:latin typeface="Aptos" panose="020B0004020202020204" pitchFamily="34" charset="0"/>
              </a:rPr>
              <a:t>Monthly Sales &amp; Quantity Trend</a:t>
            </a:r>
          </a:p>
          <a:p>
            <a:pPr>
              <a:defRPr b="1">
                <a:latin typeface="Aptos" panose="020B0004020202020204" pitchFamily="34" charset="0"/>
              </a:defRPr>
            </a:pPr>
            <a:endParaRPr lang="en-IN" b="1">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ln>
                <a:noFill/>
              </a:ln>
              <a:solidFill>
                <a:schemeClr val="tx1">
                  <a:lumMod val="95000"/>
                  <a:lumOff val="5000"/>
                </a:schemeClr>
              </a:solidFill>
              <a:latin typeface="Aptos" panose="020B0004020202020204" pitchFamily="34" charset="0"/>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'montly sales and quantity trend'!$B$3</c:f>
              <c:strCache>
                <c:ptCount val="1"/>
                <c:pt idx="0">
                  <c:v>Total Sales</c:v>
                </c:pt>
              </c:strCache>
            </c:strRef>
          </c:tx>
          <c:spPr>
            <a:ln w="28575" cap="rnd">
              <a:solidFill>
                <a:schemeClr val="accent1"/>
              </a:solidFill>
              <a:round/>
            </a:ln>
            <a:effectLst/>
          </c:spPr>
          <c:marker>
            <c:symbol val="none"/>
          </c:marker>
          <c:cat>
            <c:multiLvlStrRef>
              <c:f>'montly sales and quantity trend'!$A$4:$A$37</c:f>
              <c:multiLvlStrCache>
                <c:ptCount val="30"/>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lvl>
                <c:lvl>
                  <c:pt idx="0">
                    <c:v>2023</c:v>
                  </c:pt>
                  <c:pt idx="12">
                    <c:v>2024</c:v>
                  </c:pt>
                  <c:pt idx="24">
                    <c:v>2025</c:v>
                  </c:pt>
                </c:lvl>
              </c:multiLvlStrCache>
            </c:multiLvlStrRef>
          </c:cat>
          <c:val>
            <c:numRef>
              <c:f>'montly sales and quantity trend'!$B$4:$B$37</c:f>
              <c:numCache>
                <c:formatCode>General</c:formatCode>
                <c:ptCount val="30"/>
                <c:pt idx="0">
                  <c:v>79024.959999999992</c:v>
                </c:pt>
                <c:pt idx="1">
                  <c:v>65933.260000000009</c:v>
                </c:pt>
                <c:pt idx="2">
                  <c:v>93869.84</c:v>
                </c:pt>
                <c:pt idx="3">
                  <c:v>85854.10000000002</c:v>
                </c:pt>
                <c:pt idx="4">
                  <c:v>89330.11</c:v>
                </c:pt>
                <c:pt idx="5">
                  <c:v>68123.56</c:v>
                </c:pt>
                <c:pt idx="6">
                  <c:v>48789.179999999993</c:v>
                </c:pt>
                <c:pt idx="7">
                  <c:v>63106.260000000009</c:v>
                </c:pt>
                <c:pt idx="8">
                  <c:v>79470.030000000013</c:v>
                </c:pt>
                <c:pt idx="9">
                  <c:v>69640.429999999993</c:v>
                </c:pt>
                <c:pt idx="10">
                  <c:v>91532.21</c:v>
                </c:pt>
                <c:pt idx="11">
                  <c:v>83182.060000000041</c:v>
                </c:pt>
                <c:pt idx="12">
                  <c:v>80836.75999999998</c:v>
                </c:pt>
                <c:pt idx="13">
                  <c:v>66256.180000000022</c:v>
                </c:pt>
                <c:pt idx="14">
                  <c:v>77380.720000000016</c:v>
                </c:pt>
                <c:pt idx="15">
                  <c:v>65795.42</c:v>
                </c:pt>
                <c:pt idx="16">
                  <c:v>93687.65</c:v>
                </c:pt>
                <c:pt idx="17">
                  <c:v>75827.589999999982</c:v>
                </c:pt>
                <c:pt idx="18">
                  <c:v>74659.179999999993</c:v>
                </c:pt>
                <c:pt idx="19">
                  <c:v>39286.18</c:v>
                </c:pt>
                <c:pt idx="20">
                  <c:v>65209.520000000026</c:v>
                </c:pt>
                <c:pt idx="21">
                  <c:v>74019.560000000012</c:v>
                </c:pt>
                <c:pt idx="22">
                  <c:v>94960.080000000016</c:v>
                </c:pt>
                <c:pt idx="23">
                  <c:v>76606.97</c:v>
                </c:pt>
                <c:pt idx="24">
                  <c:v>58466.290000000008</c:v>
                </c:pt>
                <c:pt idx="25">
                  <c:v>46896.679999999993</c:v>
                </c:pt>
                <c:pt idx="26">
                  <c:v>82562.31</c:v>
                </c:pt>
                <c:pt idx="27">
                  <c:v>58980.739999999991</c:v>
                </c:pt>
                <c:pt idx="28">
                  <c:v>69889.75</c:v>
                </c:pt>
                <c:pt idx="29">
                  <c:v>88465.97</c:v>
                </c:pt>
              </c:numCache>
            </c:numRef>
          </c:val>
          <c:smooth val="0"/>
          <c:extLst>
            <c:ext xmlns:c16="http://schemas.microsoft.com/office/drawing/2014/chart" uri="{C3380CC4-5D6E-409C-BE32-E72D297353CC}">
              <c16:uniqueId val="{00000000-724E-4185-B0E6-8A064F0C6149}"/>
            </c:ext>
          </c:extLst>
        </c:ser>
        <c:ser>
          <c:idx val="1"/>
          <c:order val="1"/>
          <c:tx>
            <c:strRef>
              <c:f>'montly sales and quantity trend'!$C$3</c:f>
              <c:strCache>
                <c:ptCount val="1"/>
                <c:pt idx="0">
                  <c:v>Total Quantity</c:v>
                </c:pt>
              </c:strCache>
            </c:strRef>
          </c:tx>
          <c:spPr>
            <a:ln w="28575" cap="rnd">
              <a:solidFill>
                <a:schemeClr val="accent2"/>
              </a:solidFill>
              <a:round/>
            </a:ln>
            <a:effectLst/>
          </c:spPr>
          <c:marker>
            <c:symbol val="none"/>
          </c:marker>
          <c:cat>
            <c:multiLvlStrRef>
              <c:f>'montly sales and quantity trend'!$A$4:$A$37</c:f>
              <c:multiLvlStrCache>
                <c:ptCount val="30"/>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lvl>
                <c:lvl>
                  <c:pt idx="0">
                    <c:v>2023</c:v>
                  </c:pt>
                  <c:pt idx="12">
                    <c:v>2024</c:v>
                  </c:pt>
                  <c:pt idx="24">
                    <c:v>2025</c:v>
                  </c:pt>
                </c:lvl>
              </c:multiLvlStrCache>
            </c:multiLvlStrRef>
          </c:cat>
          <c:val>
            <c:numRef>
              <c:f>'montly sales and quantity trend'!$C$4:$C$37</c:f>
              <c:numCache>
                <c:formatCode>General</c:formatCode>
                <c:ptCount val="30"/>
                <c:pt idx="0">
                  <c:v>450</c:v>
                </c:pt>
                <c:pt idx="1">
                  <c:v>292</c:v>
                </c:pt>
                <c:pt idx="2">
                  <c:v>453</c:v>
                </c:pt>
                <c:pt idx="3">
                  <c:v>380</c:v>
                </c:pt>
                <c:pt idx="4">
                  <c:v>431</c:v>
                </c:pt>
                <c:pt idx="5">
                  <c:v>352</c:v>
                </c:pt>
                <c:pt idx="6">
                  <c:v>278</c:v>
                </c:pt>
                <c:pt idx="7">
                  <c:v>317</c:v>
                </c:pt>
                <c:pt idx="8">
                  <c:v>438</c:v>
                </c:pt>
                <c:pt idx="9">
                  <c:v>336</c:v>
                </c:pt>
                <c:pt idx="10">
                  <c:v>444</c:v>
                </c:pt>
                <c:pt idx="11">
                  <c:v>390</c:v>
                </c:pt>
                <c:pt idx="12">
                  <c:v>364</c:v>
                </c:pt>
                <c:pt idx="13">
                  <c:v>340</c:v>
                </c:pt>
                <c:pt idx="14">
                  <c:v>395</c:v>
                </c:pt>
                <c:pt idx="15">
                  <c:v>290</c:v>
                </c:pt>
                <c:pt idx="16">
                  <c:v>413</c:v>
                </c:pt>
                <c:pt idx="17">
                  <c:v>389</c:v>
                </c:pt>
                <c:pt idx="18">
                  <c:v>400</c:v>
                </c:pt>
                <c:pt idx="19">
                  <c:v>281</c:v>
                </c:pt>
                <c:pt idx="20">
                  <c:v>362</c:v>
                </c:pt>
                <c:pt idx="21">
                  <c:v>364</c:v>
                </c:pt>
                <c:pt idx="22">
                  <c:v>401</c:v>
                </c:pt>
                <c:pt idx="23">
                  <c:v>374</c:v>
                </c:pt>
                <c:pt idx="24">
                  <c:v>376</c:v>
                </c:pt>
                <c:pt idx="25">
                  <c:v>285</c:v>
                </c:pt>
                <c:pt idx="26">
                  <c:v>424</c:v>
                </c:pt>
                <c:pt idx="27">
                  <c:v>327</c:v>
                </c:pt>
                <c:pt idx="28">
                  <c:v>318</c:v>
                </c:pt>
                <c:pt idx="29">
                  <c:v>393</c:v>
                </c:pt>
              </c:numCache>
            </c:numRef>
          </c:val>
          <c:smooth val="0"/>
          <c:extLst>
            <c:ext xmlns:c16="http://schemas.microsoft.com/office/drawing/2014/chart" uri="{C3380CC4-5D6E-409C-BE32-E72D297353CC}">
              <c16:uniqueId val="{00000001-724E-4185-B0E6-8A064F0C6149}"/>
            </c:ext>
          </c:extLst>
        </c:ser>
        <c:dLbls>
          <c:showLegendKey val="0"/>
          <c:showVal val="0"/>
          <c:showCatName val="0"/>
          <c:showSerName val="0"/>
          <c:showPercent val="0"/>
          <c:showBubbleSize val="0"/>
        </c:dLbls>
        <c:smooth val="0"/>
        <c:axId val="762567599"/>
        <c:axId val="762566159"/>
      </c:lineChart>
      <c:catAx>
        <c:axId val="762567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latin typeface="+mn-lt"/>
                <a:ea typeface="+mn-ea"/>
                <a:cs typeface="+mn-cs"/>
              </a:defRPr>
            </a:pPr>
            <a:endParaRPr lang="en-US"/>
          </a:p>
        </c:txPr>
        <c:crossAx val="762566159"/>
        <c:crosses val="autoZero"/>
        <c:auto val="1"/>
        <c:lblAlgn val="ctr"/>
        <c:lblOffset val="100"/>
        <c:noMultiLvlLbl val="0"/>
      </c:catAx>
      <c:valAx>
        <c:axId val="762566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latin typeface="+mn-lt"/>
                <a:ea typeface="+mn-ea"/>
                <a:cs typeface="+mn-cs"/>
              </a:defRPr>
            </a:pPr>
            <a:endParaRPr lang="en-US"/>
          </a:p>
        </c:txPr>
        <c:crossAx val="762567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95000"/>
          <a:lumOff val="5000"/>
        </a:schemeClr>
      </a:solidFill>
      <a:round/>
    </a:ln>
    <a:effectLst/>
  </c:spPr>
  <c:txPr>
    <a:bodyPr/>
    <a:lstStyle/>
    <a:p>
      <a:pPr>
        <a:defRPr>
          <a:ln>
            <a:noFill/>
          </a:ln>
          <a:solidFill>
            <a:schemeClr val="tx1">
              <a:lumMod val="95000"/>
              <a:lumOff val="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Transactions(2023-2025).xlsx]Sheet9!PivotTable6</c:name>
    <c:fmtId val="20"/>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r>
              <a:rPr lang="en-US" b="1">
                <a:solidFill>
                  <a:sysClr val="windowText" lastClr="000000"/>
                </a:solidFill>
                <a:latin typeface="Aptos" panose="020B0004020202020204" pitchFamily="34" charset="0"/>
              </a:rPr>
              <a:t>Yearly</a:t>
            </a:r>
            <a:r>
              <a:rPr lang="en-US" b="1" baseline="0">
                <a:solidFill>
                  <a:sysClr val="windowText" lastClr="000000"/>
                </a:solidFill>
                <a:latin typeface="Aptos" panose="020B0004020202020204" pitchFamily="34" charset="0"/>
              </a:rPr>
              <a:t> Sales Performance by Loction</a:t>
            </a:r>
            <a:endParaRPr lang="en-US" b="1">
              <a:solidFill>
                <a:sysClr val="windowText" lastClr="000000"/>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115141465057454E-2"/>
          <c:y val="0.21698855351414403"/>
          <c:w val="0.79052573972186535"/>
          <c:h val="0.50673337707786525"/>
        </c:manualLayout>
      </c:layout>
      <c:barChart>
        <c:barDir val="col"/>
        <c:grouping val="clustered"/>
        <c:varyColors val="0"/>
        <c:ser>
          <c:idx val="0"/>
          <c:order val="0"/>
          <c:tx>
            <c:strRef>
              <c:f>Sheet9!$B$3</c:f>
              <c:strCache>
                <c:ptCount val="1"/>
                <c:pt idx="0">
                  <c:v>Total</c:v>
                </c:pt>
              </c:strCache>
            </c:strRef>
          </c:tx>
          <c:spPr>
            <a:solidFill>
              <a:schemeClr val="accent1"/>
            </a:solidFill>
            <a:ln>
              <a:noFill/>
            </a:ln>
            <a:effectLst/>
          </c:spPr>
          <c:invertIfNegative val="0"/>
          <c:cat>
            <c:multiLvlStrRef>
              <c:f>Sheet9!$A$4:$A$20</c:f>
              <c:multiLvlStrCache>
                <c:ptCount val="12"/>
                <c:lvl>
                  <c:pt idx="0">
                    <c:v>2023</c:v>
                  </c:pt>
                  <c:pt idx="1">
                    <c:v>2024</c:v>
                  </c:pt>
                  <c:pt idx="2">
                    <c:v>2025</c:v>
                  </c:pt>
                  <c:pt idx="3">
                    <c:v>2023</c:v>
                  </c:pt>
                  <c:pt idx="4">
                    <c:v>2024</c:v>
                  </c:pt>
                  <c:pt idx="5">
                    <c:v>2025</c:v>
                  </c:pt>
                  <c:pt idx="6">
                    <c:v>2023</c:v>
                  </c:pt>
                  <c:pt idx="7">
                    <c:v>2024</c:v>
                  </c:pt>
                  <c:pt idx="8">
                    <c:v>2025</c:v>
                  </c:pt>
                  <c:pt idx="9">
                    <c:v>2023</c:v>
                  </c:pt>
                  <c:pt idx="10">
                    <c:v>2024</c:v>
                  </c:pt>
                  <c:pt idx="11">
                    <c:v>2025</c:v>
                  </c:pt>
                </c:lvl>
                <c:lvl>
                  <c:pt idx="0">
                    <c:v>Store A</c:v>
                  </c:pt>
                  <c:pt idx="3">
                    <c:v>Store B</c:v>
                  </c:pt>
                  <c:pt idx="6">
                    <c:v>Store C</c:v>
                  </c:pt>
                  <c:pt idx="9">
                    <c:v>Store D</c:v>
                  </c:pt>
                </c:lvl>
              </c:multiLvlStrCache>
            </c:multiLvlStrRef>
          </c:cat>
          <c:val>
            <c:numRef>
              <c:f>Sheet9!$B$4:$B$20</c:f>
              <c:numCache>
                <c:formatCode>General</c:formatCode>
                <c:ptCount val="12"/>
                <c:pt idx="0">
                  <c:v>223214.39000000007</c:v>
                </c:pt>
                <c:pt idx="1">
                  <c:v>207929.69000000006</c:v>
                </c:pt>
                <c:pt idx="2">
                  <c:v>91158.079999999973</c:v>
                </c:pt>
                <c:pt idx="3">
                  <c:v>238786.8</c:v>
                </c:pt>
                <c:pt idx="4">
                  <c:v>207699.07</c:v>
                </c:pt>
                <c:pt idx="5">
                  <c:v>91906.26</c:v>
                </c:pt>
                <c:pt idx="6">
                  <c:v>232890.9499999999</c:v>
                </c:pt>
                <c:pt idx="7">
                  <c:v>238202.96999999997</c:v>
                </c:pt>
                <c:pt idx="8">
                  <c:v>123915.12000000004</c:v>
                </c:pt>
                <c:pt idx="9">
                  <c:v>222963.86000000002</c:v>
                </c:pt>
                <c:pt idx="10">
                  <c:v>230694.08000000019</c:v>
                </c:pt>
                <c:pt idx="11">
                  <c:v>98282.280000000013</c:v>
                </c:pt>
              </c:numCache>
            </c:numRef>
          </c:val>
          <c:extLst>
            <c:ext xmlns:c16="http://schemas.microsoft.com/office/drawing/2014/chart" uri="{C3380CC4-5D6E-409C-BE32-E72D297353CC}">
              <c16:uniqueId val="{00000000-989E-4EFF-8C6A-99C08FCB2DE0}"/>
            </c:ext>
          </c:extLst>
        </c:ser>
        <c:dLbls>
          <c:showLegendKey val="0"/>
          <c:showVal val="0"/>
          <c:showCatName val="0"/>
          <c:showSerName val="0"/>
          <c:showPercent val="0"/>
          <c:showBubbleSize val="0"/>
        </c:dLbls>
        <c:gapWidth val="150"/>
        <c:axId val="762545039"/>
        <c:axId val="1410541343"/>
      </c:barChart>
      <c:catAx>
        <c:axId val="762545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0541343"/>
        <c:crosses val="autoZero"/>
        <c:auto val="1"/>
        <c:lblAlgn val="ctr"/>
        <c:lblOffset val="100"/>
        <c:noMultiLvlLbl val="0"/>
      </c:catAx>
      <c:valAx>
        <c:axId val="1410541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4503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Transactions(2023-2025).xlsx]Sheet8!PivotTable5</c:name>
    <c:fmtId val="14"/>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r>
              <a:rPr lang="en-US" sz="1400" b="1">
                <a:solidFill>
                  <a:sysClr val="windowText" lastClr="000000"/>
                </a:solidFill>
                <a:latin typeface="Aptos" panose="020B0004020202020204" pitchFamily="34" charset="0"/>
              </a:rPr>
              <a:t>Sales</a:t>
            </a:r>
            <a:r>
              <a:rPr lang="en-US" sz="1400" b="1" baseline="0">
                <a:solidFill>
                  <a:sysClr val="windowText" lastClr="000000"/>
                </a:solidFill>
                <a:latin typeface="Aptos" panose="020B0004020202020204" pitchFamily="34" charset="0"/>
              </a:rPr>
              <a:t> by Payment Type</a:t>
            </a:r>
            <a:endParaRPr lang="en-US" sz="1400" b="1">
              <a:solidFill>
                <a:sysClr val="windowText" lastClr="000000"/>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dLbl>
          <c:idx val="0"/>
          <c:layout>
            <c:manualLayout>
              <c:x val="2.3216559735588609E-2"/>
              <c:y val="1.99168928926765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doughnutChart>
        <c:varyColors val="1"/>
        <c:ser>
          <c:idx val="0"/>
          <c:order val="0"/>
          <c:tx>
            <c:strRef>
              <c:f>Sheet8!$B$3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5B-449A-B641-FDCCCC0502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A5B-449A-B641-FDCCCC0502A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A5B-449A-B641-FDCCCC0502A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A5B-449A-B641-FDCCCC0502A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A5B-449A-B641-FDCCCC0502A0}"/>
              </c:ext>
            </c:extLst>
          </c:dPt>
          <c:dLbls>
            <c:dLbl>
              <c:idx val="2"/>
              <c:layout>
                <c:manualLayout>
                  <c:x val="2.3216559735588609E-2"/>
                  <c:y val="1.991689289267658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A5B-449A-B641-FDCCCC0502A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Sheet8!$A$4:$A$9</c:f>
              <c:strCache>
                <c:ptCount val="5"/>
                <c:pt idx="0">
                  <c:v>Cash</c:v>
                </c:pt>
                <c:pt idx="1">
                  <c:v>Credit Card</c:v>
                </c:pt>
                <c:pt idx="2">
                  <c:v>Debit Card</c:v>
                </c:pt>
                <c:pt idx="3">
                  <c:v>Gift Card</c:v>
                </c:pt>
                <c:pt idx="4">
                  <c:v>Online</c:v>
                </c:pt>
              </c:strCache>
            </c:strRef>
          </c:cat>
          <c:val>
            <c:numRef>
              <c:f>Sheet8!$B$4:$B$9</c:f>
              <c:numCache>
                <c:formatCode>General</c:formatCode>
                <c:ptCount val="5"/>
                <c:pt idx="0">
                  <c:v>416599.22999999986</c:v>
                </c:pt>
                <c:pt idx="1">
                  <c:v>474156.66000000027</c:v>
                </c:pt>
                <c:pt idx="2">
                  <c:v>498721.24</c:v>
                </c:pt>
                <c:pt idx="3">
                  <c:v>382384.33999999997</c:v>
                </c:pt>
                <c:pt idx="4">
                  <c:v>435782.0799999999</c:v>
                </c:pt>
              </c:numCache>
            </c:numRef>
          </c:val>
          <c:extLst>
            <c:ext xmlns:c16="http://schemas.microsoft.com/office/drawing/2014/chart" uri="{C3380CC4-5D6E-409C-BE32-E72D297353CC}">
              <c16:uniqueId val="{0000000A-5A5B-449A-B641-FDCCCC0502A0}"/>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Transactions(2023-2025).xlsx]Sheet6!PivotTable3</c:name>
    <c:fmtId val="7"/>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r>
              <a:rPr lang="en-IN" b="1">
                <a:solidFill>
                  <a:sysClr val="windowText" lastClr="000000"/>
                </a:solidFill>
                <a:latin typeface="Aptos" panose="020B0004020202020204" pitchFamily="34" charset="0"/>
              </a:rPr>
              <a:t>Sales</a:t>
            </a:r>
            <a:r>
              <a:rPr lang="en-IN" b="1" baseline="0">
                <a:solidFill>
                  <a:sysClr val="windowText" lastClr="000000"/>
                </a:solidFill>
                <a:latin typeface="Aptos" panose="020B0004020202020204" pitchFamily="34" charset="0"/>
              </a:rPr>
              <a:t> by Store Manager</a:t>
            </a:r>
            <a:endParaRPr lang="en-IN" b="1">
              <a:solidFill>
                <a:sysClr val="windowText" lastClr="000000"/>
              </a:solidFill>
              <a:latin typeface="Aptos" panose="020B0004020202020204" pitchFamily="34" charset="0"/>
            </a:endParaRPr>
          </a:p>
        </c:rich>
      </c:tx>
      <c:layout>
        <c:manualLayout>
          <c:xMode val="edge"/>
          <c:yMode val="edge"/>
          <c:x val="0.30137924019824047"/>
          <c:y val="8.45832520032833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4"/>
                <c:pt idx="0">
                  <c:v>Liam</c:v>
                </c:pt>
                <c:pt idx="1">
                  <c:v>Mia</c:v>
                </c:pt>
                <c:pt idx="2">
                  <c:v>Noah</c:v>
                </c:pt>
                <c:pt idx="3">
                  <c:v>Olivia</c:v>
                </c:pt>
              </c:strCache>
            </c:strRef>
          </c:cat>
          <c:val>
            <c:numRef>
              <c:f>Sheet6!$B$4:$B$8</c:f>
              <c:numCache>
                <c:formatCode>General</c:formatCode>
                <c:ptCount val="4"/>
                <c:pt idx="0">
                  <c:v>471476.29000000015</c:v>
                </c:pt>
                <c:pt idx="1">
                  <c:v>580957.42999999912</c:v>
                </c:pt>
                <c:pt idx="2">
                  <c:v>608430.73999999976</c:v>
                </c:pt>
                <c:pt idx="3">
                  <c:v>546779.08999999985</c:v>
                </c:pt>
              </c:numCache>
            </c:numRef>
          </c:val>
          <c:extLst>
            <c:ext xmlns:c16="http://schemas.microsoft.com/office/drawing/2014/chart" uri="{C3380CC4-5D6E-409C-BE32-E72D297353CC}">
              <c16:uniqueId val="{00000000-097C-4D2B-A08D-B30F64491216}"/>
            </c:ext>
          </c:extLst>
        </c:ser>
        <c:dLbls>
          <c:dLblPos val="outEnd"/>
          <c:showLegendKey val="0"/>
          <c:showVal val="1"/>
          <c:showCatName val="0"/>
          <c:showSerName val="0"/>
          <c:showPercent val="0"/>
          <c:showBubbleSize val="0"/>
        </c:dLbls>
        <c:gapWidth val="219"/>
        <c:overlap val="-27"/>
        <c:axId val="762577679"/>
        <c:axId val="762576719"/>
      </c:barChart>
      <c:catAx>
        <c:axId val="762577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76719"/>
        <c:crosses val="autoZero"/>
        <c:auto val="1"/>
        <c:lblAlgn val="ctr"/>
        <c:lblOffset val="100"/>
        <c:noMultiLvlLbl val="0"/>
      </c:catAx>
      <c:valAx>
        <c:axId val="76257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57767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tileRect/>
    </a:gra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Transactions(2023-2025).xlsx]Sheet7!PivotTable4</c:name>
    <c:fmtId val="18"/>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r>
              <a:rPr lang="en-US" b="1">
                <a:solidFill>
                  <a:sysClr val="windowText" lastClr="000000"/>
                </a:solidFill>
                <a:latin typeface="Aptos" panose="020B0004020202020204" pitchFamily="34" charset="0"/>
              </a:rPr>
              <a:t>Top</a:t>
            </a:r>
            <a:r>
              <a:rPr lang="en-US" b="1" baseline="0">
                <a:solidFill>
                  <a:sysClr val="windowText" lastClr="000000"/>
                </a:solidFill>
                <a:latin typeface="Aptos" panose="020B0004020202020204" pitchFamily="34" charset="0"/>
              </a:rPr>
              <a:t> 5 Product Performance</a:t>
            </a:r>
            <a:endParaRPr lang="en-US" b="1">
              <a:solidFill>
                <a:sysClr val="windowText" lastClr="000000"/>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Sheet7!$B$3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Sheet7!$A$4:$A$11</c:f>
              <c:strCache>
                <c:ptCount val="7"/>
                <c:pt idx="0">
                  <c:v>Chair</c:v>
                </c:pt>
                <c:pt idx="1">
                  <c:v>Desk</c:v>
                </c:pt>
                <c:pt idx="2">
                  <c:v>Laptop</c:v>
                </c:pt>
                <c:pt idx="3">
                  <c:v>Monitor</c:v>
                </c:pt>
                <c:pt idx="4">
                  <c:v>Phone</c:v>
                </c:pt>
                <c:pt idx="5">
                  <c:v>Printer</c:v>
                </c:pt>
                <c:pt idx="6">
                  <c:v>Tablet</c:v>
                </c:pt>
              </c:strCache>
            </c:strRef>
          </c:cat>
          <c:val>
            <c:numRef>
              <c:f>Sheet7!$B$4:$B$11</c:f>
              <c:numCache>
                <c:formatCode>General</c:formatCode>
                <c:ptCount val="7"/>
                <c:pt idx="0">
                  <c:v>319442.15000000014</c:v>
                </c:pt>
                <c:pt idx="1">
                  <c:v>293278.60000000003</c:v>
                </c:pt>
                <c:pt idx="2">
                  <c:v>285263.21000000002</c:v>
                </c:pt>
                <c:pt idx="3">
                  <c:v>347995.6399999999</c:v>
                </c:pt>
                <c:pt idx="4">
                  <c:v>326211.21000000008</c:v>
                </c:pt>
                <c:pt idx="5">
                  <c:v>325584.94999999984</c:v>
                </c:pt>
                <c:pt idx="6">
                  <c:v>309867.79000000021</c:v>
                </c:pt>
              </c:numCache>
            </c:numRef>
          </c:val>
          <c:extLst>
            <c:ext xmlns:c16="http://schemas.microsoft.com/office/drawing/2014/chart" uri="{C3380CC4-5D6E-409C-BE32-E72D297353CC}">
              <c16:uniqueId val="{00000000-F4D2-4A63-90A2-7EE8F6F39716}"/>
            </c:ext>
          </c:extLst>
        </c:ser>
        <c:dLbls>
          <c:dLblPos val="outEnd"/>
          <c:showLegendKey val="0"/>
          <c:showVal val="1"/>
          <c:showCatName val="0"/>
          <c:showSerName val="0"/>
          <c:showPercent val="0"/>
          <c:showBubbleSize val="0"/>
        </c:dLbls>
        <c:gapWidth val="219"/>
        <c:axId val="1471753455"/>
        <c:axId val="1471739535"/>
      </c:barChart>
      <c:catAx>
        <c:axId val="14717534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39535"/>
        <c:crosses val="autoZero"/>
        <c:auto val="1"/>
        <c:lblAlgn val="ctr"/>
        <c:lblOffset val="100"/>
        <c:noMultiLvlLbl val="0"/>
      </c:catAx>
      <c:valAx>
        <c:axId val="147173953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53455"/>
        <c:crosses val="autoZero"/>
        <c:crossBetween val="between"/>
      </c:valAx>
      <c:dTable>
        <c:showHorzBorder val="1"/>
        <c:showVertBorder val="1"/>
        <c:showOutline val="1"/>
        <c:showKeys val="1"/>
        <c:spPr>
          <a:noFill/>
          <a:ln w="9525" cap="flat" cmpd="sng" algn="ctr">
            <a:solidFill>
              <a:schemeClr val="tx1">
                <a:lumMod val="95000"/>
                <a:lumOff val="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2700000" scaled="1"/>
    </a:gra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Store Transactions(2023-2025).xlsx]Sheet10!PivotTable7</c:name>
    <c:fmtId val="8"/>
  </c:pivotSource>
  <c:chart>
    <c:title>
      <c:tx>
        <c:rich>
          <a:bodyPr rot="0" spcFirstLastPara="1" vertOverflow="ellipsis" vert="horz" wrap="square" anchor="ctr" anchorCtr="1"/>
          <a:lstStyle/>
          <a:p>
            <a:pPr algn="l">
              <a:defRPr sz="1400" b="1" i="0" u="none" strike="noStrike" kern="1200" spc="0" baseline="0">
                <a:solidFill>
                  <a:sysClr val="windowText" lastClr="000000"/>
                </a:solidFill>
                <a:latin typeface="Aptos" panose="020B0004020202020204" pitchFamily="34" charset="0"/>
                <a:ea typeface="+mn-ea"/>
                <a:cs typeface="+mn-cs"/>
              </a:defRPr>
            </a:pPr>
            <a:r>
              <a:rPr lang="en-IN" sz="1400" b="1">
                <a:solidFill>
                  <a:sysClr val="windowText" lastClr="000000"/>
                </a:solidFill>
                <a:latin typeface="Aptos" panose="020B0004020202020204" pitchFamily="34" charset="0"/>
              </a:rPr>
              <a:t>Sales</a:t>
            </a:r>
            <a:r>
              <a:rPr lang="en-IN" sz="1400" b="1" baseline="0">
                <a:solidFill>
                  <a:sysClr val="windowText" lastClr="000000"/>
                </a:solidFill>
                <a:latin typeface="Aptos" panose="020B0004020202020204" pitchFamily="34" charset="0"/>
              </a:rPr>
              <a:t> and Quantity by Product</a:t>
            </a:r>
            <a:endParaRPr lang="en-IN" sz="1400" b="1">
              <a:solidFill>
                <a:sysClr val="windowText" lastClr="000000"/>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lgn="l">
            <a:defRPr sz="1400" b="1" i="0" u="none" strike="noStrike" kern="1200" spc="0" baseline="0">
              <a:solidFill>
                <a:sysClr val="windowText" lastClr="000000"/>
              </a:solidFill>
              <a:latin typeface="Aptos" panose="020B00040202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Sheet10!$B$3</c:f>
              <c:strCache>
                <c:ptCount val="1"/>
                <c:pt idx="0">
                  <c:v>Sum of TotalPrice</c:v>
                </c:pt>
              </c:strCache>
            </c:strRef>
          </c:tx>
          <c:spPr>
            <a:solidFill>
              <a:schemeClr val="accent1"/>
            </a:solidFill>
            <a:ln>
              <a:noFill/>
            </a:ln>
            <a:effectLst/>
          </c:spPr>
          <c:invertIfNegative val="0"/>
          <c:cat>
            <c:strRef>
              <c:f>Sheet10!$A$4:$A$11</c:f>
              <c:strCache>
                <c:ptCount val="7"/>
                <c:pt idx="0">
                  <c:v>Chair</c:v>
                </c:pt>
                <c:pt idx="1">
                  <c:v>Desk</c:v>
                </c:pt>
                <c:pt idx="2">
                  <c:v>Laptop</c:v>
                </c:pt>
                <c:pt idx="3">
                  <c:v>Monitor</c:v>
                </c:pt>
                <c:pt idx="4">
                  <c:v>Phone</c:v>
                </c:pt>
                <c:pt idx="5">
                  <c:v>Printer</c:v>
                </c:pt>
                <c:pt idx="6">
                  <c:v>Tablet</c:v>
                </c:pt>
              </c:strCache>
            </c:strRef>
          </c:cat>
          <c:val>
            <c:numRef>
              <c:f>Sheet10!$B$4:$B$11</c:f>
              <c:numCache>
                <c:formatCode>General</c:formatCode>
                <c:ptCount val="7"/>
                <c:pt idx="0">
                  <c:v>319442.15000000014</c:v>
                </c:pt>
                <c:pt idx="1">
                  <c:v>293278.60000000003</c:v>
                </c:pt>
                <c:pt idx="2">
                  <c:v>285263.21000000002</c:v>
                </c:pt>
                <c:pt idx="3">
                  <c:v>347995.6399999999</c:v>
                </c:pt>
                <c:pt idx="4">
                  <c:v>326211.21000000008</c:v>
                </c:pt>
                <c:pt idx="5">
                  <c:v>325584.94999999984</c:v>
                </c:pt>
                <c:pt idx="6">
                  <c:v>309867.79000000021</c:v>
                </c:pt>
              </c:numCache>
            </c:numRef>
          </c:val>
          <c:extLst>
            <c:ext xmlns:c16="http://schemas.microsoft.com/office/drawing/2014/chart" uri="{C3380CC4-5D6E-409C-BE32-E72D297353CC}">
              <c16:uniqueId val="{00000000-6C32-441F-A367-ACD8F73DC1F1}"/>
            </c:ext>
          </c:extLst>
        </c:ser>
        <c:dLbls>
          <c:showLegendKey val="0"/>
          <c:showVal val="0"/>
          <c:showCatName val="0"/>
          <c:showSerName val="0"/>
          <c:showPercent val="0"/>
          <c:showBubbleSize val="0"/>
        </c:dLbls>
        <c:gapWidth val="150"/>
        <c:axId val="260728128"/>
        <c:axId val="260725728"/>
      </c:barChart>
      <c:lineChart>
        <c:grouping val="standard"/>
        <c:varyColors val="0"/>
        <c:ser>
          <c:idx val="1"/>
          <c:order val="1"/>
          <c:tx>
            <c:strRef>
              <c:f>Sheet10!$C$3</c:f>
              <c:strCache>
                <c:ptCount val="1"/>
                <c:pt idx="0">
                  <c:v>Sum of Quantity</c:v>
                </c:pt>
              </c:strCache>
            </c:strRef>
          </c:tx>
          <c:spPr>
            <a:ln w="28575" cap="rnd">
              <a:solidFill>
                <a:schemeClr val="accent2"/>
              </a:solidFill>
              <a:round/>
            </a:ln>
            <a:effectLst/>
          </c:spPr>
          <c:marker>
            <c:symbol val="none"/>
          </c:marker>
          <c:cat>
            <c:strRef>
              <c:f>Sheet10!$A$4:$A$11</c:f>
              <c:strCache>
                <c:ptCount val="7"/>
                <c:pt idx="0">
                  <c:v>Chair</c:v>
                </c:pt>
                <c:pt idx="1">
                  <c:v>Desk</c:v>
                </c:pt>
                <c:pt idx="2">
                  <c:v>Laptop</c:v>
                </c:pt>
                <c:pt idx="3">
                  <c:v>Monitor</c:v>
                </c:pt>
                <c:pt idx="4">
                  <c:v>Phone</c:v>
                </c:pt>
                <c:pt idx="5">
                  <c:v>Printer</c:v>
                </c:pt>
                <c:pt idx="6">
                  <c:v>Tablet</c:v>
                </c:pt>
              </c:strCache>
            </c:strRef>
          </c:cat>
          <c:val>
            <c:numRef>
              <c:f>Sheet10!$C$4:$C$11</c:f>
              <c:numCache>
                <c:formatCode>General</c:formatCode>
                <c:ptCount val="7"/>
                <c:pt idx="0">
                  <c:v>1553</c:v>
                </c:pt>
                <c:pt idx="1">
                  <c:v>1473</c:v>
                </c:pt>
                <c:pt idx="2">
                  <c:v>1496</c:v>
                </c:pt>
                <c:pt idx="3">
                  <c:v>1621</c:v>
                </c:pt>
                <c:pt idx="4">
                  <c:v>1609</c:v>
                </c:pt>
                <c:pt idx="5">
                  <c:v>1675</c:v>
                </c:pt>
                <c:pt idx="6">
                  <c:v>1630</c:v>
                </c:pt>
              </c:numCache>
            </c:numRef>
          </c:val>
          <c:smooth val="0"/>
          <c:extLst>
            <c:ext xmlns:c16="http://schemas.microsoft.com/office/drawing/2014/chart" uri="{C3380CC4-5D6E-409C-BE32-E72D297353CC}">
              <c16:uniqueId val="{00000001-6C32-441F-A367-ACD8F73DC1F1}"/>
            </c:ext>
          </c:extLst>
        </c:ser>
        <c:dLbls>
          <c:showLegendKey val="0"/>
          <c:showVal val="0"/>
          <c:showCatName val="0"/>
          <c:showSerName val="0"/>
          <c:showPercent val="0"/>
          <c:showBubbleSize val="0"/>
        </c:dLbls>
        <c:marker val="1"/>
        <c:smooth val="0"/>
        <c:axId val="260727168"/>
        <c:axId val="260726688"/>
      </c:lineChart>
      <c:catAx>
        <c:axId val="260728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5728"/>
        <c:crosses val="autoZero"/>
        <c:auto val="1"/>
        <c:lblAlgn val="ctr"/>
        <c:lblOffset val="100"/>
        <c:noMultiLvlLbl val="0"/>
      </c:catAx>
      <c:valAx>
        <c:axId val="260725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8128"/>
        <c:crosses val="autoZero"/>
        <c:crossBetween val="between"/>
      </c:valAx>
      <c:valAx>
        <c:axId val="260726688"/>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727168"/>
        <c:crosses val="max"/>
        <c:crossBetween val="between"/>
      </c:valAx>
      <c:catAx>
        <c:axId val="260727168"/>
        <c:scaling>
          <c:orientation val="minMax"/>
        </c:scaling>
        <c:delete val="1"/>
        <c:axPos val="b"/>
        <c:numFmt formatCode="General" sourceLinked="1"/>
        <c:majorTickMark val="none"/>
        <c:minorTickMark val="none"/>
        <c:tickLblPos val="nextTo"/>
        <c:crossAx val="26072668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8.xml.rels><?xml version="1.0" encoding="UTF-8" standalone="yes"?>
<Relationships xmlns="http://schemas.openxmlformats.org/package/2006/relationships"><Relationship Id="rId8" Type="http://schemas.openxmlformats.org/officeDocument/2006/relationships/image" Target="../media/image2.jpeg"/><Relationship Id="rId3" Type="http://schemas.openxmlformats.org/officeDocument/2006/relationships/chart" Target="../charts/chart14.xml"/><Relationship Id="rId7" Type="http://schemas.openxmlformats.org/officeDocument/2006/relationships/chart" Target="../charts/chart18.xml"/><Relationship Id="rId2" Type="http://schemas.openxmlformats.org/officeDocument/2006/relationships/image" Target="../media/image1.png"/><Relationship Id="rId1" Type="http://schemas.openxmlformats.org/officeDocument/2006/relationships/chart" Target="../charts/chart13.xml"/><Relationship Id="rId6" Type="http://schemas.openxmlformats.org/officeDocument/2006/relationships/chart" Target="../charts/chart17.xml"/><Relationship Id="rId11" Type="http://schemas.openxmlformats.org/officeDocument/2006/relationships/image" Target="../media/image5.png"/><Relationship Id="rId5" Type="http://schemas.openxmlformats.org/officeDocument/2006/relationships/chart" Target="../charts/chart16.xml"/><Relationship Id="rId10" Type="http://schemas.openxmlformats.org/officeDocument/2006/relationships/image" Target="../media/image4.png"/><Relationship Id="rId4" Type="http://schemas.openxmlformats.org/officeDocument/2006/relationships/chart" Target="../charts/chart15.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4</xdr:col>
      <xdr:colOff>461683</xdr:colOff>
      <xdr:row>7</xdr:row>
      <xdr:rowOff>152400</xdr:rowOff>
    </xdr:from>
    <xdr:to>
      <xdr:col>15</xdr:col>
      <xdr:colOff>448236</xdr:colOff>
      <xdr:row>22</xdr:row>
      <xdr:rowOff>44823</xdr:rowOff>
    </xdr:to>
    <xdr:graphicFrame macro="">
      <xdr:nvGraphicFramePr>
        <xdr:cNvPr id="6" name="Chart 5">
          <a:extLst>
            <a:ext uri="{FF2B5EF4-FFF2-40B4-BE49-F238E27FC236}">
              <a16:creationId xmlns:a16="http://schemas.microsoft.com/office/drawing/2014/main" id="{E7C38C07-49BE-ADA9-5D1C-E6682C0C43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51547</xdr:colOff>
      <xdr:row>6</xdr:row>
      <xdr:rowOff>120127</xdr:rowOff>
    </xdr:from>
    <xdr:to>
      <xdr:col>19</xdr:col>
      <xdr:colOff>277906</xdr:colOff>
      <xdr:row>20</xdr:row>
      <xdr:rowOff>76985</xdr:rowOff>
    </xdr:to>
    <mc:AlternateContent xmlns:mc="http://schemas.openxmlformats.org/markup-compatibility/2006" xmlns:a14="http://schemas.microsoft.com/office/drawing/2010/main">
      <mc:Choice Requires="a14">
        <xdr:graphicFrame macro="">
          <xdr:nvGraphicFramePr>
            <xdr:cNvPr id="7" name="Months (Date)">
              <a:extLst>
                <a:ext uri="{FF2B5EF4-FFF2-40B4-BE49-F238E27FC236}">
                  <a16:creationId xmlns:a16="http://schemas.microsoft.com/office/drawing/2014/main" id="{2A571DB2-5153-7257-885B-49A6CED99AB7}"/>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10208559" y="1195892"/>
              <a:ext cx="1284194"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571500</xdr:colOff>
      <xdr:row>5</xdr:row>
      <xdr:rowOff>64770</xdr:rowOff>
    </xdr:from>
    <xdr:to>
      <xdr:col>11</xdr:col>
      <xdr:colOff>434340</xdr:colOff>
      <xdr:row>18</xdr:row>
      <xdr:rowOff>91440</xdr:rowOff>
    </xdr:to>
    <xdr:graphicFrame macro="">
      <xdr:nvGraphicFramePr>
        <xdr:cNvPr id="2" name="Chart 1">
          <a:extLst>
            <a:ext uri="{FF2B5EF4-FFF2-40B4-BE49-F238E27FC236}">
              <a16:creationId xmlns:a16="http://schemas.microsoft.com/office/drawing/2014/main" id="{7F9A866D-2BFF-0F9E-88F4-5F3ED1468C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487680</xdr:colOff>
      <xdr:row>4</xdr:row>
      <xdr:rowOff>167641</xdr:rowOff>
    </xdr:from>
    <xdr:to>
      <xdr:col>16</xdr:col>
      <xdr:colOff>487680</xdr:colOff>
      <xdr:row>15</xdr:row>
      <xdr:rowOff>15241</xdr:rowOff>
    </xdr:to>
    <mc:AlternateContent xmlns:mc="http://schemas.openxmlformats.org/markup-compatibility/2006" xmlns:a14="http://schemas.microsoft.com/office/drawing/2010/main">
      <mc:Choice Requires="a14">
        <xdr:graphicFrame macro="">
          <xdr:nvGraphicFramePr>
            <xdr:cNvPr id="3" name="Location">
              <a:extLst>
                <a:ext uri="{FF2B5EF4-FFF2-40B4-BE49-F238E27FC236}">
                  <a16:creationId xmlns:a16="http://schemas.microsoft.com/office/drawing/2014/main" id="{7289A073-E446-ECFD-3DE9-2BB325A5BBD3}"/>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9517380" y="899161"/>
              <a:ext cx="1828800" cy="1859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571500</xdr:colOff>
      <xdr:row>5</xdr:row>
      <xdr:rowOff>64770</xdr:rowOff>
    </xdr:from>
    <xdr:to>
      <xdr:col>11</xdr:col>
      <xdr:colOff>441960</xdr:colOff>
      <xdr:row>20</xdr:row>
      <xdr:rowOff>0</xdr:rowOff>
    </xdr:to>
    <xdr:graphicFrame macro="">
      <xdr:nvGraphicFramePr>
        <xdr:cNvPr id="2" name="Chart 1">
          <a:extLst>
            <a:ext uri="{FF2B5EF4-FFF2-40B4-BE49-F238E27FC236}">
              <a16:creationId xmlns:a16="http://schemas.microsoft.com/office/drawing/2014/main" id="{E9773CBC-7AD5-81FB-DEB5-174A6F9124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381000</xdr:colOff>
      <xdr:row>5</xdr:row>
      <xdr:rowOff>64770</xdr:rowOff>
    </xdr:from>
    <xdr:to>
      <xdr:col>10</xdr:col>
      <xdr:colOff>228600</xdr:colOff>
      <xdr:row>17</xdr:row>
      <xdr:rowOff>91440</xdr:rowOff>
    </xdr:to>
    <xdr:graphicFrame macro="">
      <xdr:nvGraphicFramePr>
        <xdr:cNvPr id="2" name="Chart 1">
          <a:extLst>
            <a:ext uri="{FF2B5EF4-FFF2-40B4-BE49-F238E27FC236}">
              <a16:creationId xmlns:a16="http://schemas.microsoft.com/office/drawing/2014/main" id="{7CF3559E-CED7-98EE-BE1A-78C0D8EA5E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259080</xdr:colOff>
      <xdr:row>3</xdr:row>
      <xdr:rowOff>140970</xdr:rowOff>
    </xdr:from>
    <xdr:to>
      <xdr:col>13</xdr:col>
      <xdr:colOff>236220</xdr:colOff>
      <xdr:row>18</xdr:row>
      <xdr:rowOff>140970</xdr:rowOff>
    </xdr:to>
    <xdr:graphicFrame macro="">
      <xdr:nvGraphicFramePr>
        <xdr:cNvPr id="2" name="Chart 1">
          <a:extLst>
            <a:ext uri="{FF2B5EF4-FFF2-40B4-BE49-F238E27FC236}">
              <a16:creationId xmlns:a16="http://schemas.microsoft.com/office/drawing/2014/main" id="{38BB8732-8A0B-AB1E-97DC-F92CB1CAD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213360</xdr:colOff>
      <xdr:row>4</xdr:row>
      <xdr:rowOff>106680</xdr:rowOff>
    </xdr:from>
    <xdr:to>
      <xdr:col>16</xdr:col>
      <xdr:colOff>228600</xdr:colOff>
      <xdr:row>14</xdr:row>
      <xdr:rowOff>152399</xdr:rowOff>
    </xdr:to>
    <mc:AlternateContent xmlns:mc="http://schemas.openxmlformats.org/markup-compatibility/2006" xmlns:a14="http://schemas.microsoft.com/office/drawing/2010/main">
      <mc:Choice Requires="a14">
        <xdr:graphicFrame macro="">
          <xdr:nvGraphicFramePr>
            <xdr:cNvPr id="3" name="Years (Date)">
              <a:extLst>
                <a:ext uri="{FF2B5EF4-FFF2-40B4-BE49-F238E27FC236}">
                  <a16:creationId xmlns:a16="http://schemas.microsoft.com/office/drawing/2014/main" id="{6DF69474-78F9-0A88-87C7-F173B464B7F9}"/>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8869680" y="838200"/>
              <a:ext cx="1844040" cy="18745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4</xdr:col>
      <xdr:colOff>480060</xdr:colOff>
      <xdr:row>4</xdr:row>
      <xdr:rowOff>76200</xdr:rowOff>
    </xdr:from>
    <xdr:to>
      <xdr:col>12</xdr:col>
      <xdr:colOff>594360</xdr:colOff>
      <xdr:row>16</xdr:row>
      <xdr:rowOff>68580</xdr:rowOff>
    </xdr:to>
    <xdr:graphicFrame macro="">
      <xdr:nvGraphicFramePr>
        <xdr:cNvPr id="2" name="Chart 1">
          <a:extLst>
            <a:ext uri="{FF2B5EF4-FFF2-40B4-BE49-F238E27FC236}">
              <a16:creationId xmlns:a16="http://schemas.microsoft.com/office/drawing/2014/main" id="{10267C86-6DA8-1198-5AF3-D63326784C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419100</xdr:colOff>
      <xdr:row>3</xdr:row>
      <xdr:rowOff>91440</xdr:rowOff>
    </xdr:from>
    <xdr:to>
      <xdr:col>16</xdr:col>
      <xdr:colOff>419100</xdr:colOff>
      <xdr:row>16</xdr:row>
      <xdr:rowOff>180975</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B17CD949-3A0E-6AB5-6485-B4CAC32A5073}"/>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9486900" y="640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21</xdr:col>
      <xdr:colOff>518530</xdr:colOff>
      <xdr:row>14</xdr:row>
      <xdr:rowOff>146801</xdr:rowOff>
    </xdr:from>
    <xdr:to>
      <xdr:col>25</xdr:col>
      <xdr:colOff>144718</xdr:colOff>
      <xdr:row>19</xdr:row>
      <xdr:rowOff>125236</xdr:rowOff>
    </xdr:to>
    <xdr:grpSp>
      <xdr:nvGrpSpPr>
        <xdr:cNvPr id="12" name="Group 11">
          <a:extLst>
            <a:ext uri="{FF2B5EF4-FFF2-40B4-BE49-F238E27FC236}">
              <a16:creationId xmlns:a16="http://schemas.microsoft.com/office/drawing/2014/main" id="{4C0F1B4B-D3DD-4314-8410-6B87FFFB92F4}"/>
            </a:ext>
          </a:extLst>
        </xdr:cNvPr>
        <xdr:cNvGrpSpPr/>
      </xdr:nvGrpSpPr>
      <xdr:grpSpPr>
        <a:xfrm>
          <a:off x="14876214" y="3034380"/>
          <a:ext cx="2072609" cy="880803"/>
          <a:chOff x="2562898" y="602107"/>
          <a:chExt cx="2164080" cy="906780"/>
        </a:xfrm>
        <a:solidFill>
          <a:schemeClr val="tx1">
            <a:lumMod val="95000"/>
            <a:lumOff val="5000"/>
          </a:schemeClr>
        </a:solidFill>
      </xdr:grpSpPr>
      <xdr:sp macro="" textlink="$B$5">
        <xdr:nvSpPr>
          <xdr:cNvPr id="3" name="Rectangle 2">
            <a:extLst>
              <a:ext uri="{FF2B5EF4-FFF2-40B4-BE49-F238E27FC236}">
                <a16:creationId xmlns:a16="http://schemas.microsoft.com/office/drawing/2014/main" id="{5FB5328F-F385-F3B0-9034-9C85F35601F3}"/>
              </a:ext>
            </a:extLst>
          </xdr:cNvPr>
          <xdr:cNvSpPr/>
        </xdr:nvSpPr>
        <xdr:spPr>
          <a:xfrm>
            <a:off x="2562898" y="602107"/>
            <a:ext cx="2164080" cy="90678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6C44943-FE1F-4ECC-989D-5AFFB4459285}" type="TxLink">
              <a:rPr lang="en-US" sz="1800" b="0" i="0" u="none" strike="noStrike">
                <a:solidFill>
                  <a:srgbClr val="000000"/>
                </a:solidFill>
                <a:latin typeface="Calibri"/>
                <a:ea typeface="Calibri"/>
                <a:cs typeface="Calibri"/>
              </a:rPr>
              <a:pPr algn="l"/>
              <a:t>₹ 4,00,796.87</a:t>
            </a:fld>
            <a:endParaRPr lang="en-IN" sz="1100">
              <a:solidFill>
                <a:schemeClr val="bg1"/>
              </a:solidFill>
            </a:endParaRPr>
          </a:p>
        </xdr:txBody>
      </xdr:sp>
      <xdr:sp macro="" textlink="">
        <xdr:nvSpPr>
          <xdr:cNvPr id="7" name="TextBox 6">
            <a:extLst>
              <a:ext uri="{FF2B5EF4-FFF2-40B4-BE49-F238E27FC236}">
                <a16:creationId xmlns:a16="http://schemas.microsoft.com/office/drawing/2014/main" id="{1E45F48B-9526-0412-F42F-64F0F6253430}"/>
              </a:ext>
            </a:extLst>
          </xdr:cNvPr>
          <xdr:cNvSpPr txBox="1"/>
        </xdr:nvSpPr>
        <xdr:spPr>
          <a:xfrm>
            <a:off x="2766576" y="1097534"/>
            <a:ext cx="1280160" cy="2286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UNIT</a:t>
            </a:r>
            <a:r>
              <a:rPr lang="en-IN" sz="1100" baseline="0">
                <a:solidFill>
                  <a:schemeClr val="bg1"/>
                </a:solidFill>
              </a:rPr>
              <a:t> PRICE</a:t>
            </a:r>
          </a:p>
          <a:p>
            <a:endParaRPr lang="en-IN" sz="1100">
              <a:solidFill>
                <a:schemeClr val="bg1"/>
              </a:solidFill>
            </a:endParaRPr>
          </a:p>
        </xdr:txBody>
      </xdr:sp>
    </xdr:grpSp>
    <xdr:clientData/>
  </xdr:twoCellAnchor>
  <xdr:twoCellAnchor>
    <xdr:from>
      <xdr:col>2</xdr:col>
      <xdr:colOff>107451</xdr:colOff>
      <xdr:row>0</xdr:row>
      <xdr:rowOff>55239</xdr:rowOff>
    </xdr:from>
    <xdr:to>
      <xdr:col>5</xdr:col>
      <xdr:colOff>589093</xdr:colOff>
      <xdr:row>5</xdr:row>
      <xdr:rowOff>290916</xdr:rowOff>
    </xdr:to>
    <xdr:grpSp>
      <xdr:nvGrpSpPr>
        <xdr:cNvPr id="14" name="Group 13">
          <a:extLst>
            <a:ext uri="{FF2B5EF4-FFF2-40B4-BE49-F238E27FC236}">
              <a16:creationId xmlns:a16="http://schemas.microsoft.com/office/drawing/2014/main" id="{2AE01E84-FE50-95E5-391A-3E9182B89F12}"/>
            </a:ext>
          </a:extLst>
        </xdr:cNvPr>
        <xdr:cNvGrpSpPr/>
      </xdr:nvGrpSpPr>
      <xdr:grpSpPr>
        <a:xfrm>
          <a:off x="2844635" y="55239"/>
          <a:ext cx="2316458" cy="1378677"/>
          <a:chOff x="6546817" y="-124475"/>
          <a:chExt cx="1859280" cy="1442735"/>
        </a:xfrm>
      </xdr:grpSpPr>
      <xdr:sp macro="" textlink="$B$6">
        <xdr:nvSpPr>
          <xdr:cNvPr id="4" name="Rectangle 3">
            <a:extLst>
              <a:ext uri="{FF2B5EF4-FFF2-40B4-BE49-F238E27FC236}">
                <a16:creationId xmlns:a16="http://schemas.microsoft.com/office/drawing/2014/main" id="{5A9B6721-75C6-1045-BD2B-9616AFF67915}"/>
              </a:ext>
            </a:extLst>
          </xdr:cNvPr>
          <xdr:cNvSpPr/>
        </xdr:nvSpPr>
        <xdr:spPr>
          <a:xfrm>
            <a:off x="6546817" y="-124475"/>
            <a:ext cx="1859280" cy="899160"/>
          </a:xfrm>
          <a:prstGeom prst="rect">
            <a:avLst/>
          </a:prstGeom>
          <a:solidFill>
            <a:schemeClr val="tx1">
              <a:lumMod val="95000"/>
              <a:lumOff val="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87E500F-0808-4CDC-9285-CD661518D7D8}" type="TxLink">
              <a:rPr lang="en-US" sz="1800" b="0" i="0" u="none" strike="noStrike">
                <a:solidFill>
                  <a:schemeClr val="bg1"/>
                </a:solidFill>
                <a:latin typeface="Calibri"/>
                <a:ea typeface="Calibri"/>
                <a:cs typeface="Calibri"/>
              </a:rPr>
              <a:pPr algn="ctr"/>
              <a:t>11,057</a:t>
            </a:fld>
            <a:endParaRPr lang="en-IN" sz="1100">
              <a:solidFill>
                <a:schemeClr val="bg1"/>
              </a:solidFill>
            </a:endParaRPr>
          </a:p>
        </xdr:txBody>
      </xdr:sp>
      <xdr:sp macro="" textlink="">
        <xdr:nvSpPr>
          <xdr:cNvPr id="8" name="TextBox 7">
            <a:extLst>
              <a:ext uri="{FF2B5EF4-FFF2-40B4-BE49-F238E27FC236}">
                <a16:creationId xmlns:a16="http://schemas.microsoft.com/office/drawing/2014/main" id="{78EBDE23-498F-2D8E-264C-B4836299E938}"/>
              </a:ext>
            </a:extLst>
          </xdr:cNvPr>
          <xdr:cNvSpPr txBox="1"/>
        </xdr:nvSpPr>
        <xdr:spPr>
          <a:xfrm>
            <a:off x="7193280" y="1051560"/>
            <a:ext cx="1203960" cy="266700"/>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 </a:t>
            </a:r>
            <a:r>
              <a:rPr lang="en-IN" sz="1100">
                <a:solidFill>
                  <a:schemeClr val="bg1"/>
                </a:solidFill>
              </a:rPr>
              <a:t>QUANTITY</a:t>
            </a:r>
          </a:p>
        </xdr:txBody>
      </xdr:sp>
    </xdr:grpSp>
    <xdr:clientData/>
  </xdr:twoCellAnchor>
  <xdr:twoCellAnchor>
    <xdr:from>
      <xdr:col>0</xdr:col>
      <xdr:colOff>0</xdr:colOff>
      <xdr:row>7</xdr:row>
      <xdr:rowOff>21567</xdr:rowOff>
    </xdr:from>
    <xdr:to>
      <xdr:col>5</xdr:col>
      <xdr:colOff>143772</xdr:colOff>
      <xdr:row>18</xdr:row>
      <xdr:rowOff>21566</xdr:rowOff>
    </xdr:to>
    <xdr:graphicFrame macro="">
      <xdr:nvGraphicFramePr>
        <xdr:cNvPr id="15" name="Chart 14">
          <a:extLst>
            <a:ext uri="{FF2B5EF4-FFF2-40B4-BE49-F238E27FC236}">
              <a16:creationId xmlns:a16="http://schemas.microsoft.com/office/drawing/2014/main" id="{12226E6D-2B87-4AC4-96A2-4E919F530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210553</xdr:colOff>
      <xdr:row>1</xdr:row>
      <xdr:rowOff>50131</xdr:rowOff>
    </xdr:from>
    <xdr:to>
      <xdr:col>28</xdr:col>
      <xdr:colOff>499564</xdr:colOff>
      <xdr:row>4</xdr:row>
      <xdr:rowOff>183815</xdr:rowOff>
    </xdr:to>
    <xdr:sp macro="" textlink="">
      <xdr:nvSpPr>
        <xdr:cNvPr id="16" name="Rectangle 15">
          <a:extLst>
            <a:ext uri="{FF2B5EF4-FFF2-40B4-BE49-F238E27FC236}">
              <a16:creationId xmlns:a16="http://schemas.microsoft.com/office/drawing/2014/main" id="{263351B3-D979-928B-3BC8-0DF818AF3E78}"/>
            </a:ext>
          </a:extLst>
        </xdr:cNvPr>
        <xdr:cNvSpPr/>
      </xdr:nvSpPr>
      <xdr:spPr>
        <a:xfrm>
          <a:off x="4732421" y="230605"/>
          <a:ext cx="13744327" cy="79542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294735</xdr:colOff>
      <xdr:row>7</xdr:row>
      <xdr:rowOff>28755</xdr:rowOff>
    </xdr:from>
    <xdr:to>
      <xdr:col>12</xdr:col>
      <xdr:colOff>100641</xdr:colOff>
      <xdr:row>17</xdr:row>
      <xdr:rowOff>158150</xdr:rowOff>
    </xdr:to>
    <xdr:graphicFrame macro="">
      <xdr:nvGraphicFramePr>
        <xdr:cNvPr id="18" name="Chart 17">
          <a:extLst>
            <a:ext uri="{FF2B5EF4-FFF2-40B4-BE49-F238E27FC236}">
              <a16:creationId xmlns:a16="http://schemas.microsoft.com/office/drawing/2014/main" id="{15FD7429-95DD-4487-BF43-E26FC03406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18</xdr:row>
      <xdr:rowOff>35944</xdr:rowOff>
    </xdr:from>
    <xdr:to>
      <xdr:col>5</xdr:col>
      <xdr:colOff>186905</xdr:colOff>
      <xdr:row>33</xdr:row>
      <xdr:rowOff>4241</xdr:rowOff>
    </xdr:to>
    <xdr:graphicFrame macro="">
      <xdr:nvGraphicFramePr>
        <xdr:cNvPr id="19" name="Chart 18">
          <a:extLst>
            <a:ext uri="{FF2B5EF4-FFF2-40B4-BE49-F238E27FC236}">
              <a16:creationId xmlns:a16="http://schemas.microsoft.com/office/drawing/2014/main" id="{BD9BCF6A-CB98-4775-812E-E3F6A4F09E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222506</xdr:colOff>
      <xdr:row>18</xdr:row>
      <xdr:rowOff>48382</xdr:rowOff>
    </xdr:from>
    <xdr:to>
      <xdr:col>12</xdr:col>
      <xdr:colOff>60042</xdr:colOff>
      <xdr:row>32</xdr:row>
      <xdr:rowOff>158764</xdr:rowOff>
    </xdr:to>
    <xdr:graphicFrame macro="">
      <xdr:nvGraphicFramePr>
        <xdr:cNvPr id="20" name="Chart 19">
          <a:extLst>
            <a:ext uri="{FF2B5EF4-FFF2-40B4-BE49-F238E27FC236}">
              <a16:creationId xmlns:a16="http://schemas.microsoft.com/office/drawing/2014/main" id="{8649E38D-4ADE-48EB-8D27-CBBD054E7E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157236</xdr:colOff>
      <xdr:row>6</xdr:row>
      <xdr:rowOff>157238</xdr:rowOff>
    </xdr:from>
    <xdr:to>
      <xdr:col>21</xdr:col>
      <xdr:colOff>153730</xdr:colOff>
      <xdr:row>20</xdr:row>
      <xdr:rowOff>0</xdr:rowOff>
    </xdr:to>
    <xdr:graphicFrame macro="">
      <xdr:nvGraphicFramePr>
        <xdr:cNvPr id="21" name="Chart 20">
          <a:extLst>
            <a:ext uri="{FF2B5EF4-FFF2-40B4-BE49-F238E27FC236}">
              <a16:creationId xmlns:a16="http://schemas.microsoft.com/office/drawing/2014/main" id="{FDF8C4F2-4F8B-40C0-9FF2-7F1A9D2F3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181427</xdr:colOff>
      <xdr:row>20</xdr:row>
      <xdr:rowOff>24190</xdr:rowOff>
    </xdr:from>
    <xdr:to>
      <xdr:col>20</xdr:col>
      <xdr:colOff>334432</xdr:colOff>
      <xdr:row>32</xdr:row>
      <xdr:rowOff>33988</xdr:rowOff>
    </xdr:to>
    <xdr:graphicFrame macro="">
      <xdr:nvGraphicFramePr>
        <xdr:cNvPr id="22" name="Chart 21">
          <a:extLst>
            <a:ext uri="{FF2B5EF4-FFF2-40B4-BE49-F238E27FC236}">
              <a16:creationId xmlns:a16="http://schemas.microsoft.com/office/drawing/2014/main" id="{225FAB9F-2A84-4957-913C-3139ECD57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309218</xdr:colOff>
      <xdr:row>34</xdr:row>
      <xdr:rowOff>15240</xdr:rowOff>
    </xdr:to>
    <xdr:sp macro="" textlink="">
      <xdr:nvSpPr>
        <xdr:cNvPr id="4" name="TextBox 3">
          <a:extLst>
            <a:ext uri="{FF2B5EF4-FFF2-40B4-BE49-F238E27FC236}">
              <a16:creationId xmlns:a16="http://schemas.microsoft.com/office/drawing/2014/main" id="{65CD486C-3A7C-7D38-DC40-E4A94A9B3E8B}"/>
            </a:ext>
          </a:extLst>
        </xdr:cNvPr>
        <xdr:cNvSpPr txBox="1"/>
      </xdr:nvSpPr>
      <xdr:spPr>
        <a:xfrm>
          <a:off x="0" y="0"/>
          <a:ext cx="14886609" cy="6398370"/>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400">
              <a:solidFill>
                <a:schemeClr val="bg1"/>
              </a:solidFill>
              <a:latin typeface="Aptos Display" panose="020B0004020202020204" pitchFamily="34" charset="0"/>
            </a:rPr>
            <a:t>Retail</a:t>
          </a:r>
          <a:r>
            <a:rPr lang="en-IN" sz="2400" baseline="0">
              <a:solidFill>
                <a:schemeClr val="bg1"/>
              </a:solidFill>
              <a:latin typeface="Aptos Display" panose="020B0004020202020204" pitchFamily="34" charset="0"/>
            </a:rPr>
            <a:t>  Store Transactions (2023 to 2025)</a:t>
          </a:r>
          <a:endParaRPr lang="en-IN" sz="2400">
            <a:solidFill>
              <a:schemeClr val="bg1"/>
            </a:solidFill>
            <a:latin typeface="Aptos Display" panose="020B0004020202020204" pitchFamily="34" charset="0"/>
          </a:endParaRPr>
        </a:p>
      </xdr:txBody>
    </xdr:sp>
    <xdr:clientData/>
  </xdr:twoCellAnchor>
  <xdr:twoCellAnchor>
    <xdr:from>
      <xdr:col>0</xdr:col>
      <xdr:colOff>0</xdr:colOff>
      <xdr:row>2</xdr:row>
      <xdr:rowOff>6626</xdr:rowOff>
    </xdr:from>
    <xdr:to>
      <xdr:col>2</xdr:col>
      <xdr:colOff>357808</xdr:colOff>
      <xdr:row>34</xdr:row>
      <xdr:rowOff>0</xdr:rowOff>
    </xdr:to>
    <xdr:sp macro="" textlink="">
      <xdr:nvSpPr>
        <xdr:cNvPr id="11" name="Flowchart: Process 10">
          <a:extLst>
            <a:ext uri="{FF2B5EF4-FFF2-40B4-BE49-F238E27FC236}">
              <a16:creationId xmlns:a16="http://schemas.microsoft.com/office/drawing/2014/main" id="{768769EF-5710-7216-AD28-E29180E169F0}"/>
            </a:ext>
          </a:extLst>
        </xdr:cNvPr>
        <xdr:cNvSpPr/>
      </xdr:nvSpPr>
      <xdr:spPr>
        <a:xfrm>
          <a:off x="0" y="377687"/>
          <a:ext cx="1577008" cy="5930348"/>
        </a:xfrm>
        <a:prstGeom prst="flowChartProcess">
          <a:avLst/>
        </a:prstGeom>
        <a:solidFill>
          <a:srgbClr val="CDE7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106016</xdr:colOff>
      <xdr:row>8</xdr:row>
      <xdr:rowOff>66261</xdr:rowOff>
    </xdr:from>
    <xdr:to>
      <xdr:col>2</xdr:col>
      <xdr:colOff>187738</xdr:colOff>
      <xdr:row>17</xdr:row>
      <xdr:rowOff>119270</xdr:rowOff>
    </xdr:to>
    <mc:AlternateContent xmlns:mc="http://schemas.openxmlformats.org/markup-compatibility/2006" xmlns:a14="http://schemas.microsoft.com/office/drawing/2010/main">
      <mc:Choice Requires="a14">
        <xdr:graphicFrame macro="">
          <xdr:nvGraphicFramePr>
            <xdr:cNvPr id="12" name="Months (Date) 1">
              <a:extLst>
                <a:ext uri="{FF2B5EF4-FFF2-40B4-BE49-F238E27FC236}">
                  <a16:creationId xmlns:a16="http://schemas.microsoft.com/office/drawing/2014/main" id="{FB57419B-C1AC-41FB-BD7A-4A6B12F470ED}"/>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mlns="">
        <xdr:sp macro="" textlink="">
          <xdr:nvSpPr>
            <xdr:cNvPr id="0" name=""/>
            <xdr:cNvSpPr>
              <a:spLocks noTextEdit="1"/>
            </xdr:cNvSpPr>
          </xdr:nvSpPr>
          <xdr:spPr>
            <a:xfrm>
              <a:off x="106016" y="1568174"/>
              <a:ext cx="1296505" cy="17426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112643</xdr:colOff>
      <xdr:row>2</xdr:row>
      <xdr:rowOff>59635</xdr:rowOff>
    </xdr:from>
    <xdr:to>
      <xdr:col>2</xdr:col>
      <xdr:colOff>185530</xdr:colOff>
      <xdr:row>8</xdr:row>
      <xdr:rowOff>473</xdr:rowOff>
    </xdr:to>
    <mc:AlternateContent xmlns:mc="http://schemas.openxmlformats.org/markup-compatibility/2006" xmlns:a14="http://schemas.microsoft.com/office/drawing/2010/main">
      <mc:Choice Requires="a14">
        <xdr:graphicFrame macro="">
          <xdr:nvGraphicFramePr>
            <xdr:cNvPr id="13" name="Location 1">
              <a:extLst>
                <a:ext uri="{FF2B5EF4-FFF2-40B4-BE49-F238E27FC236}">
                  <a16:creationId xmlns:a16="http://schemas.microsoft.com/office/drawing/2014/main" id="{4CAFAFDC-38AF-4205-B6F7-BF1A36E7C342}"/>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12643" y="435113"/>
              <a:ext cx="1287670" cy="10645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132521</xdr:colOff>
      <xdr:row>24</xdr:row>
      <xdr:rowOff>110436</xdr:rowOff>
    </xdr:from>
    <xdr:to>
      <xdr:col>2</xdr:col>
      <xdr:colOff>176695</xdr:colOff>
      <xdr:row>33</xdr:row>
      <xdr:rowOff>53012</xdr:rowOff>
    </xdr:to>
    <mc:AlternateContent xmlns:mc="http://schemas.openxmlformats.org/markup-compatibility/2006" xmlns:a14="http://schemas.microsoft.com/office/drawing/2010/main">
      <mc:Choice Requires="a14">
        <xdr:graphicFrame macro="">
          <xdr:nvGraphicFramePr>
            <xdr:cNvPr id="14" name="Product 1">
              <a:extLst>
                <a:ext uri="{FF2B5EF4-FFF2-40B4-BE49-F238E27FC236}">
                  <a16:creationId xmlns:a16="http://schemas.microsoft.com/office/drawing/2014/main" id="{60FDA96A-2AC4-4EEF-9171-F42784337666}"/>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132521" y="4616175"/>
              <a:ext cx="1258957" cy="1632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112642</xdr:colOff>
      <xdr:row>17</xdr:row>
      <xdr:rowOff>176696</xdr:rowOff>
    </xdr:from>
    <xdr:to>
      <xdr:col>2</xdr:col>
      <xdr:colOff>187739</xdr:colOff>
      <xdr:row>24</xdr:row>
      <xdr:rowOff>77303</xdr:rowOff>
    </xdr:to>
    <mc:AlternateContent xmlns:mc="http://schemas.openxmlformats.org/markup-compatibility/2006" xmlns:a14="http://schemas.microsoft.com/office/drawing/2010/main">
      <mc:Choice Requires="a14">
        <xdr:graphicFrame macro="">
          <xdr:nvGraphicFramePr>
            <xdr:cNvPr id="15" name="Years (Date) 1">
              <a:extLst>
                <a:ext uri="{FF2B5EF4-FFF2-40B4-BE49-F238E27FC236}">
                  <a16:creationId xmlns:a16="http://schemas.microsoft.com/office/drawing/2014/main" id="{CC628D05-C89F-492B-910A-E2ED6D5CD1E1}"/>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mlns="">
        <xdr:sp macro="" textlink="">
          <xdr:nvSpPr>
            <xdr:cNvPr id="0" name=""/>
            <xdr:cNvSpPr>
              <a:spLocks noTextEdit="1"/>
            </xdr:cNvSpPr>
          </xdr:nvSpPr>
          <xdr:spPr>
            <a:xfrm>
              <a:off x="112642" y="3368261"/>
              <a:ext cx="1289880" cy="12147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342347</xdr:colOff>
      <xdr:row>2</xdr:row>
      <xdr:rowOff>33131</xdr:rowOff>
    </xdr:from>
    <xdr:to>
      <xdr:col>10</xdr:col>
      <xdr:colOff>88348</xdr:colOff>
      <xdr:row>17</xdr:row>
      <xdr:rowOff>11043</xdr:rowOff>
    </xdr:to>
    <xdr:graphicFrame macro="">
      <xdr:nvGraphicFramePr>
        <xdr:cNvPr id="16" name="Chart 15">
          <a:extLst>
            <a:ext uri="{FF2B5EF4-FFF2-40B4-BE49-F238E27FC236}">
              <a16:creationId xmlns:a16="http://schemas.microsoft.com/office/drawing/2014/main" id="{F7182705-1898-4C14-B20F-E072696BD0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397567</xdr:colOff>
      <xdr:row>3</xdr:row>
      <xdr:rowOff>154610</xdr:rowOff>
    </xdr:from>
    <xdr:to>
      <xdr:col>3</xdr:col>
      <xdr:colOff>254001</xdr:colOff>
      <xdr:row>6</xdr:row>
      <xdr:rowOff>55217</xdr:rowOff>
    </xdr:to>
    <xdr:pic>
      <xdr:nvPicPr>
        <xdr:cNvPr id="35" name="Picture 34">
          <a:extLst>
            <a:ext uri="{FF2B5EF4-FFF2-40B4-BE49-F238E27FC236}">
              <a16:creationId xmlns:a16="http://schemas.microsoft.com/office/drawing/2014/main" id="{861B580D-65F8-E179-A092-440B0071680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12350" y="717827"/>
          <a:ext cx="463825" cy="463825"/>
        </a:xfrm>
        <a:prstGeom prst="rect">
          <a:avLst/>
        </a:prstGeom>
      </xdr:spPr>
    </xdr:pic>
    <xdr:clientData/>
  </xdr:twoCellAnchor>
  <xdr:twoCellAnchor>
    <xdr:from>
      <xdr:col>2</xdr:col>
      <xdr:colOff>353391</xdr:colOff>
      <xdr:row>17</xdr:row>
      <xdr:rowOff>0</xdr:rowOff>
    </xdr:from>
    <xdr:to>
      <xdr:col>10</xdr:col>
      <xdr:colOff>77304</xdr:colOff>
      <xdr:row>34</xdr:row>
      <xdr:rowOff>11044</xdr:rowOff>
    </xdr:to>
    <xdr:graphicFrame macro="">
      <xdr:nvGraphicFramePr>
        <xdr:cNvPr id="36" name="Chart 35">
          <a:extLst>
            <a:ext uri="{FF2B5EF4-FFF2-40B4-BE49-F238E27FC236}">
              <a16:creationId xmlns:a16="http://schemas.microsoft.com/office/drawing/2014/main" id="{DD8436B3-C499-4597-806E-52CE3904F0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88349</xdr:colOff>
      <xdr:row>2</xdr:row>
      <xdr:rowOff>22087</xdr:rowOff>
    </xdr:from>
    <xdr:to>
      <xdr:col>17</xdr:col>
      <xdr:colOff>220870</xdr:colOff>
      <xdr:row>17</xdr:row>
      <xdr:rowOff>11044</xdr:rowOff>
    </xdr:to>
    <xdr:graphicFrame macro="">
      <xdr:nvGraphicFramePr>
        <xdr:cNvPr id="39" name="Chart 38">
          <a:extLst>
            <a:ext uri="{FF2B5EF4-FFF2-40B4-BE49-F238E27FC236}">
              <a16:creationId xmlns:a16="http://schemas.microsoft.com/office/drawing/2014/main" id="{5443A2A0-50F4-4D63-9C64-5B0B532913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77304</xdr:colOff>
      <xdr:row>17</xdr:row>
      <xdr:rowOff>1</xdr:rowOff>
    </xdr:from>
    <xdr:to>
      <xdr:col>17</xdr:col>
      <xdr:colOff>254000</xdr:colOff>
      <xdr:row>34</xdr:row>
      <xdr:rowOff>11044</xdr:rowOff>
    </xdr:to>
    <xdr:graphicFrame macro="">
      <xdr:nvGraphicFramePr>
        <xdr:cNvPr id="42" name="Chart 41">
          <a:extLst>
            <a:ext uri="{FF2B5EF4-FFF2-40B4-BE49-F238E27FC236}">
              <a16:creationId xmlns:a16="http://schemas.microsoft.com/office/drawing/2014/main" id="{4483D9DB-21CE-4575-B94B-FC7A496992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220871</xdr:colOff>
      <xdr:row>2</xdr:row>
      <xdr:rowOff>22086</xdr:rowOff>
    </xdr:from>
    <xdr:to>
      <xdr:col>24</xdr:col>
      <xdr:colOff>298174</xdr:colOff>
      <xdr:row>17</xdr:row>
      <xdr:rowOff>22087</xdr:rowOff>
    </xdr:to>
    <xdr:graphicFrame macro="">
      <xdr:nvGraphicFramePr>
        <xdr:cNvPr id="43" name="Chart 42">
          <a:extLst>
            <a:ext uri="{FF2B5EF4-FFF2-40B4-BE49-F238E27FC236}">
              <a16:creationId xmlns:a16="http://schemas.microsoft.com/office/drawing/2014/main" id="{CC9D3C90-989A-4525-8147-992C633FF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209826</xdr:colOff>
      <xdr:row>17</xdr:row>
      <xdr:rowOff>0</xdr:rowOff>
    </xdr:from>
    <xdr:to>
      <xdr:col>24</xdr:col>
      <xdr:colOff>298174</xdr:colOff>
      <xdr:row>34</xdr:row>
      <xdr:rowOff>11044</xdr:rowOff>
    </xdr:to>
    <xdr:graphicFrame macro="">
      <xdr:nvGraphicFramePr>
        <xdr:cNvPr id="44" name="Chart 43">
          <a:extLst>
            <a:ext uri="{FF2B5EF4-FFF2-40B4-BE49-F238E27FC236}">
              <a16:creationId xmlns:a16="http://schemas.microsoft.com/office/drawing/2014/main" id="{63EEDE18-B3C8-4C6D-A9E6-5267D111E4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187741</xdr:colOff>
      <xdr:row>3</xdr:row>
      <xdr:rowOff>143566</xdr:rowOff>
    </xdr:from>
    <xdr:to>
      <xdr:col>11</xdr:col>
      <xdr:colOff>232636</xdr:colOff>
      <xdr:row>7</xdr:row>
      <xdr:rowOff>55217</xdr:rowOff>
    </xdr:to>
    <xdr:pic>
      <xdr:nvPicPr>
        <xdr:cNvPr id="47" name="Picture 46">
          <a:extLst>
            <a:ext uri="{FF2B5EF4-FFF2-40B4-BE49-F238E27FC236}">
              <a16:creationId xmlns:a16="http://schemas.microsoft.com/office/drawing/2014/main" id="{957D6020-0C8A-687E-F127-A6999147006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261654" y="706783"/>
          <a:ext cx="652286" cy="662608"/>
        </a:xfrm>
        <a:prstGeom prst="rect">
          <a:avLst/>
        </a:prstGeom>
      </xdr:spPr>
    </xdr:pic>
    <xdr:clientData/>
  </xdr:twoCellAnchor>
  <xdr:twoCellAnchor editAs="oneCell">
    <xdr:from>
      <xdr:col>9</xdr:col>
      <xdr:colOff>138932</xdr:colOff>
      <xdr:row>17</xdr:row>
      <xdr:rowOff>33129</xdr:rowOff>
    </xdr:from>
    <xdr:to>
      <xdr:col>10</xdr:col>
      <xdr:colOff>6411</xdr:colOff>
      <xdr:row>19</xdr:row>
      <xdr:rowOff>55217</xdr:rowOff>
    </xdr:to>
    <xdr:pic>
      <xdr:nvPicPr>
        <xdr:cNvPr id="49" name="Picture 48">
          <a:extLst>
            <a:ext uri="{FF2B5EF4-FFF2-40B4-BE49-F238E27FC236}">
              <a16:creationId xmlns:a16="http://schemas.microsoft.com/office/drawing/2014/main" id="{5220D2AE-4697-C93B-4549-5D1A286F3631}"/>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605454" y="3224694"/>
          <a:ext cx="474870" cy="397566"/>
        </a:xfrm>
        <a:prstGeom prst="rect">
          <a:avLst/>
        </a:prstGeom>
      </xdr:spPr>
    </xdr:pic>
    <xdr:clientData/>
  </xdr:twoCellAnchor>
  <xdr:twoCellAnchor editAs="oneCell">
    <xdr:from>
      <xdr:col>17</xdr:col>
      <xdr:colOff>309219</xdr:colOff>
      <xdr:row>3</xdr:row>
      <xdr:rowOff>128784</xdr:rowOff>
    </xdr:from>
    <xdr:to>
      <xdr:col>18</xdr:col>
      <xdr:colOff>298176</xdr:colOff>
      <xdr:row>6</xdr:row>
      <xdr:rowOff>161914</xdr:rowOff>
    </xdr:to>
    <xdr:pic>
      <xdr:nvPicPr>
        <xdr:cNvPr id="51" name="Picture 50">
          <a:extLst>
            <a:ext uri="{FF2B5EF4-FFF2-40B4-BE49-F238E27FC236}">
              <a16:creationId xmlns:a16="http://schemas.microsoft.com/office/drawing/2014/main" id="{C1B7EB40-19CA-99FC-65E0-D100247D0FE9}"/>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634871" y="692001"/>
          <a:ext cx="596348" cy="596348"/>
        </a:xfrm>
        <a:prstGeom prst="rect">
          <a:avLst/>
        </a:prstGeom>
      </xdr:spPr>
    </xdr:pic>
    <xdr:clientData/>
  </xdr:twoCellAnchor>
  <xdr:twoCellAnchor editAs="oneCell">
    <xdr:from>
      <xdr:col>16</xdr:col>
      <xdr:colOff>231912</xdr:colOff>
      <xdr:row>16</xdr:row>
      <xdr:rowOff>176696</xdr:rowOff>
    </xdr:from>
    <xdr:to>
      <xdr:col>17</xdr:col>
      <xdr:colOff>165652</xdr:colOff>
      <xdr:row>19</xdr:row>
      <xdr:rowOff>154610</xdr:rowOff>
    </xdr:to>
    <xdr:pic>
      <xdr:nvPicPr>
        <xdr:cNvPr id="53" name="Picture 52">
          <a:extLst>
            <a:ext uri="{FF2B5EF4-FFF2-40B4-BE49-F238E27FC236}">
              <a16:creationId xmlns:a16="http://schemas.microsoft.com/office/drawing/2014/main" id="{811BE2D0-D181-7F7D-FED4-2CE488F07E7A}"/>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50173" y="3180522"/>
          <a:ext cx="541131" cy="541131"/>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van A P" refreshedDate="45958.782973148147" createdVersion="8" refreshedVersion="8" minRefreshableVersion="3" recordCount="2000" xr:uid="{4DAEBA5C-FC5D-4498-8ED3-94224F50CBA6}">
  <cacheSource type="worksheet">
    <worksheetSource name="Sheet1"/>
  </cacheSource>
  <cacheFields count="16">
    <cacheField name="Date" numFmtId="14">
      <sharedItems containsSemiMixedTypes="0" containsNonDate="0" containsDate="1" containsString="0" minDate="2023-01-01T00:00:00" maxDate="2025-07-01T00:00:00" count="824">
        <d v="2024-03-30T00:00:00"/>
        <d v="2023-03-16T00:00:00"/>
        <d v="2024-04-26T00:00:00"/>
        <d v="2025-02-08T00:00:00"/>
        <d v="2024-06-17T00:00:00"/>
        <d v="2023-01-26T00:00:00"/>
        <d v="2023-12-10T00:00:00"/>
        <d v="2023-08-13T00:00:00"/>
        <d v="2024-05-17T00:00:00"/>
        <d v="2023-09-08T00:00:00"/>
        <d v="2023-09-20T00:00:00"/>
        <d v="2024-02-16T00:00:00"/>
        <d v="2024-09-13T00:00:00"/>
        <d v="2025-06-17T00:00:00"/>
        <d v="2023-02-03T00:00:00"/>
        <d v="2024-02-01T00:00:00"/>
        <d v="2023-09-24T00:00:00"/>
        <d v="2023-06-03T00:00:00"/>
        <d v="2023-02-24T00:00:00"/>
        <d v="2023-07-26T00:00:00"/>
        <d v="2023-10-16T00:00:00"/>
        <d v="2024-08-18T00:00:00"/>
        <d v="2023-07-31T00:00:00"/>
        <d v="2024-08-02T00:00:00"/>
        <d v="2024-02-13T00:00:00"/>
        <d v="2025-01-21T00:00:00"/>
        <d v="2025-03-24T00:00:00"/>
        <d v="2023-03-06T00:00:00"/>
        <d v="2025-06-26T00:00:00"/>
        <d v="2023-10-26T00:00:00"/>
        <d v="2023-10-11T00:00:00"/>
        <d v="2024-12-13T00:00:00"/>
        <d v="2024-06-18T00:00:00"/>
        <d v="2024-02-02T00:00:00"/>
        <d v="2024-12-17T00:00:00"/>
        <d v="2024-10-27T00:00:00"/>
        <d v="2025-05-08T00:00:00"/>
        <d v="2024-08-09T00:00:00"/>
        <d v="2023-04-15T00:00:00"/>
        <d v="2024-06-20T00:00:00"/>
        <d v="2024-06-21T00:00:00"/>
        <d v="2024-01-28T00:00:00"/>
        <d v="2024-01-03T00:00:00"/>
        <d v="2024-05-31T00:00:00"/>
        <d v="2025-04-14T00:00:00"/>
        <d v="2025-04-29T00:00:00"/>
        <d v="2024-03-08T00:00:00"/>
        <d v="2023-12-04T00:00:00"/>
        <d v="2024-11-22T00:00:00"/>
        <d v="2024-03-20T00:00:00"/>
        <d v="2023-02-27T00:00:00"/>
        <d v="2023-11-08T00:00:00"/>
        <d v="2025-01-25T00:00:00"/>
        <d v="2023-05-15T00:00:00"/>
        <d v="2024-05-11T00:00:00"/>
        <d v="2025-01-04T00:00:00"/>
        <d v="2024-12-09T00:00:00"/>
        <d v="2023-10-12T00:00:00"/>
        <d v="2025-02-25T00:00:00"/>
        <d v="2023-09-03T00:00:00"/>
        <d v="2023-07-05T00:00:00"/>
        <d v="2023-11-15T00:00:00"/>
        <d v="2023-08-24T00:00:00"/>
        <d v="2023-01-31T00:00:00"/>
        <d v="2023-11-06T00:00:00"/>
        <d v="2025-03-04T00:00:00"/>
        <d v="2023-04-20T00:00:00"/>
        <d v="2023-05-16T00:00:00"/>
        <d v="2024-01-08T00:00:00"/>
        <d v="2023-01-29T00:00:00"/>
        <d v="2024-07-27T00:00:00"/>
        <d v="2023-01-11T00:00:00"/>
        <d v="2024-11-07T00:00:00"/>
        <d v="2024-10-08T00:00:00"/>
        <d v="2023-05-20T00:00:00"/>
        <d v="2023-07-21T00:00:00"/>
        <d v="2023-06-15T00:00:00"/>
        <d v="2024-08-13T00:00:00"/>
        <d v="2024-02-10T00:00:00"/>
        <d v="2024-10-25T00:00:00"/>
        <d v="2023-03-11T00:00:00"/>
        <d v="2025-04-22T00:00:00"/>
        <d v="2023-06-16T00:00:00"/>
        <d v="2024-07-23T00:00:00"/>
        <d v="2024-11-05T00:00:00"/>
        <d v="2024-02-14T00:00:00"/>
        <d v="2025-05-20T00:00:00"/>
        <d v="2025-06-20T00:00:00"/>
        <d v="2024-02-20T00:00:00"/>
        <d v="2023-02-17T00:00:00"/>
        <d v="2024-07-02T00:00:00"/>
        <d v="2024-07-19T00:00:00"/>
        <d v="2024-08-01T00:00:00"/>
        <d v="2024-05-06T00:00:00"/>
        <d v="2024-07-26T00:00:00"/>
        <d v="2024-12-24T00:00:00"/>
        <d v="2024-10-31T00:00:00"/>
        <d v="2024-12-30T00:00:00"/>
        <d v="2025-02-01T00:00:00"/>
        <d v="2025-04-30T00:00:00"/>
        <d v="2025-04-05T00:00:00"/>
        <d v="2024-01-26T00:00:00"/>
        <d v="2025-06-13T00:00:00"/>
        <d v="2023-02-22T00:00:00"/>
        <d v="2024-05-02T00:00:00"/>
        <d v="2025-01-24T00:00:00"/>
        <d v="2023-09-07T00:00:00"/>
        <d v="2024-03-21T00:00:00"/>
        <d v="2023-12-06T00:00:00"/>
        <d v="2023-05-03T00:00:00"/>
        <d v="2024-02-27T00:00:00"/>
        <d v="2023-03-23T00:00:00"/>
        <d v="2024-05-08T00:00:00"/>
        <d v="2024-02-17T00:00:00"/>
        <d v="2023-05-28T00:00:00"/>
        <d v="2023-10-28T00:00:00"/>
        <d v="2024-04-23T00:00:00"/>
        <d v="2024-09-01T00:00:00"/>
        <d v="2023-03-21T00:00:00"/>
        <d v="2025-02-20T00:00:00"/>
        <d v="2025-05-30T00:00:00"/>
        <d v="2023-07-03T00:00:00"/>
        <d v="2023-05-19T00:00:00"/>
        <d v="2023-01-21T00:00:00"/>
        <d v="2023-01-30T00:00:00"/>
        <d v="2024-02-25T00:00:00"/>
        <d v="2024-07-14T00:00:00"/>
        <d v="2024-03-16T00:00:00"/>
        <d v="2024-12-16T00:00:00"/>
        <d v="2024-03-09T00:00:00"/>
        <d v="2023-12-30T00:00:00"/>
        <d v="2024-11-10T00:00:00"/>
        <d v="2023-06-30T00:00:00"/>
        <d v="2023-04-25T00:00:00"/>
        <d v="2024-02-19T00:00:00"/>
        <d v="2024-11-28T00:00:00"/>
        <d v="2024-08-11T00:00:00"/>
        <d v="2023-10-09T00:00:00"/>
        <d v="2024-02-05T00:00:00"/>
        <d v="2024-11-17T00:00:00"/>
        <d v="2023-12-01T00:00:00"/>
        <d v="2024-04-12T00:00:00"/>
        <d v="2024-07-31T00:00:00"/>
        <d v="2025-06-08T00:00:00"/>
        <d v="2023-04-05T00:00:00"/>
        <d v="2023-05-08T00:00:00"/>
        <d v="2024-01-30T00:00:00"/>
        <d v="2025-05-23T00:00:00"/>
        <d v="2023-01-24T00:00:00"/>
        <d v="2025-01-20T00:00:00"/>
        <d v="2024-08-05T00:00:00"/>
        <d v="2024-09-14T00:00:00"/>
        <d v="2023-05-24T00:00:00"/>
        <d v="2023-01-06T00:00:00"/>
        <d v="2024-08-04T00:00:00"/>
        <d v="2023-09-21T00:00:00"/>
        <d v="2024-05-05T00:00:00"/>
        <d v="2023-11-07T00:00:00"/>
        <d v="2023-11-28T00:00:00"/>
        <d v="2023-02-08T00:00:00"/>
        <d v="2023-07-18T00:00:00"/>
        <d v="2023-05-27T00:00:00"/>
        <d v="2025-06-16T00:00:00"/>
        <d v="2024-10-29T00:00:00"/>
        <d v="2024-01-05T00:00:00"/>
        <d v="2023-01-14T00:00:00"/>
        <d v="2023-06-18T00:00:00"/>
        <d v="2025-01-02T00:00:00"/>
        <d v="2025-04-13T00:00:00"/>
        <d v="2023-03-24T00:00:00"/>
        <d v="2024-03-05T00:00:00"/>
        <d v="2023-11-01T00:00:00"/>
        <d v="2023-11-19T00:00:00"/>
        <d v="2024-03-19T00:00:00"/>
        <d v="2023-05-23T00:00:00"/>
        <d v="2024-09-04T00:00:00"/>
        <d v="2023-06-25T00:00:00"/>
        <d v="2023-05-25T00:00:00"/>
        <d v="2023-04-16T00:00:00"/>
        <d v="2023-02-20T00:00:00"/>
        <d v="2025-03-16T00:00:00"/>
        <d v="2023-02-02T00:00:00"/>
        <d v="2024-05-26T00:00:00"/>
        <d v="2024-03-23T00:00:00"/>
        <d v="2023-04-01T00:00:00"/>
        <d v="2024-08-16T00:00:00"/>
        <d v="2024-10-20T00:00:00"/>
        <d v="2023-11-12T00:00:00"/>
        <d v="2024-12-05T00:00:00"/>
        <d v="2024-12-01T00:00:00"/>
        <d v="2023-06-14T00:00:00"/>
        <d v="2023-02-23T00:00:00"/>
        <d v="2023-08-16T00:00:00"/>
        <d v="2023-03-02T00:00:00"/>
        <d v="2023-03-26T00:00:00"/>
        <d v="2024-12-11T00:00:00"/>
        <d v="2023-01-13T00:00:00"/>
        <d v="2025-01-10T00:00:00"/>
        <d v="2023-06-12T00:00:00"/>
        <d v="2024-06-02T00:00:00"/>
        <d v="2025-06-01T00:00:00"/>
        <d v="2023-07-02T00:00:00"/>
        <d v="2023-09-02T00:00:00"/>
        <d v="2024-06-09T00:00:00"/>
        <d v="2025-01-14T00:00:00"/>
        <d v="2024-07-04T00:00:00"/>
        <d v="2024-04-27T00:00:00"/>
        <d v="2023-10-15T00:00:00"/>
        <d v="2025-02-04T00:00:00"/>
        <d v="2024-10-23T00:00:00"/>
        <d v="2024-06-28T00:00:00"/>
        <d v="2023-09-12T00:00:00"/>
        <d v="2023-09-28T00:00:00"/>
        <d v="2023-04-11T00:00:00"/>
        <d v="2023-06-23T00:00:00"/>
        <d v="2023-11-10T00:00:00"/>
        <d v="2024-10-14T00:00:00"/>
        <d v="2023-07-13T00:00:00"/>
        <d v="2024-08-24T00:00:00"/>
        <d v="2023-08-05T00:00:00"/>
        <d v="2023-06-17T00:00:00"/>
        <d v="2023-04-21T00:00:00"/>
        <d v="2023-08-09T00:00:00"/>
        <d v="2023-11-13T00:00:00"/>
        <d v="2024-10-18T00:00:00"/>
        <d v="2023-02-26T00:00:00"/>
        <d v="2024-03-13T00:00:00"/>
        <d v="2025-06-12T00:00:00"/>
        <d v="2025-05-17T00:00:00"/>
        <d v="2023-05-06T00:00:00"/>
        <d v="2023-10-21T00:00:00"/>
        <d v="2023-03-13T00:00:00"/>
        <d v="2024-11-21T00:00:00"/>
        <d v="2023-03-09T00:00:00"/>
        <d v="2024-12-23T00:00:00"/>
        <d v="2024-12-31T00:00:00"/>
        <d v="2023-01-25T00:00:00"/>
        <d v="2023-06-28T00:00:00"/>
        <d v="2023-10-07T00:00:00"/>
        <d v="2025-03-10T00:00:00"/>
        <d v="2023-03-18T00:00:00"/>
        <d v="2025-06-11T00:00:00"/>
        <d v="2023-05-17T00:00:00"/>
        <d v="2024-12-04T00:00:00"/>
        <d v="2023-05-11T00:00:00"/>
        <d v="2025-02-17T00:00:00"/>
        <d v="2023-01-02T00:00:00"/>
        <d v="2024-09-16T00:00:00"/>
        <d v="2023-03-05T00:00:00"/>
        <d v="2024-06-27T00:00:00"/>
        <d v="2023-06-19T00:00:00"/>
        <d v="2023-10-13T00:00:00"/>
        <d v="2024-09-28T00:00:00"/>
        <d v="2024-10-15T00:00:00"/>
        <d v="2023-10-18T00:00:00"/>
        <d v="2024-04-25T00:00:00"/>
        <d v="2024-04-17T00:00:00"/>
        <d v="2024-06-06T00:00:00"/>
        <d v="2025-04-02T00:00:00"/>
        <d v="2023-04-13T00:00:00"/>
        <d v="2024-04-07T00:00:00"/>
        <d v="2024-10-24T00:00:00"/>
        <d v="2024-09-25T00:00:00"/>
        <d v="2024-01-09T00:00:00"/>
        <d v="2023-05-04T00:00:00"/>
        <d v="2024-07-21T00:00:00"/>
        <d v="2025-03-28T00:00:00"/>
        <d v="2025-03-07T00:00:00"/>
        <d v="2024-03-31T00:00:00"/>
        <d v="2025-03-31T00:00:00"/>
        <d v="2023-09-19T00:00:00"/>
        <d v="2024-03-01T00:00:00"/>
        <d v="2024-01-22T00:00:00"/>
        <d v="2024-01-01T00:00:00"/>
        <d v="2023-08-25T00:00:00"/>
        <d v="2025-06-19T00:00:00"/>
        <d v="2024-08-19T00:00:00"/>
        <d v="2024-08-03T00:00:00"/>
        <d v="2024-04-22T00:00:00"/>
        <d v="2024-10-17T00:00:00"/>
        <d v="2025-02-14T00:00:00"/>
        <d v="2024-07-03T00:00:00"/>
        <d v="2025-06-27T00:00:00"/>
        <d v="2025-04-15T00:00:00"/>
        <d v="2024-01-02T00:00:00"/>
        <d v="2024-05-20T00:00:00"/>
        <d v="2024-09-02T00:00:00"/>
        <d v="2024-09-06T00:00:00"/>
        <d v="2023-07-22T00:00:00"/>
        <d v="2024-09-03T00:00:00"/>
        <d v="2023-11-16T00:00:00"/>
        <d v="2025-06-04T00:00:00"/>
        <d v="2023-11-23T00:00:00"/>
        <d v="2023-01-19T00:00:00"/>
        <d v="2024-02-22T00:00:00"/>
        <d v="2024-07-22T00:00:00"/>
        <d v="2023-08-23T00:00:00"/>
        <d v="2025-01-15T00:00:00"/>
        <d v="2025-06-14T00:00:00"/>
        <d v="2023-09-26T00:00:00"/>
        <d v="2024-11-24T00:00:00"/>
        <d v="2024-11-19T00:00:00"/>
        <d v="2023-04-09T00:00:00"/>
        <d v="2024-03-24T00:00:00"/>
        <d v="2024-03-07T00:00:00"/>
        <d v="2023-03-14T00:00:00"/>
        <d v="2023-01-03T00:00:00"/>
        <d v="2024-09-26T00:00:00"/>
        <d v="2023-12-11T00:00:00"/>
        <d v="2024-05-04T00:00:00"/>
        <d v="2024-07-10T00:00:00"/>
        <d v="2025-06-05T00:00:00"/>
        <d v="2023-02-01T00:00:00"/>
        <d v="2023-12-03T00:00:00"/>
        <d v="2023-12-09T00:00:00"/>
        <d v="2023-08-20T00:00:00"/>
        <d v="2023-06-07T00:00:00"/>
        <d v="2023-10-20T00:00:00"/>
        <d v="2023-07-30T00:00:00"/>
        <d v="2024-02-18T00:00:00"/>
        <d v="2023-06-09T00:00:00"/>
        <d v="2023-04-22T00:00:00"/>
        <d v="2023-11-14T00:00:00"/>
        <d v="2024-09-30T00:00:00"/>
        <d v="2024-11-25T00:00:00"/>
        <d v="2024-01-04T00:00:00"/>
        <d v="2023-06-05T00:00:00"/>
        <d v="2023-05-01T00:00:00"/>
        <d v="2024-11-20T00:00:00"/>
        <d v="2023-03-19T00:00:00"/>
        <d v="2024-06-12T00:00:00"/>
        <d v="2024-04-09T00:00:00"/>
        <d v="2024-09-27T00:00:00"/>
        <d v="2025-01-08T00:00:00"/>
        <d v="2024-03-11T00:00:00"/>
        <d v="2023-12-28T00:00:00"/>
        <d v="2023-05-09T00:00:00"/>
        <d v="2023-11-30T00:00:00"/>
        <d v="2024-01-17T00:00:00"/>
        <d v="2023-12-19T00:00:00"/>
        <d v="2024-08-12T00:00:00"/>
        <d v="2023-10-05T00:00:00"/>
        <d v="2024-05-18T00:00:00"/>
        <d v="2023-08-26T00:00:00"/>
        <d v="2024-03-03T00:00:00"/>
        <d v="2023-09-04T00:00:00"/>
        <d v="2024-07-24T00:00:00"/>
        <d v="2024-07-28T00:00:00"/>
        <d v="2023-07-17T00:00:00"/>
        <d v="2024-07-01T00:00:00"/>
        <d v="2023-12-21T00:00:00"/>
        <d v="2025-01-29T00:00:00"/>
        <d v="2023-05-29T00:00:00"/>
        <d v="2023-03-25T00:00:00"/>
        <d v="2023-05-30T00:00:00"/>
        <d v="2025-04-06T00:00:00"/>
        <d v="2023-09-15T00:00:00"/>
        <d v="2025-04-24T00:00:00"/>
        <d v="2023-12-24T00:00:00"/>
        <d v="2023-08-27T00:00:00"/>
        <d v="2023-04-08T00:00:00"/>
        <d v="2024-08-17T00:00:00"/>
        <d v="2025-01-06T00:00:00"/>
        <d v="2025-05-03T00:00:00"/>
        <d v="2023-03-20T00:00:00"/>
        <d v="2023-04-19T00:00:00"/>
        <d v="2023-11-09T00:00:00"/>
        <d v="2024-05-14T00:00:00"/>
        <d v="2024-07-17T00:00:00"/>
        <d v="2025-02-03T00:00:00"/>
        <d v="2023-05-26T00:00:00"/>
        <d v="2025-04-08T00:00:00"/>
        <d v="2024-11-18T00:00:00"/>
        <d v="2025-04-04T00:00:00"/>
        <d v="2023-12-27T00:00:00"/>
        <d v="2023-05-05T00:00:00"/>
        <d v="2024-11-23T00:00:00"/>
        <d v="2025-06-07T00:00:00"/>
        <d v="2025-04-10T00:00:00"/>
        <d v="2023-03-22T00:00:00"/>
        <d v="2023-01-05T00:00:00"/>
        <d v="2024-04-02T00:00:00"/>
        <d v="2024-01-15T00:00:00"/>
        <d v="2024-05-25T00:00:00"/>
        <d v="2023-01-27T00:00:00"/>
        <d v="2025-03-05T00:00:00"/>
        <d v="2024-09-18T00:00:00"/>
        <d v="2024-02-15T00:00:00"/>
        <d v="2024-06-29T00:00:00"/>
        <d v="2024-07-29T00:00:00"/>
        <d v="2024-11-08T00:00:00"/>
        <d v="2024-10-05T00:00:00"/>
        <d v="2024-06-01T00:00:00"/>
        <d v="2024-02-06T00:00:00"/>
        <d v="2024-11-06T00:00:00"/>
        <d v="2024-11-04T00:00:00"/>
        <d v="2023-06-21T00:00:00"/>
        <d v="2024-04-03T00:00:00"/>
        <d v="2023-05-13T00:00:00"/>
        <d v="2024-07-06T00:00:00"/>
        <d v="2024-06-15T00:00:00"/>
        <d v="2024-07-25T00:00:00"/>
        <d v="2025-05-31T00:00:00"/>
        <d v="2023-12-13T00:00:00"/>
        <d v="2023-04-06T00:00:00"/>
        <d v="2024-12-14T00:00:00"/>
        <d v="2025-02-10T00:00:00"/>
        <d v="2025-05-27T00:00:00"/>
        <d v="2024-02-26T00:00:00"/>
        <d v="2024-02-09T00:00:00"/>
        <d v="2023-02-25T00:00:00"/>
        <d v="2023-02-21T00:00:00"/>
        <d v="2024-07-08T00:00:00"/>
        <d v="2024-06-23T00:00:00"/>
        <d v="2023-04-30T00:00:00"/>
        <d v="2023-04-24T00:00:00"/>
        <d v="2024-05-23T00:00:00"/>
        <d v="2025-04-25T00:00:00"/>
        <d v="2023-08-10T00:00:00"/>
        <d v="2025-05-24T00:00:00"/>
        <d v="2023-12-20T00:00:00"/>
        <d v="2024-12-10T00:00:00"/>
        <d v="2024-05-12T00:00:00"/>
        <d v="2023-04-04T00:00:00"/>
        <d v="2024-12-27T00:00:00"/>
        <d v="2023-09-22T00:00:00"/>
        <d v="2023-04-28T00:00:00"/>
        <d v="2023-06-01T00:00:00"/>
        <d v="2023-06-20T00:00:00"/>
        <d v="2024-10-28T00:00:00"/>
        <d v="2023-04-14T00:00:00"/>
        <d v="2024-06-08T00:00:00"/>
        <d v="2024-01-13T00:00:00"/>
        <d v="2024-11-01T00:00:00"/>
        <d v="2023-07-04T00:00:00"/>
        <d v="2023-04-07T00:00:00"/>
        <d v="2024-05-09T00:00:00"/>
        <d v="2023-03-03T00:00:00"/>
        <d v="2023-07-07T00:00:00"/>
        <d v="2023-12-05T00:00:00"/>
        <d v="2024-05-24T00:00:00"/>
        <d v="2023-03-08T00:00:00"/>
        <d v="2023-10-31T00:00:00"/>
        <d v="2025-02-24T00:00:00"/>
        <d v="2024-09-10T00:00:00"/>
        <d v="2023-12-02T00:00:00"/>
        <d v="2024-12-20T00:00:00"/>
        <d v="2023-07-15T00:00:00"/>
        <d v="2023-03-17T00:00:00"/>
        <d v="2025-06-03T00:00:00"/>
        <d v="2023-03-27T00:00:00"/>
        <d v="2024-04-08T00:00:00"/>
        <d v="2023-03-28T00:00:00"/>
        <d v="2025-01-09T00:00:00"/>
        <d v="2025-05-02T00:00:00"/>
        <d v="2025-02-18T00:00:00"/>
        <d v="2023-01-22T00:00:00"/>
        <d v="2025-05-10T00:00:00"/>
        <d v="2024-09-09T00:00:00"/>
        <d v="2025-05-16T00:00:00"/>
        <d v="2024-10-10T00:00:00"/>
        <d v="2025-05-07T00:00:00"/>
        <d v="2024-08-20T00:00:00"/>
        <d v="2025-04-07T00:00:00"/>
        <d v="2023-06-08T00:00:00"/>
        <d v="2024-05-21T00:00:00"/>
        <d v="2023-09-06T00:00:00"/>
        <d v="2024-11-09T00:00:00"/>
        <d v="2024-03-10T00:00:00"/>
        <d v="2023-04-10T00:00:00"/>
        <d v="2025-03-08T00:00:00"/>
        <d v="2023-11-25T00:00:00"/>
        <d v="2023-03-04T00:00:00"/>
        <d v="2025-03-17T00:00:00"/>
        <d v="2024-05-15T00:00:00"/>
        <d v="2024-01-19T00:00:00"/>
        <d v="2025-03-14T00:00:00"/>
        <d v="2024-12-06T00:00:00"/>
        <d v="2024-08-27T00:00:00"/>
        <d v="2025-03-30T00:00:00"/>
        <d v="2025-01-31T00:00:00"/>
        <d v="2025-02-27T00:00:00"/>
        <d v="2023-10-04T00:00:00"/>
        <d v="2023-09-30T00:00:00"/>
        <d v="2023-05-21T00:00:00"/>
        <d v="2025-03-03T00:00:00"/>
        <d v="2023-12-08T00:00:00"/>
        <d v="2024-04-13T00:00:00"/>
        <d v="2025-03-18T00:00:00"/>
        <d v="2025-03-26T00:00:00"/>
        <d v="2023-06-13T00:00:00"/>
        <d v="2024-11-13T00:00:00"/>
        <d v="2025-06-25T00:00:00"/>
        <d v="2025-05-12T00:00:00"/>
        <d v="2024-10-13T00:00:00"/>
        <d v="2023-10-03T00:00:00"/>
        <d v="2023-09-09T00:00:00"/>
        <d v="2025-03-27T00:00:00"/>
        <d v="2024-07-30T00:00:00"/>
        <d v="2025-02-06T00:00:00"/>
        <d v="2025-01-22T00:00:00"/>
        <d v="2025-02-16T00:00:00"/>
        <d v="2023-03-07T00:00:00"/>
        <d v="2024-03-22T00:00:00"/>
        <d v="2023-01-01T00:00:00"/>
        <d v="2023-11-29T00:00:00"/>
        <d v="2023-07-27T00:00:00"/>
        <d v="2024-11-03T00:00:00"/>
        <d v="2024-11-11T00:00:00"/>
        <d v="2023-02-15T00:00:00"/>
        <d v="2024-04-10T00:00:00"/>
        <d v="2024-03-26T00:00:00"/>
        <d v="2025-01-26T00:00:00"/>
        <d v="2025-03-23T00:00:00"/>
        <d v="2023-08-31T00:00:00"/>
        <d v="2023-03-15T00:00:00"/>
        <d v="2024-05-29T00:00:00"/>
        <d v="2023-05-18T00:00:00"/>
        <d v="2024-03-04T00:00:00"/>
        <d v="2023-11-26T00:00:00"/>
        <d v="2025-05-21T00:00:00"/>
        <d v="2023-10-08T00:00:00"/>
        <d v="2025-05-05T00:00:00"/>
        <d v="2024-09-19T00:00:00"/>
        <d v="2025-06-24T00:00:00"/>
        <d v="2024-03-25T00:00:00"/>
        <d v="2023-01-07T00:00:00"/>
        <d v="2023-10-14T00:00:00"/>
        <d v="2024-10-12T00:00:00"/>
        <d v="2024-11-30T00:00:00"/>
        <d v="2023-01-23T00:00:00"/>
        <d v="2023-07-08T00:00:00"/>
        <d v="2023-11-21T00:00:00"/>
        <d v="2024-06-14T00:00:00"/>
        <d v="2025-02-12T00:00:00"/>
        <d v="2024-06-11T00:00:00"/>
        <d v="2023-11-24T00:00:00"/>
        <d v="2023-01-12T00:00:00"/>
        <d v="2024-04-28T00:00:00"/>
        <d v="2024-07-09T00:00:00"/>
        <d v="2024-01-06T00:00:00"/>
        <d v="2024-11-12T00:00:00"/>
        <d v="2025-01-01T00:00:00"/>
        <d v="2023-04-03T00:00:00"/>
        <d v="2024-09-12T00:00:00"/>
        <d v="2024-01-10T00:00:00"/>
        <d v="2024-09-05T00:00:00"/>
        <d v="2025-04-01T00:00:00"/>
        <d v="2023-03-31T00:00:00"/>
        <d v="2024-11-26T00:00:00"/>
        <d v="2023-10-10T00:00:00"/>
        <d v="2025-04-23T00:00:00"/>
        <d v="2023-02-10T00:00:00"/>
        <d v="2024-03-12T00:00:00"/>
        <d v="2025-03-06T00:00:00"/>
        <d v="2024-06-07T00:00:00"/>
        <d v="2024-10-02T00:00:00"/>
        <d v="2024-06-30T00:00:00"/>
        <d v="2025-01-30T00:00:00"/>
        <d v="2024-10-30T00:00:00"/>
        <d v="2025-01-16T00:00:00"/>
        <d v="2024-10-04T00:00:00"/>
        <d v="2023-07-20T00:00:00"/>
        <d v="2023-12-22T00:00:00"/>
        <d v="2023-06-11T00:00:00"/>
        <d v="2023-12-18T00:00:00"/>
        <d v="2023-05-10T00:00:00"/>
        <d v="2025-01-23T00:00:00"/>
        <d v="2024-07-20T00:00:00"/>
        <d v="2023-09-14T00:00:00"/>
        <d v="2024-09-24T00:00:00"/>
        <d v="2024-04-11T00:00:00"/>
        <d v="2025-01-11T00:00:00"/>
        <d v="2023-10-23T00:00:00"/>
        <d v="2023-10-24T00:00:00"/>
        <d v="2024-09-15T00:00:00"/>
        <d v="2025-04-20T00:00:00"/>
        <d v="2023-08-18T00:00:00"/>
        <d v="2024-02-23T00:00:00"/>
        <d v="2023-08-28T00:00:00"/>
        <d v="2023-12-16T00:00:00"/>
        <d v="2025-06-28T00:00:00"/>
        <d v="2024-02-21T00:00:00"/>
        <d v="2025-05-22T00:00:00"/>
        <d v="2025-02-21T00:00:00"/>
        <d v="2024-11-29T00:00:00"/>
        <d v="2023-06-29T00:00:00"/>
        <d v="2024-05-27T00:00:00"/>
        <d v="2023-09-01T00:00:00"/>
        <d v="2025-01-13T00:00:00"/>
        <d v="2024-08-15T00:00:00"/>
        <d v="2024-02-29T00:00:00"/>
        <d v="2023-01-15T00:00:00"/>
        <d v="2023-09-29T00:00:00"/>
        <d v="2023-02-14T00:00:00"/>
        <d v="2025-03-13T00:00:00"/>
        <d v="2024-03-18T00:00:00"/>
        <d v="2024-07-18T00:00:00"/>
        <d v="2024-06-22T00:00:00"/>
        <d v="2024-08-10T00:00:00"/>
        <d v="2024-03-02T00:00:00"/>
        <d v="2025-04-03T00:00:00"/>
        <d v="2025-03-12T00:00:00"/>
        <d v="2025-03-19T00:00:00"/>
        <d v="2023-06-26T00:00:00"/>
        <d v="2024-09-20T00:00:00"/>
        <d v="2024-03-28T00:00:00"/>
        <d v="2023-03-01T00:00:00"/>
        <d v="2025-05-04T00:00:00"/>
        <d v="2024-05-10T00:00:00"/>
        <d v="2023-09-25T00:00:00"/>
        <d v="2023-05-22T00:00:00"/>
        <d v="2024-12-22T00:00:00"/>
        <d v="2023-09-10T00:00:00"/>
        <d v="2025-03-29T00:00:00"/>
        <d v="2025-03-02T00:00:00"/>
        <d v="2024-02-08T00:00:00"/>
        <d v="2024-11-16T00:00:00"/>
        <d v="2023-08-01T00:00:00"/>
        <d v="2024-04-01T00:00:00"/>
        <d v="2023-11-17T00:00:00"/>
        <d v="2025-01-17T00:00:00"/>
        <d v="2023-06-24T00:00:00"/>
        <d v="2023-02-07T00:00:00"/>
        <d v="2024-09-17T00:00:00"/>
        <d v="2024-09-08T00:00:00"/>
        <d v="2023-08-21T00:00:00"/>
        <d v="2025-04-11T00:00:00"/>
        <d v="2024-01-21T00:00:00"/>
        <d v="2024-01-07T00:00:00"/>
        <d v="2024-04-14T00:00:00"/>
        <d v="2023-06-27T00:00:00"/>
        <d v="2023-12-25T00:00:00"/>
        <d v="2024-08-06T00:00:00"/>
        <d v="2024-12-12T00:00:00"/>
        <d v="2024-09-07T00:00:00"/>
        <d v="2025-05-15T00:00:00"/>
        <d v="2023-08-02T00:00:00"/>
        <d v="2023-03-30T00:00:00"/>
        <d v="2024-04-04T00:00:00"/>
        <d v="2024-08-23T00:00:00"/>
        <d v="2023-01-20T00:00:00"/>
        <d v="2024-12-03T00:00:00"/>
        <d v="2025-03-20T00:00:00"/>
        <d v="2024-12-02T00:00:00"/>
        <d v="2025-06-29T00:00:00"/>
        <d v="2023-12-26T00:00:00"/>
        <d v="2023-05-07T00:00:00"/>
        <d v="2025-05-28T00:00:00"/>
        <d v="2025-03-11T00:00:00"/>
        <d v="2024-12-18T00:00:00"/>
        <d v="2024-05-07T00:00:00"/>
        <d v="2024-01-12T00:00:00"/>
        <d v="2023-04-23T00:00:00"/>
        <d v="2025-04-28T00:00:00"/>
        <d v="2024-10-19T00:00:00"/>
        <d v="2023-09-27T00:00:00"/>
        <d v="2023-12-31T00:00:00"/>
        <d v="2025-02-07T00:00:00"/>
        <d v="2024-04-20T00:00:00"/>
        <d v="2023-09-11T00:00:00"/>
        <d v="2025-04-18T00:00:00"/>
        <d v="2024-03-14T00:00:00"/>
        <d v="2024-04-18T00:00:00"/>
        <d v="2024-01-23T00:00:00"/>
        <d v="2024-12-29T00:00:00"/>
        <d v="2024-08-29T00:00:00"/>
        <d v="2024-06-19T00:00:00"/>
        <d v="2024-07-11T00:00:00"/>
        <d v="2023-10-30T00:00:00"/>
        <d v="2025-04-27T00:00:00"/>
        <d v="2023-04-18T00:00:00"/>
        <d v="2024-10-09T00:00:00"/>
        <d v="2023-10-25T00:00:00"/>
        <d v="2025-05-11T00:00:00"/>
        <d v="2023-08-12T00:00:00"/>
        <d v="2024-07-15T00:00:00"/>
        <d v="2024-05-28T00:00:00"/>
        <d v="2024-04-30T00:00:00"/>
        <d v="2024-10-06T00:00:00"/>
        <d v="2023-02-05T00:00:00"/>
        <d v="2023-06-22T00:00:00"/>
        <d v="2024-12-28T00:00:00"/>
        <d v="2023-12-15T00:00:00"/>
        <d v="2025-06-23T00:00:00"/>
        <d v="2023-01-10T00:00:00"/>
        <d v="2024-04-19T00:00:00"/>
        <d v="2024-04-06T00:00:00"/>
        <d v="2023-10-17T00:00:00"/>
        <d v="2024-04-16T00:00:00"/>
        <d v="2025-05-14T00:00:00"/>
        <d v="2024-11-27T00:00:00"/>
        <d v="2023-11-20T00:00:00"/>
        <d v="2023-02-28T00:00:00"/>
        <d v="2023-04-26T00:00:00"/>
        <d v="2025-02-22T00:00:00"/>
        <d v="2024-07-16T00:00:00"/>
        <d v="2023-10-29T00:00:00"/>
        <d v="2023-08-14T00:00:00"/>
        <d v="2024-10-07T00:00:00"/>
        <d v="2024-07-07T00:00:00"/>
        <d v="2023-02-04T00:00:00"/>
        <d v="2025-02-26T00:00:00"/>
        <d v="2025-02-28T00:00:00"/>
        <d v="2023-08-11T00:00:00"/>
        <d v="2023-12-07T00:00:00"/>
        <d v="2024-05-30T00:00:00"/>
        <d v="2024-01-25T00:00:00"/>
        <d v="2023-10-22T00:00:00"/>
        <d v="2024-08-07T00:00:00"/>
        <d v="2024-01-27T00:00:00"/>
        <d v="2023-06-06T00:00:00"/>
        <d v="2023-05-02T00:00:00"/>
        <d v="2023-07-28T00:00:00"/>
        <d v="2024-02-07T00:00:00"/>
        <d v="2025-01-18T00:00:00"/>
        <d v="2025-02-23T00:00:00"/>
        <d v="2025-06-21T00:00:00"/>
        <d v="2025-03-15T00:00:00"/>
        <d v="2023-11-22T00:00:00"/>
        <d v="2023-11-05T00:00:00"/>
        <d v="2024-08-25T00:00:00"/>
        <d v="2025-04-16T00:00:00"/>
        <d v="2023-01-04T00:00:00"/>
        <d v="2025-02-09T00:00:00"/>
        <d v="2024-03-29T00:00:00"/>
        <d v="2024-08-08T00:00:00"/>
        <d v="2024-11-02T00:00:00"/>
        <d v="2025-03-09T00:00:00"/>
        <d v="2024-09-22T00:00:00"/>
        <d v="2023-03-12T00:00:00"/>
        <d v="2023-07-14T00:00:00"/>
        <d v="2023-02-19T00:00:00"/>
        <d v="2024-11-15T00:00:00"/>
        <d v="2025-06-09T00:00:00"/>
        <d v="2023-05-12T00:00:00"/>
        <d v="2024-12-21T00:00:00"/>
        <d v="2024-07-13T00:00:00"/>
        <d v="2024-01-18T00:00:00"/>
        <d v="2023-10-06T00:00:00"/>
        <d v="2023-10-01T00:00:00"/>
        <d v="2023-07-09T00:00:00"/>
        <d v="2023-04-27T00:00:00"/>
        <d v="2023-01-18T00:00:00"/>
        <d v="2025-01-05T00:00:00"/>
        <d v="2023-07-06T00:00:00"/>
        <d v="2025-06-10T00:00:00"/>
        <d v="2025-06-30T00:00:00"/>
        <d v="2025-05-18T00:00:00"/>
        <d v="2023-12-12T00:00:00"/>
        <d v="2024-04-24T00:00:00"/>
        <d v="2024-02-24T00:00:00"/>
        <d v="2023-06-02T00:00:00"/>
        <d v="2024-08-31T00:00:00"/>
        <d v="2025-04-17T00:00:00"/>
        <d v="2024-01-14T00:00:00"/>
        <d v="2024-02-28T00:00:00"/>
        <d v="2024-03-27T00:00:00"/>
        <d v="2024-01-16T00:00:00"/>
        <d v="2023-02-11T00:00:00"/>
        <d v="2023-04-29T00:00:00"/>
        <d v="2023-08-04T00:00:00"/>
        <d v="2023-12-17T00:00:00"/>
        <d v="2023-11-02T00:00:00"/>
        <d v="2024-06-10T00:00:00"/>
        <d v="2024-02-04T00:00:00"/>
        <d v="2024-06-25T00:00:00"/>
        <d v="2023-07-24T00:00:00"/>
        <d v="2025-05-19T00:00:00"/>
        <d v="2023-02-09T00:00:00"/>
        <d v="2023-02-13T00:00:00"/>
        <d v="2024-12-15T00:00:00"/>
        <d v="2025-06-02T00:00:00"/>
        <d v="2024-05-03T00:00:00"/>
        <d v="2024-06-03T00:00:00"/>
        <d v="2025-04-19T00:00:00"/>
        <d v="2023-11-27T00:00:00"/>
        <d v="2024-06-24T00:00:00"/>
        <d v="2025-01-12T00:00:00"/>
        <d v="2023-07-16T00:00:00"/>
        <d v="2024-01-20T00:00:00"/>
        <d v="2023-08-08T00:00:00"/>
        <d v="2024-11-14T00:00:00"/>
        <d v="2024-03-15T00:00:00"/>
        <d v="2024-10-22T00:00:00"/>
        <d v="2025-05-01T00:00:00"/>
        <d v="2024-10-11T00:00:00"/>
        <d v="2023-06-04T00:00:00"/>
        <d v="2023-11-04T00:00:00"/>
        <d v="2025-01-28T00:00:00"/>
        <d v="2025-04-26T00:00:00"/>
        <d v="2024-10-01T00:00:00"/>
        <d v="2023-02-12T00:00:00"/>
        <d v="2024-06-26T00:00:00"/>
        <d v="2025-04-21T00:00:00"/>
        <d v="2025-02-13T00:00:00"/>
        <d v="2024-03-17T00:00:00"/>
        <d v="2025-02-11T00:00:00"/>
        <d v="2023-09-16T00:00:00"/>
        <d v="2024-08-22T00:00:00"/>
        <d v="2024-01-29T00:00:00"/>
        <d v="2024-07-05T00:00:00"/>
        <d v="2025-04-09T00:00:00"/>
        <d v="2023-08-22T00:00:00"/>
        <d v="2023-01-08T00:00:00"/>
        <d v="2024-10-26T00:00:00"/>
        <d v="2023-07-29T00:00:00"/>
        <d v="2023-03-29T00:00:00"/>
        <d v="2024-12-07T00:00:00"/>
        <d v="2023-08-15T00:00:00"/>
        <d v="2023-10-27T00:00:00"/>
        <d v="2023-09-18T00:00:00"/>
        <d v="2023-11-03T00:00:00"/>
        <d v="2025-03-25T00:00:00"/>
        <d v="2024-12-26T00:00:00"/>
        <d v="2024-10-16T00:00:00"/>
        <d v="2025-05-13T00:00:00"/>
        <d v="2024-09-29T00:00:00"/>
        <d v="2023-08-19T00:00:00"/>
        <d v="2023-01-09T00:00:00"/>
        <d v="2024-02-03T00:00:00"/>
        <d v="2023-02-18T00:00:00"/>
        <d v="2024-05-19T00:00:00"/>
        <d v="2024-06-05T00:00:00"/>
      </sharedItems>
      <fieldGroup par="15"/>
    </cacheField>
    <cacheField name="Time" numFmtId="0">
      <sharedItems/>
    </cacheField>
    <cacheField name="StoreID" numFmtId="0">
      <sharedItems/>
    </cacheField>
    <cacheField name="Location" numFmtId="0">
      <sharedItems count="4">
        <s v="Store C"/>
        <s v="Store B"/>
        <s v="Store A"/>
        <s v="Store D"/>
      </sharedItems>
    </cacheField>
    <cacheField name="Product" numFmtId="0">
      <sharedItems count="7">
        <s v="Tablet"/>
        <s v="Printer"/>
        <s v="Laptop"/>
        <s v="Monitor"/>
        <s v="Desk"/>
        <s v="Chair"/>
        <s v="Phone"/>
      </sharedItems>
    </cacheField>
    <cacheField name="Quantity" numFmtId="0">
      <sharedItems containsSemiMixedTypes="0" containsString="0" containsNumber="1" containsInteger="1" minValue="1" maxValue="10" count="10">
        <n v="3"/>
        <n v="9"/>
        <n v="7"/>
        <n v="10"/>
        <n v="2"/>
        <n v="1"/>
        <n v="5"/>
        <n v="8"/>
        <n v="6"/>
        <n v="4"/>
      </sharedItems>
    </cacheField>
    <cacheField name="UnitPrice" numFmtId="0">
      <sharedItems containsSemiMixedTypes="0" containsString="0" containsNumber="1" minValue="5.01" maxValue="399.84" count="1946">
        <n v="364.22"/>
        <n v="384.74"/>
        <n v="397.8"/>
        <n v="80.27"/>
        <n v="214.03"/>
        <n v="51.37"/>
        <n v="8.32"/>
        <n v="188.93"/>
        <n v="202.95"/>
        <n v="142.04"/>
        <n v="97.52"/>
        <n v="230.96"/>
        <n v="201.35"/>
        <n v="40.96"/>
        <n v="88.74"/>
        <n v="362.03"/>
        <n v="26.78"/>
        <n v="11.95"/>
        <n v="267.06"/>
        <n v="297.14"/>
        <n v="206.04"/>
        <n v="289.99"/>
        <n v="78.56"/>
        <n v="341.68"/>
        <n v="347.45"/>
        <n v="248.76"/>
        <n v="254.98"/>
        <n v="219.6"/>
        <n v="311.11"/>
        <n v="41.09"/>
        <n v="193.95"/>
        <n v="177.74"/>
        <n v="152.05000000000001"/>
        <n v="139.58000000000001"/>
        <n v="242.83"/>
        <n v="191.77"/>
        <n v="335.3"/>
        <n v="270.32"/>
        <n v="256.29000000000002"/>
        <n v="314.48"/>
        <n v="347.71"/>
        <n v="63.06"/>
        <n v="234.54"/>
        <n v="43.42"/>
        <n v="137.22999999999999"/>
        <n v="124.76"/>
        <n v="88.91"/>
        <n v="206.84"/>
        <n v="20.98"/>
        <n v="40.090000000000003"/>
        <n v="42.49"/>
        <n v="49.99"/>
        <n v="67.02"/>
        <n v="8.4700000000000006"/>
        <n v="303.35000000000002"/>
        <n v="101.59"/>
        <n v="263.81"/>
        <n v="63.78"/>
        <n v="294.17"/>
        <n v="338.25"/>
        <n v="286.5"/>
        <n v="221.11"/>
        <n v="367.88"/>
        <n v="388.02"/>
        <n v="121.92"/>
        <n v="306.37"/>
        <n v="241.6"/>
        <n v="354.29"/>
        <n v="133.01"/>
        <n v="72.55"/>
        <n v="200.64"/>
        <n v="297.20999999999998"/>
        <n v="171.3"/>
        <n v="158.37"/>
        <n v="98.03"/>
        <n v="47.84"/>
        <n v="361.31"/>
        <n v="346.87"/>
        <n v="140.31"/>
        <n v="209.05"/>
        <n v="173.09"/>
        <n v="67.36"/>
        <n v="319.05"/>
        <n v="7.32"/>
        <n v="26.32"/>
        <n v="61.14"/>
        <n v="350.33"/>
        <n v="202.73"/>
        <n v="153.96"/>
        <n v="309.7"/>
        <n v="107.49"/>
        <n v="294.7"/>
        <n v="354.08"/>
        <n v="267.22000000000003"/>
        <n v="190.84"/>
        <n v="238.89"/>
        <n v="45.28"/>
        <n v="139.32"/>
        <n v="359.29"/>
        <n v="160.26"/>
        <n v="195.91"/>
        <n v="273.39999999999998"/>
        <n v="82.84"/>
        <n v="211.91"/>
        <n v="327.69"/>
        <n v="335.41"/>
        <n v="131.76"/>
        <n v="215.47"/>
        <n v="194.66"/>
        <n v="308.26"/>
        <n v="104.13"/>
        <n v="398.83"/>
        <n v="52.68"/>
        <n v="82.48"/>
        <n v="346.62"/>
        <n v="302.23"/>
        <n v="355.74"/>
        <n v="329.07"/>
        <n v="217.89"/>
        <n v="35.68"/>
        <n v="363.63"/>
        <n v="157.94"/>
        <n v="314.01"/>
        <n v="199.4"/>
        <n v="254.52"/>
        <n v="377.06"/>
        <n v="40.24"/>
        <n v="347.26"/>
        <n v="229.45"/>
        <n v="31.5"/>
        <n v="120"/>
        <n v="126.69"/>
        <n v="221.43"/>
        <n v="357.5"/>
        <n v="256.49"/>
        <n v="303.64999999999998"/>
        <n v="254.89"/>
        <n v="102.38"/>
        <n v="380.63"/>
        <n v="252.42"/>
        <n v="207.33"/>
        <n v="269.43"/>
        <n v="366.47"/>
        <n v="180.96"/>
        <n v="67.39"/>
        <n v="312.88"/>
        <n v="312.51"/>
        <n v="67.61"/>
        <n v="58.92"/>
        <n v="230.74"/>
        <n v="19.489999999999998"/>
        <n v="373.03"/>
        <n v="338.2"/>
        <n v="8.0500000000000007"/>
        <n v="310.75"/>
        <n v="76.92"/>
        <n v="33.46"/>
        <n v="27.94"/>
        <n v="35.840000000000003"/>
        <n v="326.64999999999998"/>
        <n v="300.35000000000002"/>
        <n v="368.51"/>
        <n v="59.26"/>
        <n v="55.64"/>
        <n v="129.21"/>
        <n v="162.22999999999999"/>
        <n v="146.65"/>
        <n v="77.17"/>
        <n v="216.28"/>
        <n v="395.53"/>
        <n v="30.8"/>
        <n v="181.86"/>
        <n v="113.53"/>
        <n v="215.64"/>
        <n v="398.75"/>
        <n v="148.13999999999999"/>
        <n v="258.69"/>
        <n v="114.76"/>
        <n v="58.45"/>
        <n v="238.87"/>
        <n v="222.61"/>
        <n v="154.88999999999999"/>
        <n v="397.85"/>
        <n v="12.93"/>
        <n v="223.23"/>
        <n v="218.42"/>
        <n v="250.83"/>
        <n v="207.59"/>
        <n v="79.33"/>
        <n v="75.73"/>
        <n v="198.77"/>
        <n v="280.12"/>
        <n v="258.27"/>
        <n v="208.83"/>
        <n v="109.79"/>
        <n v="285.26"/>
        <n v="393.87"/>
        <n v="373.31"/>
        <n v="27.43"/>
        <n v="320.56"/>
        <n v="347.37"/>
        <n v="201.85"/>
        <n v="28.73"/>
        <n v="195.86"/>
        <n v="362.87"/>
        <n v="80.34"/>
        <n v="363.82"/>
        <n v="33.81"/>
        <n v="72.67"/>
        <n v="94.42"/>
        <n v="337.42"/>
        <n v="382.99"/>
        <n v="42.85"/>
        <n v="210.94"/>
        <n v="125.66"/>
        <n v="266.69"/>
        <n v="33.64"/>
        <n v="226.69"/>
        <n v="48.17"/>
        <n v="324.63"/>
        <n v="399.74"/>
        <n v="309.33"/>
        <n v="133.51"/>
        <n v="244.78"/>
        <n v="122.53"/>
        <n v="133.33000000000001"/>
        <n v="294.27999999999997"/>
        <n v="201.46"/>
        <n v="354.14"/>
        <n v="142.57"/>
        <n v="172.32"/>
        <n v="195.04"/>
        <n v="298.8"/>
        <n v="51.87"/>
        <n v="58.51"/>
        <n v="65.569999999999993"/>
        <n v="73.62"/>
        <n v="282.75"/>
        <n v="112.39"/>
        <n v="215.6"/>
        <n v="242.6"/>
        <n v="20.47"/>
        <n v="257.19"/>
        <n v="130.81"/>
        <n v="295.25"/>
        <n v="311.23"/>
        <n v="85.04"/>
        <n v="354.97"/>
        <n v="300.88"/>
        <n v="248.55"/>
        <n v="237.09"/>
        <n v="45.97"/>
        <n v="158.02000000000001"/>
        <n v="217.07"/>
        <n v="229.82"/>
        <n v="310.02"/>
        <n v="294.99"/>
        <n v="228.97"/>
        <n v="173.42"/>
        <n v="392.47"/>
        <n v="68.88"/>
        <n v="335.39"/>
        <n v="29.05"/>
        <n v="152.75"/>
        <n v="231.47"/>
        <n v="328.28"/>
        <n v="254.76"/>
        <n v="174.62"/>
        <n v="332.06"/>
        <n v="170.02"/>
        <n v="17.98"/>
        <n v="188.28"/>
        <n v="380.74"/>
        <n v="396.79"/>
        <n v="86.64"/>
        <n v="45.99"/>
        <n v="201.06"/>
        <n v="206.22"/>
        <n v="18.59"/>
        <n v="164.32"/>
        <n v="249.93"/>
        <n v="216.91"/>
        <n v="53.75"/>
        <n v="149.79"/>
        <n v="133.72"/>
        <n v="305.19"/>
        <n v="287.93"/>
        <n v="356.74"/>
        <n v="105.45"/>
        <n v="369.1"/>
        <n v="62.29"/>
        <n v="168.63"/>
        <n v="153.75"/>
        <n v="24.39"/>
        <n v="258.74"/>
        <n v="19.72"/>
        <n v="60.07"/>
        <n v="112.59"/>
        <n v="19.21"/>
        <n v="140.38"/>
        <n v="182.9"/>
        <n v="311.31"/>
        <n v="323.45999999999998"/>
        <n v="287.54000000000002"/>
        <n v="224.47"/>
        <n v="134.1"/>
        <n v="238.98"/>
        <n v="157.01"/>
        <n v="385.02"/>
        <n v="361.39"/>
        <n v="221.29"/>
        <n v="163.36000000000001"/>
        <n v="120.53"/>
        <n v="138.47999999999999"/>
        <n v="340.55"/>
        <n v="158.41999999999999"/>
        <n v="51.55"/>
        <n v="58.36"/>
        <n v="330.6"/>
        <n v="151.44999999999999"/>
        <n v="38.89"/>
        <n v="316.62"/>
        <n v="369.63"/>
        <n v="58.28"/>
        <n v="136.38999999999999"/>
        <n v="314.73"/>
        <n v="277.5"/>
        <n v="261.76"/>
        <n v="268.58"/>
        <n v="46.55"/>
        <n v="148.76"/>
        <n v="394.42"/>
        <n v="72"/>
        <n v="226.4"/>
        <n v="351.54"/>
        <n v="157.11000000000001"/>
        <n v="392.71"/>
        <n v="310.26"/>
        <n v="11.91"/>
        <n v="367.5"/>
        <n v="375.32"/>
        <n v="82.73"/>
        <n v="227.17"/>
        <n v="45.25"/>
        <n v="328.5"/>
        <n v="368.99"/>
        <n v="140.38999999999999"/>
        <n v="93.66"/>
        <n v="357.36"/>
        <n v="350.46"/>
        <n v="214.18"/>
        <n v="302.89999999999998"/>
        <n v="96.78"/>
        <n v="10.26"/>
        <n v="229.25"/>
        <n v="255.33"/>
        <n v="213.22"/>
        <n v="100.73"/>
        <n v="75.44"/>
        <n v="125.58"/>
        <n v="5.74"/>
        <n v="202.46"/>
        <n v="127.19"/>
        <n v="390.36"/>
        <n v="176.82"/>
        <n v="115.67"/>
        <n v="120.13"/>
        <n v="378.43"/>
        <n v="88.48"/>
        <n v="389.25"/>
        <n v="161.43"/>
        <n v="301.23"/>
        <n v="358.91"/>
        <n v="240.58"/>
        <n v="312.2"/>
        <n v="86.31"/>
        <n v="97.19"/>
        <n v="349.94"/>
        <n v="213.13"/>
        <n v="132.93"/>
        <n v="224.48"/>
        <n v="11.02"/>
        <n v="281.98"/>
        <n v="168.59"/>
        <n v="141.71"/>
        <n v="385.41"/>
        <n v="281.75"/>
        <n v="324.72000000000003"/>
        <n v="297.17"/>
        <n v="352.23"/>
        <n v="355.87"/>
        <n v="328.63"/>
        <n v="339.04"/>
        <n v="331.33"/>
        <n v="176.35"/>
        <n v="40.49"/>
        <n v="206.01"/>
        <n v="297.08"/>
        <n v="323.91000000000003"/>
        <n v="116.67"/>
        <n v="161.87"/>
        <n v="163.44999999999999"/>
        <n v="77.63"/>
        <n v="310.32"/>
        <n v="297"/>
        <n v="297.72000000000003"/>
        <n v="375.22"/>
        <n v="294.73"/>
        <n v="316.64999999999998"/>
        <n v="391.28"/>
        <n v="150.87"/>
        <n v="62.96"/>
        <n v="312.14"/>
        <n v="241.05"/>
        <n v="222.47"/>
        <n v="267.88"/>
        <n v="128.69"/>
        <n v="129.76"/>
        <n v="64.25"/>
        <n v="208.28"/>
        <n v="162.18"/>
        <n v="98.09"/>
        <n v="181.04"/>
        <n v="202.72"/>
        <n v="169.14"/>
        <n v="204"/>
        <n v="96.24"/>
        <n v="202.76"/>
        <n v="234.01"/>
        <n v="165.02"/>
        <n v="383.7"/>
        <n v="206.16"/>
        <n v="79.63"/>
        <n v="256.69"/>
        <n v="124.56"/>
        <n v="143.01"/>
        <n v="163.57"/>
        <n v="91.33"/>
        <n v="299.58999999999997"/>
        <n v="161.44"/>
        <n v="213.15"/>
        <n v="303.77999999999997"/>
        <n v="300.92"/>
        <n v="164.75"/>
        <n v="302.72000000000003"/>
        <n v="253.33"/>
        <n v="36.85"/>
        <n v="248.69"/>
        <n v="284.8"/>
        <n v="42.51"/>
        <n v="343.44"/>
        <n v="34.950000000000003"/>
        <n v="248.33"/>
        <n v="117.81"/>
        <n v="37.61"/>
        <n v="290.02"/>
        <n v="370.9"/>
        <n v="315.45999999999998"/>
        <n v="237.91"/>
        <n v="394.91"/>
        <n v="141.82"/>
        <n v="393.62"/>
        <n v="80.44"/>
        <n v="357.27"/>
        <n v="131.86000000000001"/>
        <n v="376.61"/>
        <n v="361.61"/>
        <n v="219.3"/>
        <n v="40.619999999999997"/>
        <n v="11.7"/>
        <n v="333.11"/>
        <n v="261.88"/>
        <n v="251.59"/>
        <n v="72.37"/>
        <n v="90.99"/>
        <n v="24.19"/>
        <n v="252.39"/>
        <n v="227.57"/>
        <n v="201.54"/>
        <n v="295.11"/>
        <n v="63.15"/>
        <n v="271.45"/>
        <n v="293.24"/>
        <n v="399.19"/>
        <n v="391.43"/>
        <n v="137.44999999999999"/>
        <n v="132.06"/>
        <n v="82.18"/>
        <n v="382.95"/>
        <n v="373.69"/>
        <n v="394.28"/>
        <n v="13.69"/>
        <n v="232.17"/>
        <n v="218.33"/>
        <n v="236.66"/>
        <n v="19.88"/>
        <n v="12.84"/>
        <n v="113.9"/>
        <n v="313.01"/>
        <n v="276.79000000000002"/>
        <n v="385.05"/>
        <n v="56.43"/>
        <n v="127.4"/>
        <n v="106.96"/>
        <n v="140.99"/>
        <n v="54.47"/>
        <n v="274.8"/>
        <n v="87.7"/>
        <n v="141.83000000000001"/>
        <n v="185.4"/>
        <n v="285.94"/>
        <n v="254.62"/>
        <n v="269.37"/>
        <n v="318.93"/>
        <n v="329.82"/>
        <n v="359.55"/>
        <n v="366.17"/>
        <n v="124.07"/>
        <n v="301.10000000000002"/>
        <n v="92.68"/>
        <n v="212.07"/>
        <n v="363.77"/>
        <n v="202.35"/>
        <n v="24.61"/>
        <n v="290.39999999999998"/>
        <n v="167.17"/>
        <n v="203.5"/>
        <n v="32.590000000000003"/>
        <n v="106.79"/>
        <n v="61.68"/>
        <n v="299.49"/>
        <n v="397.26"/>
        <n v="235.19"/>
        <n v="327.76"/>
        <n v="148.44"/>
        <n v="9.0500000000000007"/>
        <n v="308.27999999999997"/>
        <n v="358.38"/>
        <n v="268.16000000000003"/>
        <n v="157.13"/>
        <n v="277.18"/>
        <n v="306.58"/>
        <n v="147"/>
        <n v="214.89"/>
        <n v="261.86"/>
        <n v="46.17"/>
        <n v="32.119999999999997"/>
        <n v="323.48"/>
        <n v="342.44"/>
        <n v="387.3"/>
        <n v="390.14"/>
        <n v="269.86"/>
        <n v="66.95"/>
        <n v="227.11"/>
        <n v="244.52"/>
        <n v="247.71"/>
        <n v="169.87"/>
        <n v="95.79"/>
        <n v="73"/>
        <n v="69.33"/>
        <n v="141.97999999999999"/>
        <n v="254.72"/>
        <n v="166.32"/>
        <n v="217.67"/>
        <n v="197.52"/>
        <n v="336.99"/>
        <n v="61.24"/>
        <n v="227.58"/>
        <n v="326.93"/>
        <n v="171.08"/>
        <n v="384.42"/>
        <n v="252.82"/>
        <n v="316.95999999999998"/>
        <n v="38.64"/>
        <n v="143.61000000000001"/>
        <n v="95.32"/>
        <n v="149.71"/>
        <n v="108.95"/>
        <n v="313.77"/>
        <n v="170.54"/>
        <n v="69.930000000000007"/>
        <n v="150.51"/>
        <n v="373.91"/>
        <n v="321.2"/>
        <n v="144.03"/>
        <n v="109.9"/>
        <n v="360.57"/>
        <n v="271.89"/>
        <n v="306.42"/>
        <n v="218.66"/>
        <n v="347.24"/>
        <n v="273.04000000000002"/>
        <n v="119.82"/>
        <n v="126.74"/>
        <n v="117.55"/>
        <n v="98.91"/>
        <n v="79.760000000000005"/>
        <n v="190.63"/>
        <n v="345.32"/>
        <n v="262.77"/>
        <n v="258.06"/>
        <n v="191.08"/>
        <n v="29.62"/>
        <n v="65.260000000000005"/>
        <n v="158.44"/>
        <n v="112.51"/>
        <n v="345.56"/>
        <n v="14.99"/>
        <n v="337.03"/>
        <n v="368.69"/>
        <n v="252.16"/>
        <n v="106.93"/>
        <n v="261.39999999999998"/>
        <n v="241.46"/>
        <n v="295.77999999999997"/>
        <n v="156.02000000000001"/>
        <n v="150.62"/>
        <n v="53.91"/>
        <n v="291.25"/>
        <n v="233.52"/>
        <n v="28.45"/>
        <n v="273.41000000000003"/>
        <n v="332.57"/>
        <n v="349.79"/>
        <n v="295.37"/>
        <n v="244.5"/>
        <n v="297.74"/>
        <n v="139.29"/>
        <n v="250.53"/>
        <n v="356.81"/>
        <n v="49.06"/>
        <n v="39.08"/>
        <n v="361.06"/>
        <n v="53.88"/>
        <n v="17.75"/>
        <n v="227.35"/>
        <n v="290.27999999999997"/>
        <n v="316.55"/>
        <n v="399.7"/>
        <n v="222.31"/>
        <n v="101.97"/>
        <n v="192.49"/>
        <n v="165.08"/>
        <n v="163.41999999999999"/>
        <n v="42.28"/>
        <n v="43.49"/>
        <n v="268.13"/>
        <n v="395.31"/>
        <n v="40.1"/>
        <n v="246.62"/>
        <n v="114.5"/>
        <n v="383.2"/>
        <n v="33.61"/>
        <n v="370.5"/>
        <n v="161.58000000000001"/>
        <n v="145.72999999999999"/>
        <n v="71.38"/>
        <n v="290.06"/>
        <n v="332.94"/>
        <n v="337.8"/>
        <n v="5.58"/>
        <n v="345.09"/>
        <n v="320.77999999999997"/>
        <n v="78.989999999999995"/>
        <n v="224.39"/>
        <n v="235.61"/>
        <n v="267.91000000000003"/>
        <n v="171.93"/>
        <n v="388.94"/>
        <n v="91.74"/>
        <n v="106.41"/>
        <n v="246.8"/>
        <n v="175.26"/>
        <n v="53.26"/>
        <n v="66.069999999999993"/>
        <n v="238.45"/>
        <n v="243.57"/>
        <n v="25.64"/>
        <n v="391.04"/>
        <n v="67.72"/>
        <n v="8.4"/>
        <n v="300.22000000000003"/>
        <n v="366.65"/>
        <n v="234.05"/>
        <n v="261.8"/>
        <n v="226.09"/>
        <n v="217.01"/>
        <n v="281.41000000000003"/>
        <n v="38.15"/>
        <n v="331.54"/>
        <n v="132.49"/>
        <n v="279.23"/>
        <n v="236.07"/>
        <n v="21.25"/>
        <n v="292.38"/>
        <n v="23"/>
        <n v="225.6"/>
        <n v="80.72"/>
        <n v="55.38"/>
        <n v="10.74"/>
        <n v="246.98"/>
        <n v="213.68"/>
        <n v="47.76"/>
        <n v="280.60000000000002"/>
        <n v="371.87"/>
        <n v="23.18"/>
        <n v="358.62"/>
        <n v="237.2"/>
        <n v="154.01"/>
        <n v="208.71"/>
        <n v="231.76"/>
        <n v="218.65"/>
        <n v="276.87"/>
        <n v="371.02"/>
        <n v="220.56"/>
        <n v="200.98"/>
        <n v="15.92"/>
        <n v="210.33"/>
        <n v="183.93"/>
        <n v="17.48"/>
        <n v="12.77"/>
        <n v="377.2"/>
        <n v="345.81"/>
        <n v="212.63"/>
        <n v="153.97"/>
        <n v="390.62"/>
        <n v="378.02"/>
        <n v="304.35000000000002"/>
        <n v="8.18"/>
        <n v="372.97"/>
        <n v="294.79000000000002"/>
        <n v="18.45"/>
        <n v="149.44"/>
        <n v="142.55000000000001"/>
        <n v="90.59"/>
        <n v="295.75"/>
        <n v="289.32"/>
        <n v="44.32"/>
        <n v="37.5"/>
        <n v="252.56"/>
        <n v="367.26"/>
        <n v="46.54"/>
        <n v="250.76"/>
        <n v="359.48"/>
        <n v="295.74"/>
        <n v="383.18"/>
        <n v="87.98"/>
        <n v="324.91000000000003"/>
        <n v="51.6"/>
        <n v="124.48"/>
        <n v="388.96"/>
        <n v="94.78"/>
        <n v="229.52"/>
        <n v="270.39999999999998"/>
        <n v="252.4"/>
        <n v="296.26"/>
        <n v="368.79"/>
        <n v="52.48"/>
        <n v="362.13"/>
        <n v="69.209999999999994"/>
        <n v="152.41999999999999"/>
        <n v="297.7"/>
        <n v="53.9"/>
        <n v="10.77"/>
        <n v="366.43"/>
        <n v="210.28"/>
        <n v="258.31"/>
        <n v="395.89"/>
        <n v="385.34"/>
        <n v="188.3"/>
        <n v="187.42"/>
        <n v="26.79"/>
        <n v="248.6"/>
        <n v="307.43"/>
        <n v="90.61"/>
        <n v="362.84"/>
        <n v="54.41"/>
        <n v="110.95"/>
        <n v="284.02999999999997"/>
        <n v="83.49"/>
        <n v="274.38"/>
        <n v="183.23"/>
        <n v="334.18"/>
        <n v="52.06"/>
        <n v="95.68"/>
        <n v="213.45"/>
        <n v="331.06"/>
        <n v="232.8"/>
        <n v="355.36"/>
        <n v="377.3"/>
        <n v="330.84"/>
        <n v="320.89999999999998"/>
        <n v="236.45"/>
        <n v="152.72999999999999"/>
        <n v="70.03"/>
        <n v="150.05000000000001"/>
        <n v="91.53"/>
        <n v="264.5"/>
        <n v="158.85"/>
        <n v="78.58"/>
        <n v="298.16000000000003"/>
        <n v="339.33"/>
        <n v="239.02"/>
        <n v="33.96"/>
        <n v="363.2"/>
        <n v="219.89"/>
        <n v="78.16"/>
        <n v="26.29"/>
        <n v="30.71"/>
        <n v="132.85"/>
        <n v="263.04000000000002"/>
        <n v="343.56"/>
        <n v="356.83"/>
        <n v="23.58"/>
        <n v="125.95"/>
        <n v="202.74"/>
        <n v="339.72"/>
        <n v="258.44"/>
        <n v="218.99"/>
        <n v="304.14"/>
        <n v="255.06"/>
        <n v="306.20999999999998"/>
        <n v="368.84"/>
        <n v="215.32"/>
        <n v="196.13"/>
        <n v="135.56"/>
        <n v="55.66"/>
        <n v="273.77"/>
        <n v="327.45"/>
        <n v="69.040000000000006"/>
        <n v="225.66"/>
        <n v="364.36"/>
        <n v="341.96"/>
        <n v="220.74"/>
        <n v="222.88"/>
        <n v="155.65"/>
        <n v="391.4"/>
        <n v="230.11"/>
        <n v="360.69"/>
        <n v="276.33999999999997"/>
        <n v="178.88"/>
        <n v="96.53"/>
        <n v="52.8"/>
        <n v="213.74"/>
        <n v="12.98"/>
        <n v="293.77"/>
        <n v="288.70999999999998"/>
        <n v="47.88"/>
        <n v="355.54"/>
        <n v="331.3"/>
        <n v="26.97"/>
        <n v="394.6"/>
        <n v="235.07"/>
        <n v="354.65"/>
        <n v="177.34"/>
        <n v="69.27"/>
        <n v="180.53"/>
        <n v="249.98"/>
        <n v="159.78"/>
        <n v="385.99"/>
        <n v="138.86000000000001"/>
        <n v="90.29"/>
        <n v="159.58000000000001"/>
        <n v="151.31"/>
        <n v="79.69"/>
        <n v="324.83"/>
        <n v="147.84"/>
        <n v="285.42"/>
        <n v="160.51"/>
        <n v="394.52"/>
        <n v="170.14"/>
        <n v="144.38999999999999"/>
        <n v="355.97"/>
        <n v="319.26"/>
        <n v="96.13"/>
        <n v="160.47"/>
        <n v="288.11"/>
        <n v="97.8"/>
        <n v="228.94"/>
        <n v="326.36"/>
        <n v="100.89"/>
        <n v="153.65"/>
        <n v="335.28"/>
        <n v="351.15"/>
        <n v="202"/>
        <n v="192.41"/>
        <n v="375.43"/>
        <n v="98.82"/>
        <n v="141.12"/>
        <n v="388.12"/>
        <n v="372.75"/>
        <n v="120.47"/>
        <n v="86.6"/>
        <n v="152.18"/>
        <n v="72.47"/>
        <n v="249.3"/>
        <n v="42.45"/>
        <n v="152.63"/>
        <n v="91.27"/>
        <n v="155.88"/>
        <n v="167.77"/>
        <n v="389.45"/>
        <n v="113.57"/>
        <n v="11.97"/>
        <n v="389.92"/>
        <n v="301.79000000000002"/>
        <n v="140.91"/>
        <n v="384.08"/>
        <n v="199.51"/>
        <n v="246.73"/>
        <n v="172.81"/>
        <n v="393"/>
        <n v="223.88"/>
        <n v="144.82"/>
        <n v="97.22"/>
        <n v="276.7"/>
        <n v="192.28"/>
        <n v="123.1"/>
        <n v="339.25"/>
        <n v="329.67"/>
        <n v="85.7"/>
        <n v="81.87"/>
        <n v="20.69"/>
        <n v="82.94"/>
        <n v="25.34"/>
        <n v="47.17"/>
        <n v="154.27000000000001"/>
        <n v="168.73"/>
        <n v="72.36"/>
        <n v="314.56"/>
        <n v="263.89999999999998"/>
        <n v="330.66"/>
        <n v="60.63"/>
        <n v="40.39"/>
        <n v="43.32"/>
        <n v="281.55"/>
        <n v="12.14"/>
        <n v="92.98"/>
        <n v="240.4"/>
        <n v="397.6"/>
        <n v="386.74"/>
        <n v="131.63"/>
        <n v="139.81"/>
        <n v="328.34"/>
        <n v="211.16"/>
        <n v="203.44"/>
        <n v="328.18"/>
        <n v="229.46"/>
        <n v="315.20999999999998"/>
        <n v="372.17"/>
        <n v="235.9"/>
        <n v="13.65"/>
        <n v="158.08000000000001"/>
        <n v="321.57"/>
        <n v="261.27"/>
        <n v="327.87"/>
        <n v="16.25"/>
        <n v="38.83"/>
        <n v="39.130000000000003"/>
        <n v="230.26"/>
        <n v="171.54"/>
        <n v="160.28"/>
        <n v="217.17"/>
        <n v="330.9"/>
        <n v="258.57"/>
        <n v="106.8"/>
        <n v="109.46"/>
        <n v="133.34"/>
        <n v="277.08"/>
        <n v="337.24"/>
        <n v="395.95"/>
        <n v="174.29"/>
        <n v="257.94"/>
        <n v="127.23"/>
        <n v="66.37"/>
        <n v="184.31"/>
        <n v="257.91000000000003"/>
        <n v="42.03"/>
        <n v="110.13"/>
        <n v="389.71"/>
        <n v="320.51"/>
        <n v="371.04"/>
        <n v="61.64"/>
        <n v="121.9"/>
        <n v="356.85"/>
        <n v="244.43"/>
        <n v="153.68"/>
        <n v="240.82"/>
        <n v="65.08"/>
        <n v="93.8"/>
        <n v="138.49"/>
        <n v="75.8"/>
        <n v="89.24"/>
        <n v="386.54"/>
        <n v="343.92"/>
        <n v="362.73"/>
        <n v="355.17"/>
        <n v="147.16"/>
        <n v="195.82"/>
        <n v="118.67"/>
        <n v="315.98"/>
        <n v="169.05"/>
        <n v="131.56"/>
        <n v="129.19999999999999"/>
        <n v="214.09"/>
        <n v="396.16"/>
        <n v="153.28"/>
        <n v="348.35"/>
        <n v="74.959999999999994"/>
        <n v="117.03"/>
        <n v="78.34"/>
        <n v="43.01"/>
        <n v="182.52"/>
        <n v="21.91"/>
        <n v="117.73"/>
        <n v="23.2"/>
        <n v="95.43"/>
        <n v="48.91"/>
        <n v="123.15"/>
        <n v="59.88"/>
        <n v="309.32"/>
        <n v="125.01"/>
        <n v="187.23"/>
        <n v="232.92"/>
        <n v="89.85"/>
        <n v="85.85"/>
        <n v="235.54"/>
        <n v="133.12"/>
        <n v="311.8"/>
        <n v="179.97"/>
        <n v="80.69"/>
        <n v="271.51"/>
        <n v="294.61"/>
        <n v="204.59"/>
        <n v="189.33"/>
        <n v="177.5"/>
        <n v="9.1199999999999992"/>
        <n v="84.26"/>
        <n v="66.75"/>
        <n v="388.63"/>
        <n v="59.73"/>
        <n v="60.67"/>
        <n v="98.31"/>
        <n v="197.88"/>
        <n v="32.6"/>
        <n v="210.45"/>
        <n v="370.98"/>
        <n v="163.76"/>
        <n v="44.13"/>
        <n v="302.68"/>
        <n v="272.79000000000002"/>
        <n v="222.17"/>
        <n v="208.2"/>
        <n v="378.72"/>
        <n v="174.44"/>
        <n v="152.36000000000001"/>
        <n v="110.98"/>
        <n v="36.93"/>
        <n v="154"/>
        <n v="10.07"/>
        <n v="60.84"/>
        <n v="165.44"/>
        <n v="329.69"/>
        <n v="124.58"/>
        <n v="186.86"/>
        <n v="52.19"/>
        <n v="330.98"/>
        <n v="385.72"/>
        <n v="52.64"/>
        <n v="92.08"/>
        <n v="363.76"/>
        <n v="323.04000000000002"/>
        <n v="147.65"/>
        <n v="178.54"/>
        <n v="155.69"/>
        <n v="154.36000000000001"/>
        <n v="202.41"/>
        <n v="205.57"/>
        <n v="105.89"/>
        <n v="308.83999999999997"/>
        <n v="233.77"/>
        <n v="224.58"/>
        <n v="364.61"/>
        <n v="386.77"/>
        <n v="154.78"/>
        <n v="147.77000000000001"/>
        <n v="38.200000000000003"/>
        <n v="300.81"/>
        <n v="226.82"/>
        <n v="337.16"/>
        <n v="371.52"/>
        <n v="39.909999999999997"/>
        <n v="386.21"/>
        <n v="279.83999999999997"/>
        <n v="156.52000000000001"/>
        <n v="367.19"/>
        <n v="161.79"/>
        <n v="129.85"/>
        <n v="37.979999999999997"/>
        <n v="142.35"/>
        <n v="310.39999999999998"/>
        <n v="7.37"/>
        <n v="391.88"/>
        <n v="374.4"/>
        <n v="67.73"/>
        <n v="360.7"/>
        <n v="353.08"/>
        <n v="280.33999999999997"/>
        <n v="271.5"/>
        <n v="15.07"/>
        <n v="271.37"/>
        <n v="107.23"/>
        <n v="127.57"/>
        <n v="107.36"/>
        <n v="94.8"/>
        <n v="278.75"/>
        <n v="374.27"/>
        <n v="82.7"/>
        <n v="119.16"/>
        <n v="296.61"/>
        <n v="311.51"/>
        <n v="257.77"/>
        <n v="391.91"/>
        <n v="319.07"/>
        <n v="262.7"/>
        <n v="263.38"/>
        <n v="85.46"/>
        <n v="10.89"/>
        <n v="289.08999999999997"/>
        <n v="393.44"/>
        <n v="186.42"/>
        <n v="284.08"/>
        <n v="244.27"/>
        <n v="58.12"/>
        <n v="296.7"/>
        <n v="113.49"/>
        <n v="170.52"/>
        <n v="90.6"/>
        <n v="91.49"/>
        <n v="310.38"/>
        <n v="306.64999999999998"/>
        <n v="380.96"/>
        <n v="183.95"/>
        <n v="265"/>
        <n v="270.64"/>
        <n v="313.58999999999997"/>
        <n v="92.83"/>
        <n v="12.45"/>
        <n v="101.99"/>
        <n v="85.84"/>
        <n v="36.18"/>
        <n v="352.11"/>
        <n v="376.14"/>
        <n v="301.39999999999998"/>
        <n v="255.95"/>
        <n v="159.59"/>
        <n v="104.77"/>
        <n v="342.27"/>
        <n v="100.27"/>
        <n v="363.67"/>
        <n v="63.5"/>
        <n v="297.67"/>
        <n v="25.56"/>
        <n v="298.27999999999997"/>
        <n v="372.01"/>
        <n v="117.04"/>
        <n v="153.29"/>
        <n v="130.30000000000001"/>
        <n v="263.16000000000003"/>
        <n v="254.66"/>
        <n v="28.32"/>
        <n v="188.67"/>
        <n v="123.41"/>
        <n v="296.67"/>
        <n v="205.08"/>
        <n v="61.21"/>
        <n v="160.44999999999999"/>
        <n v="339.61"/>
        <n v="136.57"/>
        <n v="117.18"/>
        <n v="310.19"/>
        <n v="143.27000000000001"/>
        <n v="205.46"/>
        <n v="269.41000000000003"/>
        <n v="22.41"/>
        <n v="189.34"/>
        <n v="125.02"/>
        <n v="116.36"/>
        <n v="122.4"/>
        <n v="143.65"/>
        <n v="270.52999999999997"/>
        <n v="322.36"/>
        <n v="155.29"/>
        <n v="56.79"/>
        <n v="263.27999999999997"/>
        <n v="55.57"/>
        <n v="30.24"/>
        <n v="346.3"/>
        <n v="262.02"/>
        <n v="311.86"/>
        <n v="85.86"/>
        <n v="355.75"/>
        <n v="76.48"/>
        <n v="117.78"/>
        <n v="274.10000000000002"/>
        <n v="138.16"/>
        <n v="168.85"/>
        <n v="226.46"/>
        <n v="44.04"/>
        <n v="132.38999999999999"/>
        <n v="82.02"/>
        <n v="252.48"/>
        <n v="125.94"/>
        <n v="137.04"/>
        <n v="219.9"/>
        <n v="125.84"/>
        <n v="351.63"/>
        <n v="103.88"/>
        <n v="291.48"/>
        <n v="9.48"/>
        <n v="255.96"/>
        <n v="370.31"/>
        <n v="97.86"/>
        <n v="247.25"/>
        <n v="215.61"/>
        <n v="64.05"/>
        <n v="25.13"/>
        <n v="62.74"/>
        <n v="152.62"/>
        <n v="96.21"/>
        <n v="34.020000000000003"/>
        <n v="372.33"/>
        <n v="291.13"/>
        <n v="370.61"/>
        <n v="95.77"/>
        <n v="142.71"/>
        <n v="258.23"/>
        <n v="186.47"/>
        <n v="366.33"/>
        <n v="140.06"/>
        <n v="214.22"/>
        <n v="99.54"/>
        <n v="258.17"/>
        <n v="269.14999999999998"/>
        <n v="206.93"/>
        <n v="380.5"/>
        <n v="170.79"/>
        <n v="228.64"/>
        <n v="356.43"/>
        <n v="279.95999999999998"/>
        <n v="49.73"/>
        <n v="372.86"/>
        <n v="183.66"/>
        <n v="119.43"/>
        <n v="282.93"/>
        <n v="246.69"/>
        <n v="269.45"/>
        <n v="346"/>
        <n v="272.60000000000002"/>
        <n v="17.850000000000001"/>
        <n v="368.15"/>
        <n v="253.26"/>
        <n v="109.97"/>
        <n v="94.96"/>
        <n v="267.13"/>
        <n v="393.8"/>
        <n v="175.22"/>
        <n v="104.72"/>
        <n v="231.89"/>
        <n v="140.36000000000001"/>
        <n v="206.9"/>
        <n v="227.59"/>
        <n v="34.520000000000003"/>
        <n v="15.01"/>
        <n v="149.80000000000001"/>
        <n v="69.23"/>
        <n v="264.75"/>
        <n v="8.98"/>
        <n v="116.92"/>
        <n v="286.52"/>
        <n v="272.01"/>
        <n v="382.19"/>
        <n v="374.29"/>
        <n v="148.34"/>
        <n v="197.82"/>
        <n v="309.61"/>
        <n v="195.89"/>
        <n v="10.99"/>
        <n v="253.16"/>
        <n v="76.47"/>
        <n v="11.77"/>
        <n v="223.9"/>
        <n v="249.73"/>
        <n v="121.41"/>
        <n v="299.02"/>
        <n v="73.849999999999994"/>
        <n v="378.41"/>
        <n v="73.88"/>
        <n v="168.94"/>
        <n v="368.37"/>
        <n v="388.73"/>
        <n v="393.72"/>
        <n v="10.58"/>
        <n v="344.74"/>
        <n v="64.099999999999994"/>
        <n v="203.39"/>
        <n v="175.8"/>
        <n v="343.61"/>
        <n v="364.79"/>
        <n v="92.12"/>
        <n v="129.88999999999999"/>
        <n v="354.63"/>
        <n v="115.36"/>
        <n v="20.36"/>
        <n v="89.15"/>
        <n v="326.45"/>
        <n v="224.31"/>
        <n v="221.96"/>
        <n v="376.76"/>
        <n v="152.29"/>
        <n v="98.37"/>
        <n v="262.33"/>
        <n v="207.55"/>
        <n v="67.34"/>
        <n v="346.35"/>
        <n v="124.46"/>
        <n v="298.99"/>
        <n v="318.83"/>
        <n v="107.64"/>
        <n v="377.63"/>
        <n v="115.95"/>
        <n v="80.38"/>
        <n v="387.83"/>
        <n v="142.19999999999999"/>
        <n v="221.86"/>
        <n v="331.95"/>
        <n v="109.91"/>
        <n v="386.16"/>
        <n v="202.43"/>
        <n v="249.96"/>
        <n v="22.18"/>
        <n v="398.19"/>
        <n v="61.81"/>
        <n v="120.36"/>
        <n v="67.98"/>
        <n v="194.84"/>
        <n v="220.45"/>
        <n v="254.06"/>
        <n v="194.11"/>
        <n v="324.27999999999997"/>
        <n v="390.76"/>
        <n v="24.64"/>
        <n v="263.08999999999997"/>
        <n v="345.68"/>
        <n v="197.46"/>
        <n v="285.29000000000002"/>
        <n v="265.26"/>
        <n v="86.8"/>
        <n v="128.22"/>
        <n v="217.45"/>
        <n v="27.39"/>
        <n v="293.82"/>
        <n v="310.24"/>
        <n v="339.18"/>
        <n v="118.09"/>
        <n v="138.79"/>
        <n v="264.55"/>
        <n v="396.2"/>
        <n v="22.53"/>
        <n v="343.26"/>
        <n v="6.88"/>
        <n v="361.29"/>
        <n v="21.46"/>
        <n v="14.39"/>
        <n v="213.66"/>
        <n v="148.82"/>
        <n v="222.24"/>
        <n v="126.75"/>
        <n v="5.01"/>
        <n v="21.35"/>
        <n v="35.97"/>
        <n v="88.35"/>
        <n v="65.430000000000007"/>
        <n v="111.29"/>
        <n v="61.35"/>
        <n v="62.14"/>
        <n v="259.17"/>
        <n v="78.33"/>
        <n v="374.8"/>
        <n v="30.68"/>
        <n v="324.62"/>
        <n v="259.89"/>
        <n v="51.13"/>
        <n v="138.80000000000001"/>
        <n v="94.41"/>
        <n v="284.04000000000002"/>
        <n v="397.79"/>
        <n v="255.76"/>
        <n v="106.58"/>
        <n v="19.16"/>
        <n v="59.09"/>
        <n v="129.80000000000001"/>
        <n v="368.76"/>
        <n v="372.35"/>
        <n v="205.34"/>
        <n v="360.62"/>
        <n v="92.46"/>
        <n v="270.68"/>
        <n v="111.11"/>
        <n v="46.66"/>
        <n v="264.18"/>
        <n v="245.07"/>
        <n v="186.28"/>
        <n v="314.97000000000003"/>
        <n v="241.93"/>
        <n v="149.77000000000001"/>
        <n v="353.76"/>
        <n v="74.84"/>
        <n v="121.05"/>
        <n v="277.36"/>
        <n v="330.57"/>
        <n v="49.38"/>
        <n v="200.88"/>
        <n v="348.36"/>
        <n v="335.86"/>
        <n v="31.82"/>
        <n v="104.52"/>
        <n v="275.63"/>
        <n v="296.97000000000003"/>
        <n v="331.32"/>
        <n v="51.53"/>
        <n v="271.74"/>
        <n v="293.07"/>
        <n v="361.77"/>
        <n v="272.26"/>
        <n v="104.02"/>
        <n v="357.77"/>
        <n v="362.96"/>
        <n v="20.37"/>
        <n v="278.29000000000002"/>
        <n v="127.29"/>
        <n v="364.16"/>
        <n v="122.45"/>
        <n v="221.44"/>
        <n v="129.41"/>
        <n v="194.44"/>
        <n v="7.42"/>
        <n v="115.85"/>
        <n v="45.59"/>
        <n v="284.88"/>
        <n v="138.53"/>
        <n v="315.13"/>
        <n v="100.85"/>
        <n v="253.03"/>
        <n v="305.52999999999997"/>
        <n v="226.38"/>
        <n v="159.03"/>
        <n v="43.97"/>
        <n v="209.42"/>
        <n v="362.34"/>
        <n v="285.76"/>
        <n v="72.540000000000006"/>
        <n v="223.31"/>
        <n v="8.1300000000000008"/>
        <n v="139.06"/>
        <n v="221.57"/>
        <n v="106.75"/>
        <n v="176.65"/>
        <n v="132.11000000000001"/>
        <n v="377.38"/>
        <n v="288.66000000000003"/>
        <n v="157.30000000000001"/>
        <n v="58.06"/>
        <n v="35.81"/>
        <n v="253.06"/>
        <n v="91.79"/>
        <n v="139.01"/>
        <n v="54.08"/>
        <n v="245.72"/>
        <n v="89.38"/>
        <n v="290.93"/>
        <n v="302.06"/>
        <n v="154.44999999999999"/>
        <n v="383.87"/>
        <n v="45.51"/>
        <n v="246.01"/>
        <n v="255.54"/>
        <n v="109.42"/>
        <n v="342.03"/>
        <n v="255.43"/>
        <n v="228.02"/>
        <n v="214.37"/>
        <n v="130.44999999999999"/>
        <n v="252.58"/>
        <n v="108.84"/>
        <n v="219.61"/>
        <n v="211.67"/>
        <n v="345.65"/>
        <n v="337.73"/>
        <n v="154.05000000000001"/>
        <n v="146.28"/>
        <n v="224.49"/>
        <n v="331.87"/>
        <n v="242"/>
        <n v="364.69"/>
        <n v="249.38"/>
        <n v="274.33999999999997"/>
        <n v="131.52000000000001"/>
        <n v="138.36000000000001"/>
        <n v="240.23"/>
        <n v="257.70999999999998"/>
        <n v="322.54000000000002"/>
        <n v="229.92"/>
        <n v="395.79"/>
        <n v="268.29000000000002"/>
        <n v="346.83"/>
        <n v="325.91000000000003"/>
        <n v="298.31"/>
        <n v="122.13"/>
        <n v="200.72"/>
        <n v="318.41000000000003"/>
        <n v="373.5"/>
        <n v="395.92"/>
        <n v="328.21"/>
        <n v="258.19"/>
        <n v="207.62"/>
        <n v="287.83999999999997"/>
        <n v="303.18"/>
        <n v="170.21"/>
        <n v="68.48"/>
        <n v="94.92"/>
        <n v="74.849999999999994"/>
        <n v="293.43"/>
        <n v="337.9"/>
        <n v="231.16"/>
        <n v="17.670000000000002"/>
        <n v="92.43"/>
        <n v="39.520000000000003"/>
        <n v="323.82"/>
        <n v="257.51"/>
        <n v="292.85000000000002"/>
        <n v="313.24"/>
        <n v="355.86"/>
        <n v="25.03"/>
        <n v="52.08"/>
        <n v="249.64"/>
        <n v="283.24"/>
        <n v="122.72"/>
        <n v="318.77999999999997"/>
        <n v="330.4"/>
        <n v="11.98"/>
        <n v="71.12"/>
        <n v="41.86"/>
        <n v="303.95"/>
        <n v="380.28"/>
        <n v="320.66000000000003"/>
        <n v="129.49"/>
        <n v="319.82"/>
        <n v="374.41"/>
        <n v="343.66"/>
        <n v="180.34"/>
        <n v="148.31"/>
        <n v="326.17"/>
        <n v="215.7"/>
        <n v="43.26"/>
        <n v="61.08"/>
        <n v="132.07"/>
        <n v="159.52000000000001"/>
        <n v="134.66"/>
        <n v="45.37"/>
        <n v="296.29000000000002"/>
        <n v="384.37"/>
        <n v="160.80000000000001"/>
        <n v="267.99"/>
        <n v="152.9"/>
        <n v="114.63"/>
        <n v="83.16"/>
        <n v="315.77999999999997"/>
        <n v="395.2"/>
        <n v="322.52"/>
        <n v="174.06"/>
        <n v="98.41"/>
        <n v="246.89"/>
        <n v="68.63"/>
        <n v="174.57"/>
        <n v="84.97"/>
        <n v="15.19"/>
        <n v="129.6"/>
        <n v="52.31"/>
        <n v="366.42"/>
        <n v="258.97000000000003"/>
        <n v="292.68"/>
        <n v="224.77"/>
        <n v="399.31"/>
        <n v="61.05"/>
        <n v="39.85"/>
        <n v="71.25"/>
        <n v="223.71"/>
        <n v="79.260000000000005"/>
        <n v="264.04000000000002"/>
        <n v="141.85"/>
        <n v="264.69"/>
        <n v="213.37"/>
        <n v="154.16"/>
        <n v="210.83"/>
        <n v="35.630000000000003"/>
        <n v="399.84"/>
        <n v="78.430000000000007"/>
        <n v="15.83"/>
        <n v="59.78"/>
        <n v="82.19"/>
        <n v="218.78"/>
        <n v="329.62"/>
        <n v="348.37"/>
        <n v="124.49"/>
        <n v="60.69"/>
        <n v="164.69"/>
        <n v="364.39"/>
        <n v="44.62"/>
        <n v="122.95"/>
        <n v="275.20999999999998"/>
        <n v="32.54"/>
        <n v="112.95"/>
        <n v="212.13"/>
        <n v="159.36000000000001"/>
        <n v="131.09"/>
        <n v="43.79"/>
        <n v="346.39"/>
        <n v="381.19"/>
        <n v="268.92"/>
        <n v="33.799999999999997"/>
        <n v="112.07"/>
        <n v="29.42"/>
        <n v="93.92"/>
        <n v="328.66"/>
        <n v="60.13"/>
        <n v="139.88999999999999"/>
        <n v="258.14"/>
        <n v="236.42"/>
        <n v="309.89"/>
        <n v="291.64"/>
        <n v="84.01"/>
        <n v="60.66"/>
        <n v="364.23"/>
        <n v="55.08"/>
        <n v="235.68"/>
        <n v="278.33"/>
        <n v="334.22"/>
        <n v="316.2"/>
        <n v="261.12"/>
        <n v="152.94999999999999"/>
        <n v="273.63"/>
        <n v="100.43"/>
        <n v="129.51"/>
        <n v="196.22"/>
        <n v="341.6"/>
        <n v="371.27"/>
        <n v="132.68"/>
        <n v="21.15"/>
        <n v="262.11"/>
        <n v="20.86"/>
        <n v="350.15"/>
        <n v="302.49"/>
        <n v="42.78"/>
        <n v="126.37"/>
        <n v="151.88999999999999"/>
        <n v="29.59"/>
        <n v="322.73"/>
        <n v="184.8"/>
        <n v="106.95"/>
        <n v="257.74"/>
        <n v="117.58"/>
        <n v="16.02"/>
        <n v="108.08"/>
        <n v="137.26"/>
        <n v="206.39"/>
        <n v="375.7"/>
        <n v="257.27"/>
        <n v="44.59"/>
        <n v="309.23"/>
        <n v="133.94"/>
        <n v="268.52"/>
        <n v="181.74"/>
        <n v="356.32"/>
        <n v="273.17"/>
        <n v="386.61"/>
        <n v="69.55"/>
        <n v="374.3"/>
        <n v="34.03"/>
        <n v="126.15"/>
        <n v="204.16"/>
        <n v="260.92"/>
        <n v="133.31"/>
        <n v="281.94"/>
        <n v="280.52999999999997"/>
        <n v="200.9"/>
        <n v="96.6"/>
        <n v="76.790000000000006"/>
        <n v="156.76"/>
        <n v="83.2"/>
        <n v="30.7"/>
        <n v="17.38"/>
        <n v="146.81"/>
        <n v="263.54000000000002"/>
        <n v="258.83"/>
        <n v="320.45999999999998"/>
        <n v="331.31"/>
        <n v="193.2"/>
        <n v="202.34"/>
        <n v="94.87"/>
        <n v="294.98"/>
        <n v="249.03"/>
        <n v="264.35000000000002"/>
        <n v="63.86"/>
        <n v="149.36000000000001"/>
        <n v="170.62"/>
        <n v="99.73"/>
        <n v="123.3"/>
        <n v="154.19"/>
        <n v="310.64999999999998"/>
        <n v="120.28"/>
        <n v="337.89"/>
        <n v="66.760000000000005"/>
        <n v="370.92"/>
        <n v="203.32"/>
        <n v="136.79"/>
        <n v="130.1"/>
        <n v="60.34"/>
        <n v="13.17"/>
        <n v="160.54"/>
        <n v="255.98"/>
        <n v="161.94999999999999"/>
        <n v="288.88"/>
        <n v="151.75"/>
        <n v="205.78"/>
        <n v="12.5"/>
        <n v="19.100000000000001"/>
        <n v="342.43"/>
        <n v="84.35"/>
        <n v="120.3"/>
        <n v="150.54"/>
        <n v="154.54"/>
        <n v="169.72"/>
        <n v="135.86000000000001"/>
        <n v="141.4"/>
        <n v="177.64"/>
        <n v="120.79"/>
        <n v="195.15"/>
        <n v="212.14"/>
        <n v="81.290000000000006"/>
        <n v="64.42"/>
        <n v="230.15"/>
        <n v="143.31"/>
        <n v="95.88"/>
        <n v="6.09"/>
        <n v="55.87"/>
        <n v="317.69"/>
        <n v="22.13"/>
        <n v="162.37"/>
        <n v="327.60000000000002"/>
        <n v="52.04"/>
        <n v="167.94"/>
        <n v="48.51"/>
        <n v="250.94"/>
        <n v="72.599999999999994"/>
        <n v="89.98"/>
        <n v="299.33"/>
        <n v="269.05"/>
        <n v="196.33"/>
        <n v="265.63"/>
        <n v="220.84"/>
        <n v="190.25"/>
        <n v="45.06"/>
        <n v="243.8"/>
        <n v="99.9"/>
        <n v="106.33"/>
        <n v="95.82"/>
        <n v="165.69"/>
        <n v="244.46"/>
        <n v="265.38"/>
        <n v="94.02"/>
        <n v="188.71"/>
        <n v="161.61000000000001"/>
        <n v="52.07"/>
        <n v="324.85000000000002"/>
        <n v="269.56"/>
        <n v="332.92"/>
        <n v="79.400000000000006"/>
        <n v="231.81"/>
        <n v="155.46"/>
        <n v="388.8"/>
        <n v="278.23"/>
        <n v="147.91999999999999"/>
        <n v="87.51"/>
        <n v="391.06"/>
        <n v="355.18"/>
        <n v="36.880000000000003"/>
        <n v="10.16"/>
        <n v="104.62"/>
        <n v="27.83"/>
        <n v="55.93"/>
        <n v="5.65"/>
        <n v="216.17"/>
        <n v="80.040000000000006"/>
        <n v="143.63999999999999"/>
        <n v="51.16"/>
        <n v="34.4"/>
        <n v="18.22"/>
        <n v="79.19"/>
        <n v="190.38"/>
        <n v="229.61"/>
        <n v="324.27"/>
        <n v="198.93"/>
        <n v="259.33999999999997"/>
        <n v="313.06"/>
        <n v="282.97000000000003"/>
        <n v="311.18"/>
        <n v="244.7"/>
        <n v="177.27"/>
        <n v="308.35000000000002"/>
        <n v="195.84"/>
        <n v="127.06"/>
        <n v="82.39"/>
        <n v="140.22999999999999"/>
        <n v="138.21"/>
        <n v="110.85"/>
        <n v="310.06"/>
        <n v="385.52"/>
        <n v="87.37"/>
        <n v="203.42"/>
        <n v="55.16"/>
        <n v="299.41000000000003"/>
        <n v="267.66000000000003"/>
        <n v="62.24"/>
        <n v="244.93"/>
        <n v="212.62"/>
        <n v="52.85"/>
        <n v="326.14999999999998"/>
        <n v="175.73"/>
        <n v="371.37"/>
        <n v="23.95"/>
        <n v="262.3"/>
        <n v="296.10000000000002"/>
        <n v="81.7"/>
        <n v="118.11"/>
        <n v="334.63"/>
        <n v="375"/>
        <n v="222.46"/>
        <n v="46.15"/>
        <n v="257.81"/>
        <n v="245.36"/>
        <n v="137.69999999999999"/>
        <n v="53.07"/>
        <n v="36.76"/>
        <n v="253.94"/>
        <n v="238.52"/>
        <n v="35.880000000000003"/>
        <n v="378.07"/>
        <n v="250.75"/>
        <n v="378.47"/>
        <n v="260.77999999999997"/>
        <n v="361.01"/>
        <n v="60.41"/>
        <n v="139.66"/>
        <n v="122.07"/>
        <n v="37.25"/>
        <n v="273.83"/>
        <n v="166.06"/>
        <n v="196.29"/>
        <n v="344.28"/>
        <n v="296.54000000000002"/>
        <n v="360.73"/>
        <n v="24.06"/>
        <n v="226.52"/>
        <n v="327.63"/>
        <n v="107.91"/>
        <n v="385.61"/>
        <n v="237.23"/>
        <n v="52.89"/>
        <n v="361.66"/>
        <n v="358.27"/>
        <n v="293.22000000000003"/>
        <n v="303.98"/>
        <n v="162.68"/>
        <n v="8"/>
        <n v="340.66"/>
        <n v="270.98"/>
        <n v="349.95"/>
        <n v="138.6"/>
        <n v="44.39"/>
        <n v="302.75"/>
        <n v="28.69"/>
        <n v="373.68"/>
        <n v="230.84"/>
        <n v="398.76"/>
        <n v="261.52"/>
        <n v="308.67"/>
        <n v="223.33"/>
        <n v="159.9"/>
        <n v="169.3"/>
        <n v="47.97"/>
        <n v="391.42"/>
        <n v="32.51"/>
        <n v="56.04"/>
        <n v="295.52999999999997"/>
        <n v="305.05"/>
        <n v="71.44"/>
        <n v="24.92"/>
        <n v="79.55"/>
        <n v="7.52"/>
        <n v="12.42"/>
        <n v="163.51"/>
        <n v="51.48"/>
        <n v="366.76"/>
        <n v="121.11"/>
        <n v="85.91"/>
        <n v="50.09"/>
        <n v="161.52000000000001"/>
        <n v="34.799999999999997"/>
        <n v="185.38"/>
        <n v="223.02"/>
        <n v="48.01"/>
        <n v="166.29"/>
        <n v="270.73"/>
        <n v="104.12"/>
        <n v="316.44"/>
        <n v="363.11"/>
        <n v="277.01"/>
        <n v="193.77"/>
        <n v="162.22"/>
        <n v="204.61"/>
        <n v="122.7"/>
        <n v="145.46"/>
        <n v="130.88999999999999"/>
        <n v="142.82"/>
        <n v="194.34"/>
        <n v="376.62"/>
        <n v="24.08"/>
        <n v="332.9"/>
        <n v="371.73"/>
        <n v="305.52"/>
        <n v="138.02000000000001"/>
        <n v="242.35"/>
        <n v="297.64999999999998"/>
        <n v="343.54"/>
        <n v="152.49"/>
      </sharedItems>
    </cacheField>
    <cacheField name="PaymentType" numFmtId="0">
      <sharedItems count="5">
        <s v="Gift Card"/>
        <s v="Online"/>
        <s v="Debit Card"/>
        <s v="Cash"/>
        <s v="Credit Card"/>
      </sharedItems>
    </cacheField>
    <cacheField name="TransactionID" numFmtId="0">
      <sharedItems/>
    </cacheField>
    <cacheField name="Cashier" numFmtId="0">
      <sharedItems/>
    </cacheField>
    <cacheField name="StoreManager" numFmtId="0">
      <sharedItems count="4">
        <s v="Noah"/>
        <s v="Liam"/>
        <s v="Mia"/>
        <s v="Olivia"/>
      </sharedItems>
    </cacheField>
    <cacheField name="TimeOfDay" numFmtId="0">
      <sharedItems/>
    </cacheField>
    <cacheField name="DayOfWeek" numFmtId="0">
      <sharedItems/>
    </cacheField>
    <cacheField name="TotalPrice" numFmtId="0">
      <sharedItems containsSemiMixedTypes="0" containsString="0" containsNumber="1" minValue="5.74" maxValue="3997.4" count="1985">
        <n v="1092.6600000000001"/>
        <n v="3462.66"/>
        <n v="3580.2"/>
        <n v="561.89"/>
        <n v="2140.3000000000002"/>
        <n v="359.59"/>
        <n v="74.88"/>
        <n v="377.86"/>
        <n v="202.95"/>
        <n v="710.19999999999993"/>
        <n v="780.16"/>
        <n v="461.92"/>
        <n v="1610.8"/>
        <n v="409.6"/>
        <n v="88.74"/>
        <n v="1810.15"/>
        <n v="80.34"/>
        <n v="35.849999999999987"/>
        <n v="801.18000000000006"/>
        <n v="891.42"/>
        <n v="1442.28"/>
        <n v="2319.92"/>
        <n v="78.56"/>
        <n v="1708.4"/>
        <n v="1737.25"/>
        <n v="2238.84"/>
        <n v="509.96"/>
        <n v="658.8"/>
        <n v="1866.66"/>
        <n v="205.45"/>
        <n v="1163.7"/>
        <n v="177.74"/>
        <n v="152.05000000000001"/>
        <n v="977.06000000000006"/>
        <n v="728.49"/>
        <n v="1534.16"/>
        <n v="1005.9"/>
        <n v="2432.88"/>
        <n v="1025.1600000000001"/>
        <n v="314.48"/>
        <n v="695.42"/>
        <n v="315.3"/>
        <n v="938.16"/>
        <n v="86.84"/>
        <n v="1372.3"/>
        <n v="873.32"/>
        <n v="266.73"/>
        <n v="827.36"/>
        <n v="209.8"/>
        <n v="120.27"/>
        <n v="84.98"/>
        <n v="449.91"/>
        <n v="201.06"/>
        <n v="33.880000000000003"/>
        <n v="910.05000000000007"/>
        <n v="711.13"/>
        <n v="263.81"/>
        <n v="382.68"/>
        <n v="2059.19"/>
        <n v="2029.5"/>
        <n v="2292"/>
        <n v="1547.77"/>
        <n v="735.76"/>
        <n v="2716.14"/>
        <n v="609.6"/>
        <n v="3063.7"/>
        <n v="2416"/>
        <n v="2834.32"/>
        <n v="532.04"/>
        <n v="72.55"/>
        <n v="1605.12"/>
        <n v="1486.05"/>
        <n v="342.6"/>
        <n v="1425.33"/>
        <n v="588.18000000000006"/>
        <n v="334.88"/>
        <n v="2529.17"/>
        <n v="1387.48"/>
        <n v="420.93"/>
        <n v="836.2"/>
        <n v="1557.81"/>
        <n v="471.52"/>
        <n v="1595.25"/>
        <n v="43.92"/>
        <n v="52.64"/>
        <n v="61.14"/>
        <n v="1401.32"/>
        <n v="1216.3800000000001"/>
        <n v="461.88"/>
        <n v="1858.2"/>
        <n v="752.43"/>
        <n v="884.09999999999991"/>
        <n v="2478.56"/>
        <n v="801.66000000000008"/>
        <n v="1335.88"/>
        <n v="1194.45"/>
        <n v="90.56"/>
        <n v="835.92"/>
        <n v="2515.0300000000002"/>
        <n v="160.26"/>
        <n v="1763.19"/>
        <n v="546.79999999999995"/>
        <n v="392.8"/>
        <n v="165.68"/>
        <n v="2119.1"/>
        <n v="655.38"/>
        <n v="1341.64"/>
        <n v="1185.8399999999999"/>
        <n v="215.47"/>
        <n v="1167.96"/>
        <n v="308.26"/>
        <n v="833.04"/>
        <n v="2791.81"/>
        <n v="368.76"/>
        <n v="659.84"/>
        <n v="3466.2"/>
        <n v="2720.07"/>
        <n v="3557.4"/>
        <n v="1316.28"/>
        <n v="871.56"/>
        <n v="356.8"/>
        <n v="3636.3"/>
        <n v="1263.52"/>
        <n v="3140.1"/>
        <n v="797.6"/>
        <n v="2545.1999999999998"/>
        <n v="1885.3"/>
        <n v="120.72"/>
        <n v="347.26"/>
        <n v="458.9"/>
        <n v="31.5"/>
        <n v="240"/>
        <n v="886.82999999999993"/>
        <n v="1328.58"/>
        <n v="2860"/>
        <n v="256.49"/>
        <n v="607.29999999999995"/>
        <n v="1784.23"/>
        <n v="921.42"/>
        <n v="3806.3"/>
        <n v="1262.0999999999999"/>
        <n v="621.99"/>
        <n v="808.29"/>
        <n v="366.47"/>
        <n v="542.88"/>
        <n v="269.56"/>
        <n v="1251.52"/>
        <n v="3125.1"/>
        <n v="405.66"/>
        <n v="353.52"/>
        <n v="1615.18"/>
        <n v="194.9"/>
        <n v="746.06"/>
        <n v="2029.2"/>
        <n v="8.0500000000000007"/>
        <n v="1243"/>
        <n v="230.76"/>
        <n v="334.6"/>
        <n v="279.39999999999998"/>
        <n v="35.840000000000003"/>
        <n v="1633.25"/>
        <n v="2102.4499999999998"/>
        <n v="1474.04"/>
        <n v="296.3"/>
        <n v="500.76"/>
        <n v="775.26"/>
        <n v="648.91999999999996"/>
        <n v="1319.85"/>
        <n v="694.53"/>
        <n v="1081.4000000000001"/>
        <n v="1186.5899999999999"/>
        <n v="215.6"/>
        <n v="909.30000000000007"/>
        <n v="681.18000000000006"/>
        <n v="2156.4"/>
        <n v="3588.75"/>
        <n v="1036.98"/>
        <n v="1810.83"/>
        <n v="803.32"/>
        <n v="175.35"/>
        <n v="2388.6999999999998"/>
        <n v="2003.49"/>
        <n v="929.33999999999992"/>
        <n v="2387.1"/>
        <n v="129.30000000000001"/>
        <n v="446.46"/>
        <n v="1310.52"/>
        <n v="1504.98"/>
        <n v="1037.95"/>
        <n v="237.99"/>
        <n v="454.38"/>
        <n v="596.31000000000006"/>
        <n v="2948.08"/>
        <n v="840.36"/>
        <n v="2582.6999999999998"/>
        <n v="835.32"/>
        <n v="768.53000000000009"/>
        <n v="1711.56"/>
        <n v="2363.2199999999998"/>
        <n v="2613.17"/>
        <n v="219.44"/>
        <n v="1602.8"/>
        <n v="2778.96"/>
        <n v="1211.0999999999999"/>
        <n v="229.84"/>
        <n v="391.72"/>
        <n v="3265.83"/>
        <n v="723.06000000000006"/>
        <n v="1819.1"/>
        <n v="304.29000000000002"/>
        <n v="72.67"/>
        <n v="283.26"/>
        <n v="1687.1"/>
        <n v="3829.9"/>
        <n v="171.4"/>
        <n v="2109.4"/>
        <n v="502.64"/>
        <n v="1600.14"/>
        <n v="168.2"/>
        <n v="226.69"/>
        <n v="481.7"/>
        <n v="2921.67"/>
        <n v="3997.4"/>
        <n v="3093.3"/>
        <n v="1068.08"/>
        <n v="2203.02"/>
        <n v="612.65"/>
        <n v="666.65000000000009"/>
        <n v="1177.1199999999999"/>
        <n v="805.84"/>
        <n v="708.28"/>
        <n v="142.57"/>
        <n v="1723.2"/>
        <n v="1755.36"/>
        <n v="2390.4"/>
        <n v="51.87"/>
        <n v="292.55"/>
        <n v="458.99"/>
        <n v="662.58"/>
        <n v="2827.5"/>
        <n v="899.12"/>
        <n v="431.2"/>
        <n v="2426"/>
        <n v="81.88"/>
        <n v="1028.76"/>
        <n v="1308.0999999999999"/>
        <n v="1181"/>
        <n v="2801.07"/>
        <n v="765.36"/>
        <n v="1774.85"/>
        <n v="601.76"/>
        <n v="2485.5"/>
        <n v="1185.45"/>
        <n v="229.85"/>
        <n v="1264.1600000000001"/>
        <n v="868.28"/>
        <n v="1608.74"/>
        <n v="3100.2"/>
        <n v="2949.9"/>
        <n v="1602.79"/>
        <n v="693.68"/>
        <n v="1569.88"/>
        <n v="344.4"/>
        <n v="2012.34"/>
        <n v="116.2"/>
        <n v="458.25"/>
        <n v="1851.76"/>
        <n v="2954.52"/>
        <n v="2292.84"/>
        <n v="523.86"/>
        <n v="664.12"/>
        <n v="850.1"/>
        <n v="53.94"/>
        <n v="188.28"/>
        <n v="380.74"/>
        <n v="3174.32"/>
        <n v="259.92"/>
        <n v="367.92"/>
        <n v="1443.54"/>
        <n v="55.77"/>
        <n v="821.59999999999991"/>
        <n v="2249.37"/>
        <n v="1735.28"/>
        <n v="53.75"/>
        <n v="449.37"/>
        <n v="668.6"/>
        <n v="305.19"/>
        <n v="2879.3"/>
        <n v="3567.4"/>
        <n v="1054.5"/>
        <n v="3691"/>
        <n v="498.32"/>
        <n v="505.89"/>
        <n v="615"/>
        <n v="170.73"/>
        <n v="776.22"/>
        <n v="197.2"/>
        <n v="60.07"/>
        <n v="337.77"/>
        <n v="134.47"/>
        <n v="842.28"/>
        <n v="1463.2"/>
        <n v="1245.24"/>
        <n v="1293.8399999999999"/>
        <n v="862.62000000000012"/>
        <n v="1795.76"/>
        <n v="536.4"/>
        <n v="2389.8000000000002"/>
        <n v="157.01"/>
        <n v="1155.06"/>
        <n v="3252.51"/>
        <n v="442.58"/>
        <n v="653.44000000000005"/>
        <n v="1084.77"/>
        <n v="415.43999999999988"/>
        <n v="1362.2"/>
        <n v="633.67999999999995"/>
        <n v="412.4"/>
        <n v="116.72"/>
        <n v="3306"/>
        <n v="1211.5999999999999"/>
        <n v="194.45"/>
        <n v="1583.1"/>
        <n v="3696.3"/>
        <n v="466.24"/>
        <n v="409.17"/>
        <n v="1258.92"/>
        <n v="1110"/>
        <n v="785.28"/>
        <n v="2148.64"/>
        <n v="46.55"/>
        <n v="743.8"/>
        <n v="3549.78"/>
        <n v="72"/>
        <n v="1811.2"/>
        <n v="1054.6199999999999"/>
        <n v="1099.77"/>
        <n v="3927.1"/>
        <n v="2482.08"/>
        <n v="107.19"/>
        <n v="367.5"/>
        <n v="375.32"/>
        <n v="165.46"/>
        <n v="227.17"/>
        <n v="181"/>
        <n v="657"/>
        <n v="1475.96"/>
        <n v="982.7299999999999"/>
        <n v="468.3"/>
        <n v="2858.88"/>
        <n v="3154.14"/>
        <n v="2141.8000000000002"/>
        <n v="3029"/>
        <n v="193.56"/>
        <n v="92.34"/>
        <n v="917"/>
        <n v="1787.31"/>
        <n v="1705.76"/>
        <n v="528.07999999999993"/>
        <n v="251.16"/>
        <n v="5.74"/>
        <n v="1619.68"/>
        <n v="763.14"/>
        <n v="1561.44"/>
        <n v="1591.38"/>
        <n v="925.36"/>
        <n v="840.91"/>
        <n v="3405.87"/>
        <n v="796.32"/>
        <n v="3503.25"/>
        <n v="322.86"/>
        <n v="903.69"/>
        <n v="2871.28"/>
        <n v="1684.06"/>
        <n v="1873.2"/>
        <n v="345.24"/>
        <n v="485.95"/>
        <n v="3149.46"/>
        <n v="2131.3000000000002"/>
        <n v="1063.44"/>
        <n v="897.92"/>
        <n v="33.06"/>
        <n v="563.96"/>
        <n v="1517.31"/>
        <n v="1275.3900000000001"/>
        <n v="3083.28"/>
        <n v="563.5"/>
        <n v="2922.48"/>
        <n v="891.51"/>
        <n v="3170.07"/>
        <n v="2135.2199999999998"/>
        <n v="1314.52"/>
        <n v="1017.12"/>
        <n v="993.99"/>
        <n v="1058.0999999999999"/>
        <n v="323.92"/>
        <n v="1236.06"/>
        <n v="594.16"/>
        <n v="3239.1"/>
        <n v="350.01"/>
        <n v="809.35"/>
        <n v="653.79999999999995"/>
        <n v="543.41"/>
        <n v="1861.92"/>
        <n v="1782"/>
        <n v="893.16000000000008"/>
        <n v="1876.1"/>
        <n v="884.19"/>
        <n v="188.82"/>
        <n v="633.29999999999995"/>
        <n v="782.56"/>
        <n v="452.61"/>
        <n v="251.84"/>
        <n v="3121.4"/>
        <n v="1205.25"/>
        <n v="1334.82"/>
        <n v="1875.16"/>
        <n v="128.69"/>
        <n v="1297.5999999999999"/>
        <n v="514"/>
        <n v="208.28"/>
        <n v="810.90000000000009"/>
        <n v="980.90000000000009"/>
        <n v="724.16"/>
        <n v="202.72"/>
        <n v="169.14"/>
        <n v="2040"/>
        <n v="577.43999999999994"/>
        <n v="1013.8"/>
        <n v="1872.08"/>
        <n v="1320.16"/>
        <n v="1534.8"/>
        <n v="1236.96"/>
        <n v="398.15"/>
        <n v="770.06999999999994"/>
        <n v="1245.5999999999999"/>
        <n v="715.05"/>
        <n v="654.28"/>
        <n v="182.66"/>
        <n v="599.17999999999995"/>
        <n v="322.88"/>
        <n v="1705.2"/>
        <n v="2126.46"/>
        <n v="601.84"/>
        <n v="988.5"/>
        <n v="3027.2"/>
        <n v="759.99"/>
        <n v="36.85"/>
        <n v="497.38"/>
        <n v="2278.4"/>
        <n v="170.04"/>
        <n v="3090.96"/>
        <n v="104.85"/>
        <n v="248.33"/>
        <n v="471.24"/>
        <n v="376.1"/>
        <n v="1450.1"/>
        <n v="1483.6"/>
        <n v="2523.6799999999998"/>
        <n v="1427.46"/>
        <n v="3949.1"/>
        <n v="141.82"/>
        <n v="1574.48"/>
        <n v="482.64"/>
        <n v="2858.16"/>
        <n v="1186.74"/>
        <n v="3012.88"/>
        <n v="1084.83"/>
        <n v="1535.1"/>
        <n v="162.47999999999999"/>
        <n v="11.7"/>
        <n v="3331.1"/>
        <n v="1833.16"/>
        <n v="2012.72"/>
        <n v="434.22"/>
        <n v="90.99"/>
        <n v="193.52"/>
        <n v="2523.9"/>
        <n v="1592.99"/>
        <n v="806.16"/>
        <n v="885.33"/>
        <n v="315.75"/>
        <n v="1357.25"/>
        <n v="2517.84"/>
        <n v="2932.4"/>
        <n v="1197.57"/>
        <n v="3914.3"/>
        <n v="824.69999999999993"/>
        <n v="132.06"/>
        <n v="328.72"/>
        <n v="3829.5"/>
        <n v="2615.83"/>
        <n v="1971.4"/>
        <n v="54.76"/>
        <n v="2089.5300000000002"/>
        <n v="654.99"/>
        <n v="1183.3"/>
        <n v="19.88"/>
        <n v="64.2"/>
        <n v="1025.0999999999999"/>
        <n v="3130.1"/>
        <n v="830.37000000000012"/>
        <n v="1540.2"/>
        <n v="225.72"/>
        <n v="1146.5999999999999"/>
        <n v="213.92"/>
        <n v="704.95"/>
        <n v="163.41"/>
        <n v="1923.6"/>
        <n v="87.7"/>
        <n v="992.81000000000006"/>
        <n v="927"/>
        <n v="2287.52"/>
        <n v="1273.0999999999999"/>
        <n v="1885.59"/>
        <n v="318.93"/>
        <n v="659.64"/>
        <n v="2876.4"/>
        <n v="1830.85"/>
        <n v="2734.02"/>
        <n v="248.14"/>
        <n v="1806.6"/>
        <n v="370.72"/>
        <n v="636.21"/>
        <n v="1455.08"/>
        <n v="607.04999999999995"/>
        <n v="196.88"/>
        <n v="1452"/>
        <n v="1003.02"/>
        <n v="2035"/>
        <n v="195.54"/>
        <n v="1067.9000000000001"/>
        <n v="370.08"/>
        <n v="598.98"/>
        <n v="397.26"/>
        <n v="705.56999999999994"/>
        <n v="2622.08"/>
        <n v="148.44"/>
        <n v="27.15"/>
        <n v="1849.68"/>
        <n v="3583.8"/>
        <n v="1072.6400000000001"/>
        <n v="628.52"/>
        <n v="1663.08"/>
        <n v="2146.06"/>
        <n v="1029"/>
        <n v="429.78"/>
        <n v="1833.02"/>
        <n v="369.36"/>
        <n v="321.2"/>
        <n v="2911.32"/>
        <n v="3081.96"/>
        <n v="2711.1"/>
        <n v="2340.84"/>
        <n v="2698.6"/>
        <n v="133.9"/>
        <n v="1135.55"/>
        <n v="2200.6799999999998"/>
        <n v="247.71"/>
        <n v="169.87"/>
        <n v="766.32"/>
        <n v="365"/>
        <n v="207.99"/>
        <n v="425.93999999999988"/>
        <n v="1528.32"/>
        <n v="1496.88"/>
        <n v="1088.3499999999999"/>
        <n v="987.6"/>
        <n v="1010.97"/>
        <n v="489.92"/>
        <n v="1593.06"/>
        <n v="2942.37"/>
        <n v="1710.8"/>
        <n v="1153.26"/>
        <n v="1011.28"/>
        <n v="633.91999999999996"/>
        <n v="231.84"/>
        <n v="287.22000000000003"/>
        <n v="285.95999999999998"/>
        <n v="149.71"/>
        <n v="980.55000000000007"/>
        <n v="2196.39"/>
        <n v="852.69999999999993"/>
        <n v="279.72000000000003"/>
        <n v="1505.1"/>
        <n v="2243.46"/>
        <n v="1927.2"/>
        <n v="144.03"/>
        <n v="989.1"/>
        <n v="721.14"/>
        <n v="815.67"/>
        <n v="2144.94"/>
        <n v="874.64"/>
        <n v="2430.6799999999998"/>
        <n v="1365.2"/>
        <n v="119.82"/>
        <n v="887.18"/>
        <n v="1057.95"/>
        <n v="791.28"/>
        <n v="638.08000000000004"/>
        <n v="1334.41"/>
        <n v="1035.96"/>
        <n v="2364.9299999999998"/>
        <n v="774.18000000000006"/>
        <n v="1146.48"/>
        <n v="177.72"/>
        <n v="391.56000000000012"/>
        <n v="633.76"/>
        <n v="112.51"/>
        <n v="2073.36"/>
        <n v="74.95"/>
        <n v="1685.15"/>
        <n v="3318.21"/>
        <n v="756.48"/>
        <n v="213.86"/>
        <n v="2352.6"/>
        <n v="241.46"/>
        <n v="1478.9"/>
        <n v="468.06000000000012"/>
        <n v="451.86"/>
        <n v="107.82"/>
        <n v="873.75"/>
        <n v="700.56000000000006"/>
        <n v="170.7"/>
        <n v="273.41000000000003"/>
        <n v="665.14"/>
        <n v="699.58"/>
        <n v="1476.85"/>
        <n v="978"/>
        <n v="2679.66"/>
        <n v="975.03"/>
        <n v="1503.18"/>
        <n v="3211.29"/>
        <n v="245.3"/>
        <n v="234.48"/>
        <n v="2527.42"/>
        <n v="53.88"/>
        <n v="35.5"/>
        <n v="1818.8"/>
        <n v="1161.1199999999999"/>
        <n v="2848.95"/>
        <n v="3597.3"/>
        <n v="2223.1"/>
        <n v="713.79"/>
        <n v="769.96"/>
        <n v="1485.72"/>
        <n v="1634.2"/>
        <n v="422.8"/>
        <n v="304.43"/>
        <n v="804.39"/>
        <n v="3162.48"/>
        <n v="120.3"/>
        <n v="739.86"/>
        <n v="343.5"/>
        <n v="3448.8"/>
        <n v="100.83"/>
        <n v="1111.5"/>
        <n v="382.95"/>
        <n v="1292.6400000000001"/>
        <n v="582.91999999999996"/>
        <n v="142.76"/>
        <n v="2030.42"/>
        <n v="2663.52"/>
        <n v="3040.2"/>
        <n v="22.32"/>
        <n v="2070.54"/>
        <n v="2566.2399999999998"/>
        <n v="789.9"/>
        <n v="448.78"/>
        <n v="706.83"/>
        <n v="535.82000000000005"/>
        <n v="687.72"/>
        <n v="3500.46"/>
        <n v="825.66"/>
        <n v="1064.0999999999999"/>
        <n v="2468"/>
        <n v="525.78"/>
        <n v="372.82"/>
        <n v="594.62999999999988"/>
        <n v="476.9"/>
        <n v="2192.13"/>
        <n v="51.28"/>
        <n v="1173.1199999999999"/>
        <n v="474.04"/>
        <n v="50.400000000000013"/>
        <n v="2401.7600000000002"/>
        <n v="1466.6"/>
        <n v="1170.25"/>
        <n v="1309"/>
        <n v="2260.9"/>
        <n v="1085.05"/>
        <n v="2814.1"/>
        <n v="305.2"/>
        <n v="1657.7"/>
        <n v="397.47"/>
        <n v="1954.61"/>
        <n v="236.07"/>
        <n v="170"/>
        <n v="292.38"/>
        <n v="184"/>
        <n v="902.4"/>
        <n v="645.76"/>
        <n v="110.76"/>
        <n v="107.4"/>
        <n v="2222.8200000000002"/>
        <n v="427.36"/>
        <n v="238.8"/>
        <n v="2244.8000000000002"/>
        <n v="371.87"/>
        <n v="46.36"/>
        <n v="2868.96"/>
        <n v="2372"/>
        <n v="154.01"/>
        <n v="1252.26"/>
        <n v="695.28"/>
        <n v="655.95"/>
        <n v="1938.09"/>
        <n v="3710.2"/>
        <n v="882.24"/>
        <n v="803.92"/>
        <n v="79.599999999999994"/>
        <n v="1472.31"/>
        <n v="735.72"/>
        <n v="104.88"/>
        <n v="114.93"/>
        <n v="377.2"/>
        <n v="1037.43"/>
        <n v="425.26"/>
        <n v="153.97"/>
        <n v="3906.2"/>
        <n v="3402.18"/>
        <n v="913.05000000000007"/>
        <n v="57.26"/>
        <n v="2983.76"/>
        <n v="589.58000000000004"/>
        <n v="73.8"/>
        <n v="1344.96"/>
        <n v="142.55000000000001"/>
        <n v="181.18"/>
        <n v="295.75"/>
        <n v="1157.28"/>
        <n v="221.6"/>
        <n v="300"/>
        <n v="1010.24"/>
        <n v="2203.56"/>
        <n v="325.77999999999997"/>
        <n v="1755.32"/>
        <n v="2156.88"/>
        <n v="2957.4"/>
        <n v="2682.26"/>
        <n v="1607.28"/>
        <n v="615.86"/>
        <n v="324.91000000000003"/>
        <n v="516"/>
        <n v="746.88"/>
        <n v="388.96"/>
        <n v="284.33999999999997"/>
        <n v="1836.16"/>
        <n v="2163.1999999999998"/>
        <n v="1262"/>
        <n v="296.26"/>
        <n v="2950.32"/>
        <n v="472.32"/>
        <n v="362.13"/>
        <n v="415.26"/>
        <n v="914.52"/>
        <n v="2977"/>
        <n v="161.69999999999999"/>
        <n v="43.08"/>
        <n v="1465.72"/>
        <n v="420.56"/>
        <n v="1549.86"/>
        <n v="2375.34"/>
        <n v="1156.02"/>
        <n v="941.5"/>
        <n v="1124.52"/>
        <n v="26.79"/>
        <n v="1491.6"/>
        <n v="3074.3"/>
        <n v="75"/>
        <n v="724.88"/>
        <n v="1451.36"/>
        <n v="108.82"/>
        <n v="221.9"/>
        <n v="1704.18"/>
        <n v="250.47"/>
        <n v="2195.04"/>
        <n v="916.15"/>
        <n v="668.36"/>
        <n v="468.54"/>
        <n v="669.76"/>
        <n v="640.34999999999991"/>
        <n v="1986.36"/>
        <n v="931.2"/>
        <n v="2842.88"/>
        <n v="3773"/>
        <n v="2646.72"/>
        <n v="962.69999999999993"/>
        <n v="1418.7"/>
        <n v="1069.1099999999999"/>
        <n v="350.15"/>
        <n v="1350.45"/>
        <n v="91.53"/>
        <n v="1058"/>
        <n v="476.55"/>
        <n v="785.8"/>
        <n v="2981.6"/>
        <n v="1017.99"/>
        <n v="2390.1999999999998"/>
        <n v="203.76"/>
        <n v="2179.1999999999998"/>
        <n v="439.78"/>
        <n v="468.96"/>
        <n v="78.87"/>
        <n v="245.68"/>
        <n v="929.94999999999993"/>
        <n v="1578.24"/>
        <n v="3435.6"/>
        <n v="356.83"/>
        <n v="94.32"/>
        <n v="377.85"/>
        <n v="1013.7"/>
        <n v="1019.16"/>
        <n v="2067.52"/>
        <n v="2272.41"/>
        <n v="2189.9"/>
        <n v="2737.26"/>
        <n v="2295.54"/>
        <n v="1224.8399999999999"/>
        <n v="2950.72"/>
        <n v="215.32"/>
        <n v="1961.3"/>
        <n v="271.12"/>
        <n v="389.62"/>
        <n v="1642.62"/>
        <n v="3274.5"/>
        <n v="552.32000000000005"/>
        <n v="1805.28"/>
        <n v="2914.88"/>
        <n v="3077.64"/>
        <n v="441.48"/>
        <n v="222.88"/>
        <n v="622.6"/>
        <n v="2348.4"/>
        <n v="920.44"/>
        <n v="2164.14"/>
        <n v="829.02"/>
        <n v="357.76"/>
        <n v="579.18000000000006"/>
        <n v="105.6"/>
        <n v="2137.4"/>
        <n v="38.94"/>
        <n v="2056.39"/>
        <n v="1443.55"/>
        <n v="335.16"/>
        <n v="355.54"/>
        <n v="993.90000000000009"/>
        <n v="80.91"/>
        <n v="1973"/>
        <n v="1645.49"/>
        <n v="3191.85"/>
        <n v="709.36"/>
        <n v="138.54"/>
        <n v="1083.18"/>
        <n v="249.98"/>
        <n v="319.56"/>
        <n v="385.99"/>
        <n v="1388.6"/>
        <n v="361.16"/>
        <n v="957.48"/>
        <n v="1210.48"/>
        <n v="796.9"/>
        <n v="3248.3"/>
        <n v="147.84"/>
        <n v="1997.94"/>
        <n v="642.04"/>
        <n v="789.04"/>
        <n v="1701.4"/>
        <n v="1443.9"/>
        <n v="2491.79"/>
        <n v="319.26"/>
        <n v="384.52"/>
        <n v="962.81999999999994"/>
        <n v="576.22"/>
        <n v="391.2"/>
        <n v="228.94"/>
        <n v="1305.44"/>
        <n v="807.12"/>
        <n v="921.90000000000009"/>
        <n v="1341.12"/>
        <n v="2809.2"/>
        <n v="404"/>
        <n v="1154.46"/>
        <n v="1854.09"/>
        <n v="1126.29"/>
        <n v="691.74"/>
        <n v="1128.96"/>
        <n v="1552.48"/>
        <n v="1491"/>
        <n v="120.47"/>
        <n v="173.2"/>
        <n v="701.94999999999993"/>
        <n v="913.08"/>
        <n v="724.7"/>
        <n v="1495.8"/>
        <n v="424.5"/>
        <n v="915.78"/>
        <n v="456.35"/>
        <n v="779.4"/>
        <n v="503.31000000000012"/>
        <n v="1168.3499999999999"/>
        <n v="113.57"/>
        <n v="11.97"/>
        <n v="779.84"/>
        <n v="3017.9"/>
        <n v="422.73"/>
        <n v="1536.32"/>
        <n v="1197.06"/>
        <n v="740.18999999999994"/>
        <n v="1036.8599999999999"/>
        <n v="1572"/>
        <n v="2238.8000000000002"/>
        <n v="289.64"/>
        <n v="680.54"/>
        <n v="830.09999999999991"/>
        <n v="1345.96"/>
        <n v="861.69999999999993"/>
        <n v="1017.75"/>
        <n v="1648.35"/>
        <n v="654.96"/>
        <n v="20.69"/>
        <n v="165.88"/>
        <n v="330.19"/>
        <n v="154.27000000000001"/>
        <n v="168.73"/>
        <n v="651.24"/>
        <n v="1887.36"/>
        <n v="1847.3"/>
        <n v="3306.6"/>
        <n v="606.30000000000007"/>
        <n v="646.32000000000005"/>
        <n v="201.95"/>
        <n v="346.56"/>
        <n v="1407.75"/>
        <n v="97.12"/>
        <n v="278.94"/>
        <n v="240.4"/>
        <n v="1590.4"/>
        <n v="773.48"/>
        <n v="921.41"/>
        <n v="559.24"/>
        <n v="1641.7"/>
        <n v="1055.8"/>
        <n v="2034.4"/>
        <n v="2953.62"/>
        <n v="2294.6"/>
        <n v="945.62999999999988"/>
        <n v="2977.36"/>
        <n v="1887.2"/>
        <n v="68.25"/>
        <n v="948.48"/>
        <n v="1929.42"/>
        <n v="1567.62"/>
        <n v="1311.48"/>
        <n v="48.75"/>
        <n v="388.3"/>
        <n v="313.04000000000002"/>
        <n v="230.26"/>
        <n v="3621.3"/>
        <n v="171.54"/>
        <n v="868.68"/>
        <n v="992.69999999999993"/>
        <n v="1809.99"/>
        <n v="106.8"/>
        <n v="875.68"/>
        <n v="1333.4"/>
        <n v="831.24"/>
        <n v="1348.96"/>
        <n v="395.95"/>
        <n v="174.29"/>
        <n v="2321.46"/>
        <n v="254.46"/>
        <n v="663.7"/>
        <n v="1843.1"/>
        <n v="1547.46"/>
        <n v="420.3"/>
        <n v="220.26"/>
        <n v="2727.97"/>
        <n v="641.02"/>
        <n v="2597.2800000000002"/>
        <n v="308.2"/>
        <n v="731.40000000000009"/>
        <n v="2141.1"/>
        <n v="244.43"/>
        <n v="1075.76"/>
        <n v="1926.56"/>
        <n v="585.72"/>
        <n v="187.6"/>
        <n v="553.96"/>
        <n v="151.6"/>
        <n v="713.92"/>
        <n v="773.08"/>
        <n v="1719.6"/>
        <n v="1088.19"/>
        <n v="2486.19"/>
        <n v="1471.6"/>
        <n v="195.82"/>
        <n v="1068.03"/>
        <n v="3159.8"/>
        <n v="1690.5"/>
        <n v="526.24"/>
        <n v="775.19999999999993"/>
        <n v="1712.72"/>
        <n v="3961.6"/>
        <n v="766.4"/>
        <n v="2090.1"/>
        <n v="599.67999999999995"/>
        <n v="1170.3"/>
        <n v="470.04"/>
        <n v="258.06"/>
        <n v="1460.16"/>
        <n v="43.82"/>
        <n v="588.65"/>
        <n v="116"/>
        <n v="286.29000000000002"/>
        <n v="146.72999999999999"/>
        <n v="738.90000000000009"/>
        <n v="598.80000000000007"/>
        <n v="309.32"/>
        <n v="181.86"/>
        <n v="1250.0999999999999"/>
        <n v="1123.3800000000001"/>
        <n v="931.68"/>
        <n v="718.8"/>
        <n v="858.5"/>
        <n v="2119.86"/>
        <n v="798.72"/>
        <n v="1559"/>
        <n v="899.85"/>
        <n v="783.28"/>
        <n v="484.14"/>
        <n v="2172.08"/>
        <n v="294.61"/>
        <n v="818.36"/>
        <n v="1893.3"/>
        <n v="1065"/>
        <n v="54.72"/>
        <n v="252.78"/>
        <n v="333.75"/>
        <n v="777.26"/>
        <n v="59.73"/>
        <n v="364.02"/>
        <n v="884.79"/>
        <n v="395.76"/>
        <n v="260.8"/>
        <n v="1052.25"/>
        <n v="370.98"/>
        <n v="1310.08"/>
        <n v="353.04"/>
        <n v="908.04"/>
        <n v="2455.11"/>
        <n v="1999.53"/>
        <n v="1249.2"/>
        <n v="378.72"/>
        <n v="1395.52"/>
        <n v="1371.24"/>
        <n v="1109.8"/>
        <n v="36.93"/>
        <n v="1232"/>
        <n v="60.42"/>
        <n v="121.68"/>
        <n v="1654.4"/>
        <n v="1318.76"/>
        <n v="996.64"/>
        <n v="560.58000000000004"/>
        <n v="52.19"/>
        <n v="2316.86"/>
        <n v="3085.76"/>
        <n v="473.76"/>
        <n v="736.64"/>
        <n v="969.12000000000012"/>
        <n v="1476.5"/>
        <n v="892.69999999999993"/>
        <n v="622.76"/>
        <n v="771.80000000000007"/>
        <n v="202.41"/>
        <n v="2055.6999999999998"/>
        <n v="635.34"/>
        <n v="2779.56"/>
        <n v="935.08"/>
        <n v="1796.64"/>
        <n v="2187.66"/>
        <n v="1933.85"/>
        <n v="1238.24"/>
        <n v="1182.1600000000001"/>
        <n v="191"/>
        <n v="1504.05"/>
        <n v="680.46"/>
        <n v="1011.48"/>
        <n v="2229.12"/>
        <n v="79.819999999999993"/>
        <n v="3862.1"/>
        <n v="1119.3599999999999"/>
        <n v="2937.52"/>
        <n v="970.74"/>
        <n v="519.4"/>
        <n v="303.83999999999997"/>
        <n v="1423.5"/>
        <n v="2483.1999999999998"/>
        <n v="7.37"/>
        <n v="783.76"/>
        <n v="2246.4"/>
        <n v="203.19"/>
        <n v="3246.3"/>
        <n v="1765.4"/>
        <n v="280.33999999999997"/>
        <n v="1357.5"/>
        <n v="75.349999999999994"/>
        <n v="2009.07"/>
        <n v="814.11"/>
        <n v="857.84"/>
        <n v="382.71"/>
        <n v="214.72"/>
        <n v="568.79999999999995"/>
        <n v="2230"/>
        <n v="2245.62"/>
        <n v="413.5"/>
        <n v="595.79999999999995"/>
        <n v="593.22"/>
        <n v="1557.55"/>
        <n v="1288.8499999999999"/>
        <n v="391.91"/>
        <n v="3190.7"/>
        <n v="788.09999999999991"/>
        <n v="1053.52"/>
        <n v="598.21999999999991"/>
        <n v="87.12"/>
        <n v="2890.9"/>
        <n v="3934.4"/>
        <n v="1304.94"/>
        <n v="1988.56"/>
        <n v="1709.89"/>
        <n v="58.12"/>
        <n v="1186.8"/>
        <n v="907.92"/>
        <n v="511.56000000000012"/>
        <n v="453"/>
        <n v="274.47000000000003"/>
        <n v="310.38"/>
        <n v="709.09999999999991"/>
        <n v="919.94999999999993"/>
        <n v="1523.84"/>
        <n v="183.95"/>
        <n v="1855"/>
        <n v="2165.12"/>
        <n v="313.58999999999997"/>
        <n v="185.66"/>
        <n v="99.6"/>
        <n v="509.95"/>
        <n v="600.88"/>
        <n v="361.8"/>
        <n v="704.22"/>
        <n v="752.28"/>
        <n v="301.39999999999998"/>
        <n v="255.95"/>
        <n v="1595.9"/>
        <n v="419.08"/>
        <n v="2738.16"/>
        <n v="601.62"/>
        <n v="727.34"/>
        <n v="444.5"/>
        <n v="1190.68"/>
        <n v="25.56"/>
        <n v="1789.68"/>
        <n v="2604.0700000000002"/>
        <n v="117.04"/>
        <n v="919.74"/>
        <n v="521.20000000000005"/>
        <n v="2105.2800000000002"/>
        <n v="2037.28"/>
        <n v="163"/>
        <n v="198.24"/>
        <n v="566.01"/>
        <n v="617.04999999999995"/>
        <n v="1186.68"/>
        <n v="1640.64"/>
        <n v="61.21"/>
        <n v="1283.5999999999999"/>
        <n v="2037.66"/>
        <n v="955.99"/>
        <n v="585.90000000000009"/>
        <n v="2171.33"/>
        <n v="716.35"/>
        <n v="1027.3"/>
        <n v="2155.2800000000002"/>
        <n v="201.69"/>
        <n v="1514.72"/>
        <n v="1000.16"/>
        <n v="1163.5999999999999"/>
        <n v="367.2"/>
        <n v="574.6"/>
        <n v="1893.71"/>
        <n v="322.36"/>
        <n v="1087.03"/>
        <n v="340.74"/>
        <n v="2106.2399999999998"/>
        <n v="388.99"/>
        <n v="60.48"/>
        <n v="692.6"/>
        <n v="2620.1999999999998"/>
        <n v="2806.74"/>
        <n v="343.44"/>
        <n v="711.5"/>
        <n v="458.88"/>
        <n v="1177.8"/>
        <n v="1644.6"/>
        <n v="414.48"/>
        <n v="1181.95"/>
        <n v="1358.76"/>
        <n v="88.08"/>
        <n v="1323.9"/>
        <n v="820.19999999999993"/>
        <n v="252.48"/>
        <n v="1247.44"/>
        <n v="881.57999999999993"/>
        <n v="1233.3599999999999"/>
        <n v="439.8"/>
        <n v="880.88"/>
        <n v="2813.04"/>
        <n v="207.76"/>
        <n v="582.96"/>
        <n v="56.88"/>
        <n v="2303.64"/>
        <n v="3332.79"/>
        <n v="685.02"/>
        <n v="2225.25"/>
        <n v="431.22"/>
        <n v="320.25"/>
        <n v="226.17"/>
        <n v="188.22"/>
        <n v="1068.3399999999999"/>
        <n v="384.84"/>
        <n v="204.12"/>
        <n v="1116.99"/>
        <n v="2037.91"/>
        <n v="2223.66"/>
        <n v="511"/>
        <n v="383.08"/>
        <n v="1141.68"/>
        <n v="1032.92"/>
        <n v="102.6"/>
        <n v="1118.82"/>
        <n v="1831.65"/>
        <n v="140.06"/>
        <n v="1071.0999999999999"/>
        <n v="497.7"/>
        <n v="2065.36"/>
        <n v="2153.1999999999998"/>
        <n v="1241.58"/>
        <n v="1522"/>
        <n v="170.79"/>
        <n v="2104.3200000000002"/>
        <n v="1829.12"/>
        <n v="3207.87"/>
        <n v="2239.6799999999998"/>
        <n v="447.57"/>
        <n v="1118.58"/>
        <n v="550.98"/>
        <n v="716.58"/>
        <n v="1697.58"/>
        <n v="2220.21"/>
        <n v="1886.15"/>
        <n v="2076"/>
        <n v="2180.8000000000002"/>
        <n v="160.65"/>
        <n v="3681.5"/>
        <n v="1772.82"/>
        <n v="109.97"/>
        <n v="854.64"/>
        <n v="2137.04"/>
        <n v="787.6"/>
        <n v="1576.98"/>
        <n v="314.16000000000003"/>
        <n v="231.89"/>
        <n v="421.08"/>
        <n v="1241.4000000000001"/>
        <n v="1820.72"/>
        <n v="241.64"/>
        <n v="45.03"/>
        <n v="599.20000000000005"/>
        <n v="692.30000000000007"/>
        <n v="1323.75"/>
        <n v="71.84"/>
        <n v="1169.2"/>
        <n v="2292.16"/>
        <n v="2720.1"/>
        <n v="1528.76"/>
        <n v="1497.16"/>
        <n v="1186.72"/>
        <n v="1384.74"/>
        <n v="619.22"/>
        <n v="979.44999999999993"/>
        <n v="32.97"/>
        <n v="1772.12"/>
        <n v="229.41"/>
        <n v="11.77"/>
        <n v="1343.4"/>
        <n v="998.92"/>
        <n v="485.64"/>
        <n v="2691.18"/>
        <n v="99.54"/>
        <n v="147.69999999999999"/>
        <n v="3405.69"/>
        <n v="664.92"/>
        <n v="844.7"/>
        <n v="736.74"/>
        <n v="388.73"/>
        <n v="1968.6"/>
        <n v="105.8"/>
        <n v="2068.44"/>
        <n v="384.6"/>
        <n v="1016.95"/>
        <n v="527.40000000000009"/>
        <n v="1718.05"/>
        <n v="1823.95"/>
        <n v="829.08"/>
        <n v="519.55999999999995"/>
        <n v="1418.52"/>
        <n v="461.44"/>
        <n v="101.8"/>
        <n v="178.3"/>
        <n v="3264.5"/>
        <n v="2018.79"/>
        <n v="221.96"/>
        <n v="1130.28"/>
        <n v="1218.32"/>
        <n v="196.74"/>
        <n v="2623.3"/>
        <n v="2075.5"/>
        <n v="67.34"/>
        <n v="1039.05"/>
        <n v="124.46"/>
        <n v="597.98"/>
        <n v="318.83"/>
        <n v="430.56"/>
        <n v="480.65"/>
        <n v="1132.8900000000001"/>
        <n v="695.7"/>
        <n v="643.04"/>
        <n v="3490.47"/>
        <n v="1137.5999999999999"/>
        <n v="1774.88"/>
        <n v="995.84999999999991"/>
        <n v="1099.0999999999999"/>
        <n v="1930.8"/>
        <n v="1214.58"/>
        <n v="1249.8"/>
        <n v="177.44"/>
        <n v="1990.95"/>
        <n v="432.67"/>
        <n v="722.16"/>
        <n v="371.02"/>
        <n v="611.82000000000005"/>
        <n v="1363.88"/>
        <n v="602.46"/>
        <n v="1704.48"/>
        <n v="881.8"/>
        <n v="1270.3"/>
        <n v="1164.6600000000001"/>
        <n v="1297.1199999999999"/>
        <n v="390.76"/>
        <n v="73.92"/>
        <n v="263.08999999999997"/>
        <n v="2074.08"/>
        <n v="197.46"/>
        <n v="1997.03"/>
        <n v="2387.34"/>
        <n v="781.19999999999993"/>
        <n v="641.1"/>
        <n v="869.8"/>
        <n v="54.78"/>
        <n v="2056.7399999999998"/>
        <n v="1240.96"/>
        <n v="2713.44"/>
        <n v="944.72"/>
        <n v="1110.32"/>
        <n v="2116.4"/>
        <n v="1188.5999999999999"/>
        <n v="90.12"/>
        <n v="2746.08"/>
        <n v="68.8"/>
        <n v="1445.16"/>
        <n v="171.68"/>
        <n v="14.39"/>
        <n v="1709.28"/>
        <n v="1339.38"/>
        <n v="444.48"/>
        <n v="126.75"/>
        <n v="50.099999999999987"/>
        <n v="149.44999999999999"/>
        <n v="143.88"/>
        <n v="618.44999999999993"/>
        <n v="654.30000000000007"/>
        <n v="1112.9000000000001"/>
        <n v="245.4"/>
        <n v="559.26"/>
        <n v="783.3"/>
        <n v="2248.8000000000002"/>
        <n v="122.72"/>
        <n v="3246.2"/>
        <n v="519.78"/>
        <n v="153.38999999999999"/>
        <n v="1388"/>
        <n v="660.87"/>
        <n v="2272.3200000000002"/>
        <n v="397.79"/>
        <n v="1278.8"/>
        <n v="959.22"/>
        <n v="57.48"/>
        <n v="233.44"/>
        <n v="354.54"/>
        <n v="1038.4000000000001"/>
        <n v="2212.56"/>
        <n v="2234.1"/>
        <n v="1437.38"/>
        <n v="721.24"/>
        <n v="184.92"/>
        <n v="1353.4"/>
        <n v="666.66"/>
        <n v="419.93999999999988"/>
        <n v="528.36"/>
        <n v="735.21"/>
        <n v="1862.8"/>
        <n v="3149.7"/>
        <n v="483.86"/>
        <n v="1048.3900000000001"/>
        <n v="1768.8"/>
        <n v="224.52"/>
        <n v="242.1"/>
        <n v="1941.52"/>
        <n v="2975.13"/>
        <n v="197.52"/>
        <n v="1205.28"/>
        <n v="2090.16"/>
        <n v="1007.58"/>
        <n v="159.1"/>
        <n v="940.68"/>
        <n v="826.89"/>
        <n v="1781.82"/>
        <n v="1656.6"/>
        <n v="103.06"/>
        <n v="543.48"/>
        <n v="586.14"/>
        <n v="2532.39"/>
        <n v="1633.56"/>
        <n v="624.12"/>
        <n v="1788.85"/>
        <n v="1088.8800000000001"/>
        <n v="61.11"/>
        <n v="2504.61"/>
        <n v="1018.32"/>
        <n v="3641.6"/>
        <n v="367.35"/>
        <n v="2214.4"/>
        <n v="388.23"/>
        <n v="777.76"/>
        <n v="74.2"/>
        <n v="1777.92"/>
        <n v="695.09999999999991"/>
        <n v="91.18"/>
        <n v="2848.8"/>
        <n v="138.53"/>
        <n v="315.13"/>
        <n v="1008.5"/>
        <n v="2530.3000000000002"/>
        <n v="2138.71"/>
        <n v="1811.04"/>
        <n v="795.15"/>
        <n v="131.91"/>
        <n v="1884.78"/>
        <n v="1449.36"/>
        <n v="1428.8"/>
        <n v="435.24"/>
        <n v="2233.1"/>
        <n v="73.17"/>
        <n v="1112.48"/>
        <n v="2215.6999999999998"/>
        <n v="106.75"/>
        <n v="1589.85"/>
        <n v="1056.8800000000001"/>
        <n v="1132.1400000000001"/>
        <n v="2020.62"/>
        <n v="786.5"/>
        <n v="40.39"/>
        <n v="116.12"/>
        <n v="358.1"/>
        <n v="1771.42"/>
        <n v="275.37"/>
        <n v="556.04"/>
        <n v="108.16"/>
        <n v="1965.76"/>
        <n v="178.76"/>
        <n v="872.79"/>
        <n v="604.12"/>
        <n v="772.25"/>
        <n v="2848"/>
        <n v="767.74"/>
        <n v="409.59"/>
        <n v="1230.05"/>
        <n v="511.08"/>
        <n v="328.26"/>
        <n v="1368.12"/>
        <n v="1021.72"/>
        <n v="2280.1999999999998"/>
        <n v="1630.44"/>
        <n v="1071.8499999999999"/>
        <n v="130.44999999999999"/>
        <n v="2273.2199999999998"/>
        <n v="544.20000000000005"/>
        <n v="2196.1"/>
        <n v="1905.03"/>
        <n v="2073.9"/>
        <n v="2701.84"/>
        <n v="1232.4000000000001"/>
        <n v="731.4"/>
        <n v="673.47"/>
        <n v="2654.96"/>
        <n v="484"/>
        <n v="1458.76"/>
        <n v="249.38"/>
        <n v="1646.04"/>
        <n v="526.08000000000004"/>
        <n v="276.72000000000003"/>
        <n v="1441.38"/>
        <n v="1288.55"/>
        <n v="322.54000000000002"/>
        <n v="689.76"/>
        <n v="2374.7399999999998"/>
        <n v="1878.03"/>
        <n v="2427.81"/>
        <n v="651.82000000000005"/>
        <n v="1491.55"/>
        <n v="1099.17"/>
        <n v="2007.2"/>
        <n v="2865.69"/>
        <n v="1867.5"/>
        <n v="2771.44"/>
        <n v="656.42"/>
        <n v="774.56999999999994"/>
        <n v="830.48"/>
        <n v="287.83999999999997"/>
        <n v="3031.8"/>
        <n v="1361.68"/>
        <n v="2718.54"/>
        <n v="684.80000000000007"/>
        <n v="569.52"/>
        <n v="523.94999999999993"/>
        <n v="880.29"/>
        <n v="337.9"/>
        <n v="231.16"/>
        <n v="35.340000000000003"/>
        <n v="554.58000000000004"/>
        <n v="79.040000000000006"/>
        <n v="2590.56"/>
        <n v="2575.1"/>
        <n v="2928.5"/>
        <n v="1252.96"/>
        <n v="2491.02"/>
        <n v="175.21"/>
        <n v="104.16"/>
        <n v="998.56"/>
        <n v="1132.96"/>
        <n v="981.76"/>
        <n v="318.77999999999997"/>
        <n v="991.19999999999993"/>
        <n v="95.84"/>
        <n v="71.12"/>
        <n v="293.02"/>
        <n v="1823.7"/>
        <n v="3802.8"/>
        <n v="641.32000000000005"/>
        <n v="1035.92"/>
        <n v="959.46"/>
        <n v="1123.23"/>
        <n v="3436.6"/>
        <n v="53.91"/>
        <n v="360.68"/>
        <n v="1038.17"/>
        <n v="2609.36"/>
        <n v="1509.9"/>
        <n v="912.69999999999993"/>
        <n v="389.34"/>
        <n v="427.56"/>
        <n v="528.28"/>
        <n v="159.52000000000001"/>
        <n v="538.64"/>
        <n v="272.22000000000003"/>
        <n v="2370.3200000000002"/>
        <n v="1153.1099999999999"/>
        <n v="964.80000000000007"/>
        <n v="1071.96"/>
        <n v="917.40000000000009"/>
        <n v="458.52"/>
        <n v="415.8"/>
        <n v="1894.68"/>
        <n v="3556.8"/>
        <n v="2580.16"/>
        <n v="1740.6"/>
        <n v="984.09999999999991"/>
        <n v="2222.0100000000002"/>
        <n v="549.04"/>
        <n v="349.14"/>
        <n v="339.88"/>
        <n v="75.95"/>
        <n v="648"/>
        <n v="523.1"/>
        <n v="3664.2"/>
        <n v="258.97000000000003"/>
        <n v="2926.8"/>
        <n v="1123.8499999999999"/>
        <n v="399.31"/>
        <n v="244.2"/>
        <n v="39.85"/>
        <n v="142.5"/>
        <n v="2237.1"/>
        <n v="713.34"/>
        <n v="2112.66"/>
        <n v="528.08000000000004"/>
        <n v="567.4"/>
        <n v="1323.45"/>
        <n v="1280.22"/>
        <n v="770.8"/>
        <n v="1686.64"/>
        <n v="249.41"/>
        <n v="2798.88"/>
        <n v="705.87000000000012"/>
        <n v="158.30000000000001"/>
        <n v="418.46"/>
        <n v="410.95"/>
        <n v="1531.46"/>
        <n v="237.09"/>
        <n v="329.62"/>
        <n v="1741.85"/>
        <n v="622.44999999999993"/>
        <n v="182.07"/>
        <n v="988.14"/>
        <n v="3279.51"/>
        <n v="44.62"/>
        <n v="860.65"/>
        <n v="550.41999999999996"/>
        <n v="65.08"/>
        <n v="903.6"/>
        <n v="1697.04"/>
        <n v="1274.8800000000001"/>
        <n v="786.54"/>
        <n v="131.37"/>
        <n v="3478.86"/>
        <n v="954.18000000000006"/>
        <n v="2424.73"/>
        <n v="2668.33"/>
        <n v="1075.68"/>
        <n v="236.6"/>
        <n v="1008.63"/>
        <n v="264.77999999999997"/>
        <n v="375.68"/>
        <n v="657.32"/>
        <n v="180.39"/>
        <n v="279.77999999999997"/>
        <n v="2581.4"/>
        <n v="1891.36"/>
        <n v="309.89"/>
        <n v="2041.48"/>
        <n v="840.1"/>
        <n v="181.98"/>
        <n v="1821.15"/>
        <n v="385.56"/>
        <n v="471.36"/>
        <n v="2783.3"/>
        <n v="2339.54"/>
        <n v="2845.8"/>
        <n v="2350.08"/>
        <n v="764.75"/>
        <n v="273.63"/>
        <n v="200.86"/>
        <n v="518.04"/>
        <n v="196.22"/>
        <n v="3074.4"/>
        <n v="371.27"/>
        <n v="663.40000000000009"/>
        <n v="63.45"/>
        <n v="1834.77"/>
        <n v="83.44"/>
        <n v="1750.75"/>
        <n v="604.98"/>
        <n v="42.78"/>
        <n v="252.74"/>
        <n v="303.77999999999997"/>
        <n v="207.13"/>
        <n v="645.46"/>
        <n v="1663.2"/>
        <n v="534.75"/>
        <n v="257.74"/>
        <n v="1058.22"/>
        <n v="16.02"/>
        <n v="756.56"/>
        <n v="1235.3399999999999"/>
        <n v="1031.95"/>
        <n v="1127.0999999999999"/>
        <n v="514.54"/>
        <n v="312.13"/>
        <n v="2783.07"/>
        <n v="803.64"/>
        <n v="805.56"/>
        <n v="1090.44"/>
        <n v="1068.96"/>
        <n v="2731.7"/>
        <n v="1933.05"/>
        <n v="347.75"/>
        <n v="1497.2"/>
        <n v="68.06"/>
        <n v="1135.3499999999999"/>
        <n v="1837.44"/>
        <n v="521.84"/>
        <n v="266.62"/>
        <n v="2537.46"/>
        <n v="1402.65"/>
        <n v="602.70000000000005"/>
        <n v="96.6"/>
        <n v="614.32000000000005"/>
        <n v="156.76"/>
        <n v="904.80000000000007"/>
        <n v="582.4"/>
        <n v="122.8"/>
        <n v="69.52"/>
        <n v="1468.1"/>
        <n v="2322.54"/>
        <n v="1054.1600000000001"/>
        <n v="258.83"/>
        <n v="1922.76"/>
        <n v="2981.79"/>
        <n v="1932"/>
        <n v="607.02"/>
        <n v="94.87"/>
        <n v="589.96"/>
        <n v="1992.24"/>
        <n v="1586.1"/>
        <n v="383.16"/>
        <n v="1537.11"/>
        <n v="597.44000000000005"/>
        <n v="170.62"/>
        <n v="997.30000000000007"/>
        <n v="739.8"/>
        <n v="1079.33"/>
        <n v="310.64999999999998"/>
        <n v="1082.52"/>
        <n v="1013.67"/>
        <n v="467.32000000000011"/>
        <n v="1112.76"/>
        <n v="609.96"/>
        <n v="1231.1099999999999"/>
        <n v="650.5"/>
        <n v="603.40000000000009"/>
        <n v="105.36"/>
        <n v="802.69999999999993"/>
        <n v="1791.86"/>
        <n v="1133.6500000000001"/>
        <n v="866.64"/>
        <n v="910.5"/>
        <n v="823.12"/>
        <n v="25"/>
        <n v="133.69999999999999"/>
        <n v="2397.0100000000002"/>
        <n v="506.1"/>
        <n v="1082.7"/>
        <n v="1053.78"/>
        <n v="1390.86"/>
        <n v="678.88"/>
        <n v="679.30000000000007"/>
        <n v="1272.5999999999999"/>
        <n v="532.91999999999996"/>
        <n v="1087.1099999999999"/>
        <n v="154.19"/>
        <n v="1756.35"/>
        <n v="1697.12"/>
        <n v="812.90000000000009"/>
        <n v="193.26"/>
        <n v="920.6"/>
        <n v="1003.17"/>
        <n v="287.64"/>
        <n v="42.63"/>
        <n v="279.35000000000002"/>
        <n v="2859.21"/>
        <n v="66.39"/>
        <n v="324.74"/>
        <n v="1638"/>
        <n v="468.36"/>
        <n v="671.76"/>
        <n v="145.53"/>
        <n v="1756.58"/>
        <n v="726"/>
        <n v="458.92"/>
        <n v="629.86"/>
        <n v="2993.3"/>
        <n v="807.15000000000009"/>
        <n v="1274.9000000000001"/>
        <n v="1177.98"/>
        <n v="2125.04"/>
        <n v="1987.56"/>
        <n v="570.75"/>
        <n v="315.42"/>
        <n v="1950.4"/>
        <n v="799.2"/>
        <n v="531.65"/>
        <n v="479.1"/>
        <n v="994.14"/>
        <n v="2200.14"/>
        <n v="1061.52"/>
        <n v="188.04"/>
        <n v="754.84"/>
        <n v="1292.8800000000001"/>
        <n v="364.49"/>
        <n v="2273.9499999999998"/>
        <n v="2426.04"/>
        <n v="3329.2"/>
        <n v="714.6"/>
        <n v="231.81"/>
        <n v="1554.6"/>
        <n v="3888"/>
        <n v="2504.0700000000002"/>
        <n v="1479.2"/>
        <n v="87.51"/>
        <n v="1173.18"/>
        <n v="1420.72"/>
        <n v="36.880000000000003"/>
        <n v="101.6"/>
        <n v="836.96"/>
        <n v="222.64"/>
        <n v="559.29999999999995"/>
        <n v="22.6"/>
        <n v="1080.8499999999999"/>
        <n v="720.36"/>
        <n v="287.27999999999997"/>
        <n v="358.12"/>
        <n v="172"/>
        <n v="127.54"/>
        <n v="475.14"/>
        <n v="951.9"/>
        <n v="1148.05"/>
        <n v="1297.08"/>
        <n v="795.72"/>
        <n v="1296.7"/>
        <n v="1252.24"/>
        <n v="1203.51"/>
        <n v="1414.85"/>
        <n v="933.54"/>
        <n v="244.7"/>
        <n v="616.70000000000005"/>
        <n v="195.84"/>
        <n v="889.42000000000007"/>
        <n v="247.17"/>
        <n v="1121.8399999999999"/>
        <n v="414.63"/>
        <n v="332.55"/>
        <n v="2170.42"/>
        <n v="3855.2"/>
        <n v="349.48"/>
        <n v="1017.1"/>
        <n v="110.32"/>
        <n v="2994.1"/>
        <n v="1070.6400000000001"/>
        <n v="373.44"/>
        <n v="2204.37"/>
        <n v="425.24"/>
        <n v="369.95"/>
        <n v="326.14999999999998"/>
        <n v="1230.1099999999999"/>
        <n v="1485.48"/>
        <n v="239.5"/>
        <n v="1311.5"/>
        <n v="296.10000000000002"/>
        <n v="163.4"/>
        <n v="118.11"/>
        <n v="1338.52"/>
        <n v="375"/>
        <n v="889.84"/>
        <n v="461.5"/>
        <n v="257.81"/>
        <n v="1717.52"/>
        <n v="826.19999999999993"/>
        <n v="424.56"/>
        <n v="257.32"/>
        <n v="2285.46"/>
        <n v="1431.12"/>
        <n v="143.52000000000001"/>
        <n v="3402.63"/>
        <n v="2006"/>
        <n v="3406.23"/>
        <n v="2347.02"/>
        <n v="1805.05"/>
        <n v="120.82"/>
        <n v="418.98"/>
        <n v="122.07"/>
        <n v="149"/>
        <n v="547.66"/>
        <n v="830.3"/>
        <n v="981.44999999999993"/>
        <n v="2409.96"/>
        <n v="1482.7"/>
        <n v="721.46"/>
        <n v="168.42"/>
        <n v="453.04"/>
        <n v="655.26"/>
        <n v="539.54999999999995"/>
        <n v="3856.1"/>
        <n v="237.23"/>
        <n v="423.12"/>
        <n v="1808.3"/>
        <n v="3224.43"/>
        <n v="1172.8800000000001"/>
        <n v="1823.88"/>
        <n v="1464.12"/>
        <n v="80"/>
        <n v="2384.62"/>
        <n v="1625.88"/>
        <n v="699.9"/>
        <n v="970.19999999999993"/>
        <n v="399.51"/>
        <n v="908.25"/>
        <n v="172.14"/>
        <n v="1121.04"/>
        <n v="1615.88"/>
        <n v="306.18"/>
        <n v="398.76"/>
        <n v="2353.6799999999998"/>
        <n v="308.67"/>
        <n v="669.99"/>
        <n v="799.5"/>
        <n v="1185.0999999999999"/>
        <n v="287.82"/>
        <n v="3914.2"/>
        <n v="130.04"/>
        <n v="112.08"/>
        <n v="2955.3"/>
        <n v="305.05"/>
        <n v="714.4"/>
        <n v="249.2"/>
        <n v="360"/>
        <n v="318.2"/>
        <n v="67.679999999999993"/>
        <n v="12.42"/>
        <n v="1144.57"/>
        <n v="411.84"/>
        <n v="733.52"/>
        <n v="363.33"/>
        <n v="601.37"/>
        <n v="250.45"/>
        <n v="323.04000000000002"/>
        <n v="139.19999999999999"/>
        <n v="556.14"/>
        <n v="1338.12"/>
        <n v="480.1"/>
        <n v="1496.61"/>
        <n v="1624.38"/>
        <n v="208.24"/>
        <n v="632.88"/>
        <n v="1815.55"/>
        <n v="554.02"/>
        <n v="1937.7"/>
        <n v="648.88"/>
        <n v="613.83000000000004"/>
        <n v="1227"/>
        <n v="436.38"/>
        <n v="1047.1199999999999"/>
        <n v="571.28"/>
        <n v="194.34"/>
        <n v="753.24"/>
        <n v="48.16"/>
        <n v="2996.1"/>
        <n v="743.46"/>
        <n v="305.52"/>
        <n v="1242.18"/>
        <n v="1696.45"/>
        <n v="297.64999999999998"/>
        <n v="343.54"/>
        <n v="152.49"/>
      </sharedItems>
    </cacheField>
    <cacheField name="Months (Date)" numFmtId="0" databaseField="0">
      <fieldGroup base="0">
        <rangePr groupBy="months" startDate="2023-01-01T00:00:00" endDate="2025-07-01T00:00:00"/>
        <groupItems count="14">
          <s v="&lt;01-01-2023"/>
          <s v="Jan"/>
          <s v="Feb"/>
          <s v="Mar"/>
          <s v="Apr"/>
          <s v="May"/>
          <s v="Jun"/>
          <s v="Jul"/>
          <s v="Aug"/>
          <s v="Sep"/>
          <s v="Oct"/>
          <s v="Nov"/>
          <s v="Dec"/>
          <s v="&gt;01-07-2025"/>
        </groupItems>
      </fieldGroup>
    </cacheField>
    <cacheField name="Years (Date)" numFmtId="0" databaseField="0">
      <fieldGroup base="0">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pivotCacheId="16683904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s v="15:29"/>
    <s v="S3"/>
    <x v="0"/>
    <x v="0"/>
    <x v="0"/>
    <x v="0"/>
    <x v="0"/>
    <s v="TX300000"/>
    <s v="C1"/>
    <x v="0"/>
    <s v="Afternoon"/>
    <s v="Saturday"/>
    <x v="0"/>
  </r>
  <r>
    <x v="1"/>
    <s v="16:53"/>
    <s v="S1"/>
    <x v="1"/>
    <x v="1"/>
    <x v="1"/>
    <x v="1"/>
    <x v="1"/>
    <s v="TX300001"/>
    <s v="C5"/>
    <x v="1"/>
    <s v="Afternoon"/>
    <s v="Thursday"/>
    <x v="1"/>
  </r>
  <r>
    <x v="2"/>
    <s v="21:22"/>
    <s v="S9"/>
    <x v="1"/>
    <x v="2"/>
    <x v="1"/>
    <x v="2"/>
    <x v="2"/>
    <s v="TX300002"/>
    <s v="C3"/>
    <x v="1"/>
    <s v="Evening"/>
    <s v="Friday"/>
    <x v="2"/>
  </r>
  <r>
    <x v="3"/>
    <s v="14:28"/>
    <s v="S9"/>
    <x v="0"/>
    <x v="3"/>
    <x v="2"/>
    <x v="3"/>
    <x v="1"/>
    <s v="TX300003"/>
    <s v="C2"/>
    <x v="2"/>
    <s v="Afternoon"/>
    <s v="Saturday"/>
    <x v="3"/>
  </r>
  <r>
    <x v="4"/>
    <s v="20:00"/>
    <s v="S9"/>
    <x v="2"/>
    <x v="3"/>
    <x v="3"/>
    <x v="4"/>
    <x v="0"/>
    <s v="TX300004"/>
    <s v="C1"/>
    <x v="0"/>
    <s v="Evening"/>
    <s v="Monday"/>
    <x v="4"/>
  </r>
  <r>
    <x v="5"/>
    <s v="21:51"/>
    <s v="S4"/>
    <x v="1"/>
    <x v="4"/>
    <x v="2"/>
    <x v="5"/>
    <x v="3"/>
    <s v="TX300005"/>
    <s v="C5"/>
    <x v="2"/>
    <s v="Evening"/>
    <s v="Thursday"/>
    <x v="5"/>
  </r>
  <r>
    <x v="6"/>
    <s v="9:11"/>
    <s v="S6"/>
    <x v="2"/>
    <x v="3"/>
    <x v="1"/>
    <x v="6"/>
    <x v="2"/>
    <s v="TX300006"/>
    <s v="C4"/>
    <x v="3"/>
    <s v="Morning"/>
    <s v="Sunday"/>
    <x v="6"/>
  </r>
  <r>
    <x v="7"/>
    <s v="20:36"/>
    <s v="S5"/>
    <x v="1"/>
    <x v="5"/>
    <x v="4"/>
    <x v="7"/>
    <x v="3"/>
    <s v="TX300007"/>
    <s v="C3"/>
    <x v="2"/>
    <s v="Evening"/>
    <s v="Sunday"/>
    <x v="7"/>
  </r>
  <r>
    <x v="8"/>
    <s v="16:42"/>
    <s v="S4"/>
    <x v="2"/>
    <x v="6"/>
    <x v="5"/>
    <x v="8"/>
    <x v="4"/>
    <s v="TX300008"/>
    <s v="C5"/>
    <x v="2"/>
    <s v="Afternoon"/>
    <s v="Friday"/>
    <x v="8"/>
  </r>
  <r>
    <x v="9"/>
    <s v="19:44"/>
    <s v="S5"/>
    <x v="0"/>
    <x v="5"/>
    <x v="6"/>
    <x v="9"/>
    <x v="1"/>
    <s v="TX300009"/>
    <s v="C2"/>
    <x v="0"/>
    <s v="Evening"/>
    <s v="Friday"/>
    <x v="9"/>
  </r>
  <r>
    <x v="10"/>
    <s v="20:29"/>
    <s v="S7"/>
    <x v="3"/>
    <x v="3"/>
    <x v="7"/>
    <x v="10"/>
    <x v="1"/>
    <s v="TX300010"/>
    <s v="C1"/>
    <x v="1"/>
    <s v="Evening"/>
    <s v="Wednesday"/>
    <x v="10"/>
  </r>
  <r>
    <x v="11"/>
    <s v="12:03"/>
    <s v="S8"/>
    <x v="0"/>
    <x v="4"/>
    <x v="4"/>
    <x v="11"/>
    <x v="1"/>
    <s v="TX300011"/>
    <s v="C1"/>
    <x v="3"/>
    <s v="Afternoon"/>
    <s v="Friday"/>
    <x v="11"/>
  </r>
  <r>
    <x v="12"/>
    <s v="21:08"/>
    <s v="S5"/>
    <x v="1"/>
    <x v="6"/>
    <x v="7"/>
    <x v="12"/>
    <x v="0"/>
    <s v="TX300012"/>
    <s v="C4"/>
    <x v="3"/>
    <s v="Evening"/>
    <s v="Friday"/>
    <x v="12"/>
  </r>
  <r>
    <x v="13"/>
    <s v="15:41"/>
    <s v="S1"/>
    <x v="0"/>
    <x v="2"/>
    <x v="3"/>
    <x v="13"/>
    <x v="2"/>
    <s v="TX300013"/>
    <s v="C1"/>
    <x v="1"/>
    <s v="Afternoon"/>
    <s v="Tuesday"/>
    <x v="13"/>
  </r>
  <r>
    <x v="14"/>
    <s v="9:32"/>
    <s v="S3"/>
    <x v="2"/>
    <x v="3"/>
    <x v="5"/>
    <x v="14"/>
    <x v="4"/>
    <s v="TX300014"/>
    <s v="C3"/>
    <x v="3"/>
    <s v="Morning"/>
    <s v="Friday"/>
    <x v="14"/>
  </r>
  <r>
    <x v="15"/>
    <s v="20:21"/>
    <s v="S7"/>
    <x v="3"/>
    <x v="1"/>
    <x v="6"/>
    <x v="15"/>
    <x v="2"/>
    <s v="TX300015"/>
    <s v="C4"/>
    <x v="1"/>
    <s v="Evening"/>
    <s v="Thursday"/>
    <x v="15"/>
  </r>
  <r>
    <x v="16"/>
    <s v="11:12"/>
    <s v="S2"/>
    <x v="3"/>
    <x v="5"/>
    <x v="0"/>
    <x v="16"/>
    <x v="2"/>
    <s v="TX300016"/>
    <s v="C3"/>
    <x v="1"/>
    <s v="Morning"/>
    <s v="Sunday"/>
    <x v="16"/>
  </r>
  <r>
    <x v="17"/>
    <s v="18:59"/>
    <s v="S2"/>
    <x v="1"/>
    <x v="0"/>
    <x v="0"/>
    <x v="17"/>
    <x v="4"/>
    <s v="TX300017"/>
    <s v="C4"/>
    <x v="3"/>
    <s v="Evening"/>
    <s v="Saturday"/>
    <x v="17"/>
  </r>
  <r>
    <x v="18"/>
    <s v="14:49"/>
    <s v="S5"/>
    <x v="3"/>
    <x v="4"/>
    <x v="0"/>
    <x v="18"/>
    <x v="4"/>
    <s v="TX300018"/>
    <s v="C4"/>
    <x v="1"/>
    <s v="Afternoon"/>
    <s v="Friday"/>
    <x v="18"/>
  </r>
  <r>
    <x v="19"/>
    <s v="17:49"/>
    <s v="S8"/>
    <x v="2"/>
    <x v="4"/>
    <x v="0"/>
    <x v="19"/>
    <x v="2"/>
    <s v="TX300019"/>
    <s v="C5"/>
    <x v="2"/>
    <s v="Evening"/>
    <s v="Wednesday"/>
    <x v="19"/>
  </r>
  <r>
    <x v="20"/>
    <s v="10:32"/>
    <s v="S5"/>
    <x v="3"/>
    <x v="1"/>
    <x v="2"/>
    <x v="20"/>
    <x v="3"/>
    <s v="TX300020"/>
    <s v="C4"/>
    <x v="0"/>
    <s v="Morning"/>
    <s v="Monday"/>
    <x v="20"/>
  </r>
  <r>
    <x v="21"/>
    <s v="14:34"/>
    <s v="S10"/>
    <x v="2"/>
    <x v="3"/>
    <x v="7"/>
    <x v="21"/>
    <x v="0"/>
    <s v="TX300021"/>
    <s v="C2"/>
    <x v="3"/>
    <s v="Afternoon"/>
    <s v="Sunday"/>
    <x v="21"/>
  </r>
  <r>
    <x v="22"/>
    <s v="21:07"/>
    <s v="S9"/>
    <x v="0"/>
    <x v="1"/>
    <x v="5"/>
    <x v="22"/>
    <x v="1"/>
    <s v="TX300022"/>
    <s v="C2"/>
    <x v="1"/>
    <s v="Evening"/>
    <s v="Monday"/>
    <x v="22"/>
  </r>
  <r>
    <x v="23"/>
    <s v="20:43"/>
    <s v="S1"/>
    <x v="0"/>
    <x v="6"/>
    <x v="6"/>
    <x v="23"/>
    <x v="1"/>
    <s v="TX300023"/>
    <s v="C5"/>
    <x v="3"/>
    <s v="Evening"/>
    <s v="Friday"/>
    <x v="23"/>
  </r>
  <r>
    <x v="24"/>
    <s v="10:59"/>
    <s v="S7"/>
    <x v="2"/>
    <x v="1"/>
    <x v="6"/>
    <x v="24"/>
    <x v="3"/>
    <s v="TX300024"/>
    <s v="C2"/>
    <x v="3"/>
    <s v="Morning"/>
    <s v="Tuesday"/>
    <x v="24"/>
  </r>
  <r>
    <x v="25"/>
    <s v="20:14"/>
    <s v="S6"/>
    <x v="0"/>
    <x v="2"/>
    <x v="1"/>
    <x v="25"/>
    <x v="1"/>
    <s v="TX300025"/>
    <s v="C3"/>
    <x v="0"/>
    <s v="Evening"/>
    <s v="Tuesday"/>
    <x v="25"/>
  </r>
  <r>
    <x v="26"/>
    <s v="20:54"/>
    <s v="S2"/>
    <x v="1"/>
    <x v="2"/>
    <x v="4"/>
    <x v="26"/>
    <x v="1"/>
    <s v="TX300026"/>
    <s v="C3"/>
    <x v="3"/>
    <s v="Evening"/>
    <s v="Monday"/>
    <x v="26"/>
  </r>
  <r>
    <x v="27"/>
    <s v="17:17"/>
    <s v="S7"/>
    <x v="3"/>
    <x v="1"/>
    <x v="0"/>
    <x v="27"/>
    <x v="2"/>
    <s v="TX300027"/>
    <s v="C1"/>
    <x v="2"/>
    <s v="Evening"/>
    <s v="Monday"/>
    <x v="27"/>
  </r>
  <r>
    <x v="28"/>
    <s v="21:29"/>
    <s v="S3"/>
    <x v="1"/>
    <x v="5"/>
    <x v="8"/>
    <x v="28"/>
    <x v="3"/>
    <s v="TX300028"/>
    <s v="C1"/>
    <x v="3"/>
    <s v="Evening"/>
    <s v="Thursday"/>
    <x v="28"/>
  </r>
  <r>
    <x v="13"/>
    <s v="15:13"/>
    <s v="S7"/>
    <x v="1"/>
    <x v="2"/>
    <x v="6"/>
    <x v="29"/>
    <x v="0"/>
    <s v="TX300029"/>
    <s v="C2"/>
    <x v="1"/>
    <s v="Afternoon"/>
    <s v="Tuesday"/>
    <x v="29"/>
  </r>
  <r>
    <x v="29"/>
    <s v="9:43"/>
    <s v="S2"/>
    <x v="1"/>
    <x v="6"/>
    <x v="8"/>
    <x v="30"/>
    <x v="0"/>
    <s v="TX300030"/>
    <s v="C3"/>
    <x v="1"/>
    <s v="Morning"/>
    <s v="Thursday"/>
    <x v="30"/>
  </r>
  <r>
    <x v="30"/>
    <s v="15:22"/>
    <s v="S2"/>
    <x v="2"/>
    <x v="5"/>
    <x v="5"/>
    <x v="31"/>
    <x v="4"/>
    <s v="TX300031"/>
    <s v="C5"/>
    <x v="0"/>
    <s v="Afternoon"/>
    <s v="Wednesday"/>
    <x v="31"/>
  </r>
  <r>
    <x v="31"/>
    <s v="20:27"/>
    <s v="S4"/>
    <x v="1"/>
    <x v="6"/>
    <x v="5"/>
    <x v="32"/>
    <x v="2"/>
    <s v="TX300032"/>
    <s v="C1"/>
    <x v="3"/>
    <s v="Evening"/>
    <s v="Friday"/>
    <x v="32"/>
  </r>
  <r>
    <x v="32"/>
    <s v="11:21"/>
    <s v="S5"/>
    <x v="2"/>
    <x v="1"/>
    <x v="2"/>
    <x v="33"/>
    <x v="0"/>
    <s v="TX300033"/>
    <s v="C1"/>
    <x v="1"/>
    <s v="Morning"/>
    <s v="Tuesday"/>
    <x v="33"/>
  </r>
  <r>
    <x v="29"/>
    <s v="20:03"/>
    <s v="S9"/>
    <x v="2"/>
    <x v="5"/>
    <x v="0"/>
    <x v="34"/>
    <x v="2"/>
    <s v="TX300034"/>
    <s v="C2"/>
    <x v="0"/>
    <s v="Evening"/>
    <s v="Thursday"/>
    <x v="34"/>
  </r>
  <r>
    <x v="33"/>
    <s v="16:46"/>
    <s v="S7"/>
    <x v="3"/>
    <x v="3"/>
    <x v="7"/>
    <x v="35"/>
    <x v="2"/>
    <s v="TX300035"/>
    <s v="C2"/>
    <x v="1"/>
    <s v="Afternoon"/>
    <s v="Friday"/>
    <x v="35"/>
  </r>
  <r>
    <x v="34"/>
    <s v="13:50"/>
    <s v="S5"/>
    <x v="2"/>
    <x v="6"/>
    <x v="0"/>
    <x v="36"/>
    <x v="0"/>
    <s v="TX300036"/>
    <s v="C3"/>
    <x v="1"/>
    <s v="Afternoon"/>
    <s v="Tuesday"/>
    <x v="36"/>
  </r>
  <r>
    <x v="35"/>
    <s v="19:25"/>
    <s v="S2"/>
    <x v="2"/>
    <x v="0"/>
    <x v="1"/>
    <x v="37"/>
    <x v="0"/>
    <s v="TX300037"/>
    <s v="C5"/>
    <x v="1"/>
    <s v="Evening"/>
    <s v="Sunday"/>
    <x v="37"/>
  </r>
  <r>
    <x v="36"/>
    <s v="20:39"/>
    <s v="S4"/>
    <x v="0"/>
    <x v="4"/>
    <x v="9"/>
    <x v="38"/>
    <x v="2"/>
    <s v="TX300038"/>
    <s v="C3"/>
    <x v="0"/>
    <s v="Evening"/>
    <s v="Thursday"/>
    <x v="38"/>
  </r>
  <r>
    <x v="37"/>
    <s v="13:50"/>
    <s v="S7"/>
    <x v="1"/>
    <x v="2"/>
    <x v="5"/>
    <x v="39"/>
    <x v="0"/>
    <s v="TX300039"/>
    <s v="C5"/>
    <x v="1"/>
    <s v="Afternoon"/>
    <s v="Friday"/>
    <x v="39"/>
  </r>
  <r>
    <x v="38"/>
    <s v="21:33"/>
    <s v="S4"/>
    <x v="0"/>
    <x v="2"/>
    <x v="4"/>
    <x v="40"/>
    <x v="1"/>
    <s v="TX300040"/>
    <s v="C2"/>
    <x v="0"/>
    <s v="Evening"/>
    <s v="Saturday"/>
    <x v="40"/>
  </r>
  <r>
    <x v="39"/>
    <s v="15:39"/>
    <s v="S8"/>
    <x v="3"/>
    <x v="1"/>
    <x v="6"/>
    <x v="41"/>
    <x v="3"/>
    <s v="TX300041"/>
    <s v="C5"/>
    <x v="3"/>
    <s v="Afternoon"/>
    <s v="Thursday"/>
    <x v="41"/>
  </r>
  <r>
    <x v="40"/>
    <s v="17:10"/>
    <s v="S9"/>
    <x v="1"/>
    <x v="2"/>
    <x v="9"/>
    <x v="42"/>
    <x v="4"/>
    <s v="TX300042"/>
    <s v="C4"/>
    <x v="2"/>
    <s v="Evening"/>
    <s v="Friday"/>
    <x v="42"/>
  </r>
  <r>
    <x v="41"/>
    <s v="14:08"/>
    <s v="S2"/>
    <x v="0"/>
    <x v="1"/>
    <x v="4"/>
    <x v="43"/>
    <x v="3"/>
    <s v="TX300043"/>
    <s v="C4"/>
    <x v="2"/>
    <s v="Afternoon"/>
    <s v="Sunday"/>
    <x v="43"/>
  </r>
  <r>
    <x v="42"/>
    <s v="16:33"/>
    <s v="S10"/>
    <x v="2"/>
    <x v="6"/>
    <x v="3"/>
    <x v="44"/>
    <x v="0"/>
    <s v="TX300044"/>
    <s v="C1"/>
    <x v="3"/>
    <s v="Afternoon"/>
    <s v="Wednesday"/>
    <x v="44"/>
  </r>
  <r>
    <x v="43"/>
    <s v="18:22"/>
    <s v="S6"/>
    <x v="0"/>
    <x v="5"/>
    <x v="2"/>
    <x v="45"/>
    <x v="0"/>
    <s v="TX300045"/>
    <s v="C1"/>
    <x v="3"/>
    <s v="Evening"/>
    <s v="Friday"/>
    <x v="45"/>
  </r>
  <r>
    <x v="44"/>
    <s v="17:54"/>
    <s v="S2"/>
    <x v="0"/>
    <x v="0"/>
    <x v="0"/>
    <x v="46"/>
    <x v="1"/>
    <s v="TX300046"/>
    <s v="C5"/>
    <x v="2"/>
    <s v="Evening"/>
    <s v="Monday"/>
    <x v="46"/>
  </r>
  <r>
    <x v="45"/>
    <s v="10:08"/>
    <s v="S9"/>
    <x v="2"/>
    <x v="6"/>
    <x v="9"/>
    <x v="47"/>
    <x v="1"/>
    <s v="TX300047"/>
    <s v="C4"/>
    <x v="2"/>
    <s v="Morning"/>
    <s v="Tuesday"/>
    <x v="47"/>
  </r>
  <r>
    <x v="46"/>
    <s v="19:51"/>
    <s v="S4"/>
    <x v="3"/>
    <x v="1"/>
    <x v="3"/>
    <x v="48"/>
    <x v="3"/>
    <s v="TX300048"/>
    <s v="C4"/>
    <x v="1"/>
    <s v="Evening"/>
    <s v="Friday"/>
    <x v="48"/>
  </r>
  <r>
    <x v="47"/>
    <s v="17:52"/>
    <s v="S5"/>
    <x v="3"/>
    <x v="1"/>
    <x v="0"/>
    <x v="49"/>
    <x v="4"/>
    <s v="TX300049"/>
    <s v="C2"/>
    <x v="3"/>
    <s v="Evening"/>
    <s v="Monday"/>
    <x v="49"/>
  </r>
  <r>
    <x v="48"/>
    <s v="14:18"/>
    <s v="S1"/>
    <x v="0"/>
    <x v="1"/>
    <x v="4"/>
    <x v="50"/>
    <x v="3"/>
    <s v="TX300050"/>
    <s v="C5"/>
    <x v="0"/>
    <s v="Afternoon"/>
    <s v="Friday"/>
    <x v="50"/>
  </r>
  <r>
    <x v="49"/>
    <s v="16:36"/>
    <s v="S4"/>
    <x v="1"/>
    <x v="5"/>
    <x v="1"/>
    <x v="51"/>
    <x v="2"/>
    <s v="TX300051"/>
    <s v="C4"/>
    <x v="0"/>
    <s v="Afternoon"/>
    <s v="Wednesday"/>
    <x v="51"/>
  </r>
  <r>
    <x v="50"/>
    <s v="12:28"/>
    <s v="S1"/>
    <x v="1"/>
    <x v="6"/>
    <x v="0"/>
    <x v="52"/>
    <x v="0"/>
    <s v="TX300052"/>
    <s v="C1"/>
    <x v="0"/>
    <s v="Afternoon"/>
    <s v="Monday"/>
    <x v="52"/>
  </r>
  <r>
    <x v="51"/>
    <s v="21:50"/>
    <s v="S9"/>
    <x v="3"/>
    <x v="4"/>
    <x v="9"/>
    <x v="53"/>
    <x v="0"/>
    <s v="TX300053"/>
    <s v="C1"/>
    <x v="1"/>
    <s v="Evening"/>
    <s v="Wednesday"/>
    <x v="53"/>
  </r>
  <r>
    <x v="52"/>
    <s v="17:17"/>
    <s v="S5"/>
    <x v="3"/>
    <x v="6"/>
    <x v="0"/>
    <x v="54"/>
    <x v="2"/>
    <s v="TX300054"/>
    <s v="C2"/>
    <x v="0"/>
    <s v="Evening"/>
    <s v="Saturday"/>
    <x v="54"/>
  </r>
  <r>
    <x v="53"/>
    <s v="12:52"/>
    <s v="S8"/>
    <x v="1"/>
    <x v="2"/>
    <x v="2"/>
    <x v="55"/>
    <x v="4"/>
    <s v="TX300055"/>
    <s v="C1"/>
    <x v="2"/>
    <s v="Afternoon"/>
    <s v="Monday"/>
    <x v="55"/>
  </r>
  <r>
    <x v="54"/>
    <s v="19:58"/>
    <s v="S10"/>
    <x v="3"/>
    <x v="5"/>
    <x v="5"/>
    <x v="56"/>
    <x v="0"/>
    <s v="TX300056"/>
    <s v="C5"/>
    <x v="0"/>
    <s v="Evening"/>
    <s v="Saturday"/>
    <x v="56"/>
  </r>
  <r>
    <x v="55"/>
    <s v="19:25"/>
    <s v="S10"/>
    <x v="2"/>
    <x v="4"/>
    <x v="8"/>
    <x v="57"/>
    <x v="1"/>
    <s v="TX300057"/>
    <s v="C1"/>
    <x v="3"/>
    <s v="Evening"/>
    <s v="Saturday"/>
    <x v="57"/>
  </r>
  <r>
    <x v="56"/>
    <s v="21:31"/>
    <s v="S7"/>
    <x v="3"/>
    <x v="6"/>
    <x v="2"/>
    <x v="58"/>
    <x v="2"/>
    <s v="TX300058"/>
    <s v="C4"/>
    <x v="0"/>
    <s v="Evening"/>
    <s v="Monday"/>
    <x v="58"/>
  </r>
  <r>
    <x v="57"/>
    <s v="14:20"/>
    <s v="S10"/>
    <x v="3"/>
    <x v="5"/>
    <x v="8"/>
    <x v="59"/>
    <x v="2"/>
    <s v="TX300059"/>
    <s v="C5"/>
    <x v="0"/>
    <s v="Afternoon"/>
    <s v="Thursday"/>
    <x v="59"/>
  </r>
  <r>
    <x v="58"/>
    <s v="13:09"/>
    <s v="S10"/>
    <x v="3"/>
    <x v="0"/>
    <x v="7"/>
    <x v="60"/>
    <x v="2"/>
    <s v="TX300060"/>
    <s v="C5"/>
    <x v="2"/>
    <s v="Afternoon"/>
    <s v="Tuesday"/>
    <x v="60"/>
  </r>
  <r>
    <x v="59"/>
    <s v="19:38"/>
    <s v="S3"/>
    <x v="3"/>
    <x v="4"/>
    <x v="2"/>
    <x v="61"/>
    <x v="0"/>
    <s v="TX300061"/>
    <s v="C4"/>
    <x v="1"/>
    <s v="Evening"/>
    <s v="Sunday"/>
    <x v="61"/>
  </r>
  <r>
    <x v="60"/>
    <s v="17:44"/>
    <s v="S8"/>
    <x v="0"/>
    <x v="1"/>
    <x v="4"/>
    <x v="62"/>
    <x v="3"/>
    <s v="TX300062"/>
    <s v="C1"/>
    <x v="1"/>
    <s v="Evening"/>
    <s v="Wednesday"/>
    <x v="62"/>
  </r>
  <r>
    <x v="51"/>
    <s v="14:37"/>
    <s v="S9"/>
    <x v="0"/>
    <x v="2"/>
    <x v="2"/>
    <x v="63"/>
    <x v="4"/>
    <s v="TX300063"/>
    <s v="C4"/>
    <x v="2"/>
    <s v="Afternoon"/>
    <s v="Wednesday"/>
    <x v="63"/>
  </r>
  <r>
    <x v="61"/>
    <s v="17:05"/>
    <s v="S6"/>
    <x v="0"/>
    <x v="2"/>
    <x v="6"/>
    <x v="64"/>
    <x v="1"/>
    <s v="TX300064"/>
    <s v="C4"/>
    <x v="2"/>
    <s v="Evening"/>
    <s v="Wednesday"/>
    <x v="64"/>
  </r>
  <r>
    <x v="62"/>
    <s v="18:57"/>
    <s v="S7"/>
    <x v="0"/>
    <x v="1"/>
    <x v="3"/>
    <x v="65"/>
    <x v="3"/>
    <s v="TX300065"/>
    <s v="C2"/>
    <x v="0"/>
    <s v="Evening"/>
    <s v="Thursday"/>
    <x v="65"/>
  </r>
  <r>
    <x v="63"/>
    <s v="15:30"/>
    <s v="S1"/>
    <x v="0"/>
    <x v="6"/>
    <x v="3"/>
    <x v="66"/>
    <x v="2"/>
    <s v="TX300066"/>
    <s v="C1"/>
    <x v="3"/>
    <s v="Afternoon"/>
    <s v="Tuesday"/>
    <x v="66"/>
  </r>
  <r>
    <x v="64"/>
    <s v="20:56"/>
    <s v="S1"/>
    <x v="1"/>
    <x v="4"/>
    <x v="7"/>
    <x v="67"/>
    <x v="0"/>
    <s v="TX300067"/>
    <s v="C2"/>
    <x v="0"/>
    <s v="Evening"/>
    <s v="Monday"/>
    <x v="67"/>
  </r>
  <r>
    <x v="1"/>
    <s v="11:33"/>
    <s v="S6"/>
    <x v="3"/>
    <x v="0"/>
    <x v="9"/>
    <x v="68"/>
    <x v="2"/>
    <s v="TX300068"/>
    <s v="C2"/>
    <x v="1"/>
    <s v="Morning"/>
    <s v="Thursday"/>
    <x v="68"/>
  </r>
  <r>
    <x v="65"/>
    <s v="19:04"/>
    <s v="S5"/>
    <x v="0"/>
    <x v="6"/>
    <x v="5"/>
    <x v="69"/>
    <x v="0"/>
    <s v="TX300069"/>
    <s v="C2"/>
    <x v="2"/>
    <s v="Evening"/>
    <s v="Tuesday"/>
    <x v="69"/>
  </r>
  <r>
    <x v="66"/>
    <s v="9:49"/>
    <s v="S8"/>
    <x v="0"/>
    <x v="4"/>
    <x v="7"/>
    <x v="70"/>
    <x v="2"/>
    <s v="TX300070"/>
    <s v="C5"/>
    <x v="1"/>
    <s v="Morning"/>
    <s v="Thursday"/>
    <x v="70"/>
  </r>
  <r>
    <x v="67"/>
    <s v="21:12"/>
    <s v="S9"/>
    <x v="0"/>
    <x v="6"/>
    <x v="6"/>
    <x v="71"/>
    <x v="2"/>
    <s v="TX300071"/>
    <s v="C2"/>
    <x v="0"/>
    <s v="Evening"/>
    <s v="Tuesday"/>
    <x v="71"/>
  </r>
  <r>
    <x v="68"/>
    <s v="14:06"/>
    <s v="S5"/>
    <x v="3"/>
    <x v="5"/>
    <x v="4"/>
    <x v="72"/>
    <x v="3"/>
    <s v="TX300072"/>
    <s v="C4"/>
    <x v="2"/>
    <s v="Afternoon"/>
    <s v="Monday"/>
    <x v="72"/>
  </r>
  <r>
    <x v="69"/>
    <s v="13:52"/>
    <s v="S8"/>
    <x v="3"/>
    <x v="6"/>
    <x v="1"/>
    <x v="73"/>
    <x v="4"/>
    <s v="TX300073"/>
    <s v="C5"/>
    <x v="3"/>
    <s v="Afternoon"/>
    <s v="Sunday"/>
    <x v="73"/>
  </r>
  <r>
    <x v="70"/>
    <s v="21:36"/>
    <s v="S5"/>
    <x v="3"/>
    <x v="3"/>
    <x v="8"/>
    <x v="74"/>
    <x v="1"/>
    <s v="TX300074"/>
    <s v="C2"/>
    <x v="0"/>
    <s v="Evening"/>
    <s v="Saturday"/>
    <x v="74"/>
  </r>
  <r>
    <x v="71"/>
    <s v="18:40"/>
    <s v="S6"/>
    <x v="3"/>
    <x v="0"/>
    <x v="2"/>
    <x v="75"/>
    <x v="4"/>
    <s v="TX300075"/>
    <s v="C4"/>
    <x v="2"/>
    <s v="Evening"/>
    <s v="Wednesday"/>
    <x v="75"/>
  </r>
  <r>
    <x v="72"/>
    <s v="11:15"/>
    <s v="S2"/>
    <x v="3"/>
    <x v="1"/>
    <x v="2"/>
    <x v="76"/>
    <x v="2"/>
    <s v="TX300076"/>
    <s v="C4"/>
    <x v="2"/>
    <s v="Morning"/>
    <s v="Thursday"/>
    <x v="76"/>
  </r>
  <r>
    <x v="13"/>
    <s v="13:49"/>
    <s v="S9"/>
    <x v="3"/>
    <x v="2"/>
    <x v="9"/>
    <x v="77"/>
    <x v="4"/>
    <s v="TX300077"/>
    <s v="C3"/>
    <x v="1"/>
    <s v="Afternoon"/>
    <s v="Tuesday"/>
    <x v="77"/>
  </r>
  <r>
    <x v="73"/>
    <s v="10:19"/>
    <s v="S1"/>
    <x v="0"/>
    <x v="3"/>
    <x v="0"/>
    <x v="78"/>
    <x v="0"/>
    <s v="TX300078"/>
    <s v="C4"/>
    <x v="0"/>
    <s v="Morning"/>
    <s v="Tuesday"/>
    <x v="78"/>
  </r>
  <r>
    <x v="13"/>
    <s v="17:07"/>
    <s v="S9"/>
    <x v="0"/>
    <x v="5"/>
    <x v="9"/>
    <x v="79"/>
    <x v="4"/>
    <s v="TX300079"/>
    <s v="C1"/>
    <x v="0"/>
    <s v="Evening"/>
    <s v="Tuesday"/>
    <x v="79"/>
  </r>
  <r>
    <x v="74"/>
    <s v="19:03"/>
    <s v="S7"/>
    <x v="0"/>
    <x v="6"/>
    <x v="1"/>
    <x v="80"/>
    <x v="3"/>
    <s v="TX300080"/>
    <s v="C5"/>
    <x v="1"/>
    <s v="Evening"/>
    <s v="Saturday"/>
    <x v="80"/>
  </r>
  <r>
    <x v="75"/>
    <s v="19:26"/>
    <s v="S4"/>
    <x v="3"/>
    <x v="3"/>
    <x v="2"/>
    <x v="81"/>
    <x v="3"/>
    <s v="TX300081"/>
    <s v="C2"/>
    <x v="3"/>
    <s v="Evening"/>
    <s v="Friday"/>
    <x v="81"/>
  </r>
  <r>
    <x v="4"/>
    <s v="16:34"/>
    <s v="S8"/>
    <x v="0"/>
    <x v="1"/>
    <x v="6"/>
    <x v="82"/>
    <x v="4"/>
    <s v="TX300082"/>
    <s v="C5"/>
    <x v="2"/>
    <s v="Afternoon"/>
    <s v="Monday"/>
    <x v="82"/>
  </r>
  <r>
    <x v="76"/>
    <s v="14:34"/>
    <s v="S2"/>
    <x v="0"/>
    <x v="4"/>
    <x v="8"/>
    <x v="83"/>
    <x v="2"/>
    <s v="TX300083"/>
    <s v="C3"/>
    <x v="1"/>
    <s v="Afternoon"/>
    <s v="Thursday"/>
    <x v="83"/>
  </r>
  <r>
    <x v="77"/>
    <s v="11:07"/>
    <s v="S10"/>
    <x v="1"/>
    <x v="5"/>
    <x v="4"/>
    <x v="84"/>
    <x v="0"/>
    <s v="TX300084"/>
    <s v="C4"/>
    <x v="1"/>
    <s v="Morning"/>
    <s v="Tuesday"/>
    <x v="84"/>
  </r>
  <r>
    <x v="78"/>
    <s v="9:07"/>
    <s v="S4"/>
    <x v="2"/>
    <x v="6"/>
    <x v="5"/>
    <x v="85"/>
    <x v="0"/>
    <s v="TX300085"/>
    <s v="C5"/>
    <x v="0"/>
    <s v="Morning"/>
    <s v="Saturday"/>
    <x v="85"/>
  </r>
  <r>
    <x v="79"/>
    <s v="11:16"/>
    <s v="S10"/>
    <x v="0"/>
    <x v="2"/>
    <x v="9"/>
    <x v="86"/>
    <x v="1"/>
    <s v="TX300086"/>
    <s v="C3"/>
    <x v="1"/>
    <s v="Morning"/>
    <s v="Friday"/>
    <x v="86"/>
  </r>
  <r>
    <x v="80"/>
    <s v="17:27"/>
    <s v="S2"/>
    <x v="1"/>
    <x v="3"/>
    <x v="8"/>
    <x v="87"/>
    <x v="4"/>
    <s v="TX300087"/>
    <s v="C1"/>
    <x v="3"/>
    <s v="Evening"/>
    <s v="Saturday"/>
    <x v="87"/>
  </r>
  <r>
    <x v="81"/>
    <s v="10:24"/>
    <s v="S4"/>
    <x v="2"/>
    <x v="0"/>
    <x v="0"/>
    <x v="88"/>
    <x v="4"/>
    <s v="TX300088"/>
    <s v="C4"/>
    <x v="3"/>
    <s v="Morning"/>
    <s v="Tuesday"/>
    <x v="88"/>
  </r>
  <r>
    <x v="72"/>
    <s v="20:09"/>
    <s v="S8"/>
    <x v="0"/>
    <x v="6"/>
    <x v="8"/>
    <x v="89"/>
    <x v="3"/>
    <s v="TX300089"/>
    <s v="C2"/>
    <x v="2"/>
    <s v="Evening"/>
    <s v="Thursday"/>
    <x v="89"/>
  </r>
  <r>
    <x v="82"/>
    <s v="19:35"/>
    <s v="S7"/>
    <x v="3"/>
    <x v="2"/>
    <x v="2"/>
    <x v="90"/>
    <x v="3"/>
    <s v="TX300090"/>
    <s v="C1"/>
    <x v="0"/>
    <s v="Evening"/>
    <s v="Friday"/>
    <x v="90"/>
  </r>
  <r>
    <x v="83"/>
    <s v="16:48"/>
    <s v="S10"/>
    <x v="3"/>
    <x v="4"/>
    <x v="0"/>
    <x v="91"/>
    <x v="4"/>
    <s v="TX300091"/>
    <s v="C3"/>
    <x v="2"/>
    <s v="Afternoon"/>
    <s v="Tuesday"/>
    <x v="91"/>
  </r>
  <r>
    <x v="84"/>
    <s v="21:00"/>
    <s v="S10"/>
    <x v="0"/>
    <x v="4"/>
    <x v="2"/>
    <x v="92"/>
    <x v="0"/>
    <s v="TX300092"/>
    <s v="C1"/>
    <x v="2"/>
    <s v="Evening"/>
    <s v="Tuesday"/>
    <x v="92"/>
  </r>
  <r>
    <x v="85"/>
    <s v="20:03"/>
    <s v="S4"/>
    <x v="0"/>
    <x v="4"/>
    <x v="0"/>
    <x v="93"/>
    <x v="4"/>
    <s v="TX300093"/>
    <s v="C2"/>
    <x v="0"/>
    <s v="Evening"/>
    <s v="Wednesday"/>
    <x v="93"/>
  </r>
  <r>
    <x v="86"/>
    <s v="17:23"/>
    <s v="S5"/>
    <x v="0"/>
    <x v="1"/>
    <x v="2"/>
    <x v="94"/>
    <x v="0"/>
    <s v="TX300094"/>
    <s v="C5"/>
    <x v="1"/>
    <s v="Evening"/>
    <s v="Tuesday"/>
    <x v="94"/>
  </r>
  <r>
    <x v="87"/>
    <s v="15:14"/>
    <s v="S7"/>
    <x v="0"/>
    <x v="2"/>
    <x v="6"/>
    <x v="95"/>
    <x v="1"/>
    <s v="TX300095"/>
    <s v="C1"/>
    <x v="2"/>
    <s v="Afternoon"/>
    <s v="Friday"/>
    <x v="95"/>
  </r>
  <r>
    <x v="88"/>
    <s v="20:41"/>
    <s v="S8"/>
    <x v="3"/>
    <x v="0"/>
    <x v="4"/>
    <x v="96"/>
    <x v="3"/>
    <s v="TX300096"/>
    <s v="C2"/>
    <x v="0"/>
    <s v="Evening"/>
    <s v="Tuesday"/>
    <x v="96"/>
  </r>
  <r>
    <x v="89"/>
    <s v="12:49"/>
    <s v="S6"/>
    <x v="3"/>
    <x v="1"/>
    <x v="8"/>
    <x v="97"/>
    <x v="4"/>
    <s v="TX300097"/>
    <s v="C2"/>
    <x v="1"/>
    <s v="Afternoon"/>
    <s v="Friday"/>
    <x v="97"/>
  </r>
  <r>
    <x v="90"/>
    <s v="11:25"/>
    <s v="S7"/>
    <x v="0"/>
    <x v="4"/>
    <x v="2"/>
    <x v="98"/>
    <x v="0"/>
    <s v="TX300098"/>
    <s v="C5"/>
    <x v="2"/>
    <s v="Morning"/>
    <s v="Tuesday"/>
    <x v="98"/>
  </r>
  <r>
    <x v="91"/>
    <s v="16:25"/>
    <s v="S6"/>
    <x v="1"/>
    <x v="3"/>
    <x v="5"/>
    <x v="99"/>
    <x v="1"/>
    <s v="TX300099"/>
    <s v="C1"/>
    <x v="3"/>
    <s v="Afternoon"/>
    <s v="Friday"/>
    <x v="99"/>
  </r>
  <r>
    <x v="49"/>
    <s v="14:56"/>
    <s v="S9"/>
    <x v="0"/>
    <x v="4"/>
    <x v="1"/>
    <x v="100"/>
    <x v="4"/>
    <s v="TX300100"/>
    <s v="C5"/>
    <x v="1"/>
    <s v="Afternoon"/>
    <s v="Wednesday"/>
    <x v="100"/>
  </r>
  <r>
    <x v="92"/>
    <s v="9:27"/>
    <s v="S6"/>
    <x v="2"/>
    <x v="6"/>
    <x v="4"/>
    <x v="101"/>
    <x v="2"/>
    <s v="TX300101"/>
    <s v="C2"/>
    <x v="1"/>
    <s v="Morning"/>
    <s v="Thursday"/>
    <x v="101"/>
  </r>
  <r>
    <x v="93"/>
    <s v="17:10"/>
    <s v="S3"/>
    <x v="2"/>
    <x v="2"/>
    <x v="6"/>
    <x v="22"/>
    <x v="2"/>
    <s v="TX300102"/>
    <s v="C4"/>
    <x v="1"/>
    <s v="Evening"/>
    <s v="Monday"/>
    <x v="102"/>
  </r>
  <r>
    <x v="94"/>
    <s v="9:53"/>
    <s v="S1"/>
    <x v="0"/>
    <x v="5"/>
    <x v="4"/>
    <x v="102"/>
    <x v="1"/>
    <s v="TX300103"/>
    <s v="C5"/>
    <x v="2"/>
    <s v="Morning"/>
    <s v="Friday"/>
    <x v="103"/>
  </r>
  <r>
    <x v="95"/>
    <s v="12:38"/>
    <s v="S2"/>
    <x v="1"/>
    <x v="6"/>
    <x v="3"/>
    <x v="103"/>
    <x v="4"/>
    <s v="TX300104"/>
    <s v="C4"/>
    <x v="0"/>
    <s v="Afternoon"/>
    <s v="Tuesday"/>
    <x v="104"/>
  </r>
  <r>
    <x v="96"/>
    <s v="9:23"/>
    <s v="S7"/>
    <x v="0"/>
    <x v="6"/>
    <x v="4"/>
    <x v="104"/>
    <x v="0"/>
    <s v="TX300105"/>
    <s v="C5"/>
    <x v="0"/>
    <s v="Morning"/>
    <s v="Thursday"/>
    <x v="105"/>
  </r>
  <r>
    <x v="97"/>
    <s v="10:56"/>
    <s v="S4"/>
    <x v="3"/>
    <x v="4"/>
    <x v="9"/>
    <x v="105"/>
    <x v="2"/>
    <s v="TX300106"/>
    <s v="C2"/>
    <x v="0"/>
    <s v="Morning"/>
    <s v="Monday"/>
    <x v="106"/>
  </r>
  <r>
    <x v="98"/>
    <s v="18:15"/>
    <s v="S9"/>
    <x v="2"/>
    <x v="1"/>
    <x v="1"/>
    <x v="106"/>
    <x v="3"/>
    <s v="TX300107"/>
    <s v="C3"/>
    <x v="3"/>
    <s v="Evening"/>
    <s v="Saturday"/>
    <x v="107"/>
  </r>
  <r>
    <x v="99"/>
    <s v="19:17"/>
    <s v="S10"/>
    <x v="0"/>
    <x v="4"/>
    <x v="5"/>
    <x v="107"/>
    <x v="0"/>
    <s v="TX300108"/>
    <s v="C3"/>
    <x v="2"/>
    <s v="Evening"/>
    <s v="Wednesday"/>
    <x v="108"/>
  </r>
  <r>
    <x v="100"/>
    <s v="15:08"/>
    <s v="S10"/>
    <x v="0"/>
    <x v="1"/>
    <x v="8"/>
    <x v="108"/>
    <x v="3"/>
    <s v="TX300109"/>
    <s v="C4"/>
    <x v="3"/>
    <s v="Afternoon"/>
    <s v="Saturday"/>
    <x v="109"/>
  </r>
  <r>
    <x v="101"/>
    <s v="11:26"/>
    <s v="S7"/>
    <x v="3"/>
    <x v="2"/>
    <x v="5"/>
    <x v="109"/>
    <x v="1"/>
    <s v="TX300110"/>
    <s v="C4"/>
    <x v="3"/>
    <s v="Morning"/>
    <s v="Friday"/>
    <x v="110"/>
  </r>
  <r>
    <x v="21"/>
    <s v="15:42"/>
    <s v="S7"/>
    <x v="1"/>
    <x v="6"/>
    <x v="7"/>
    <x v="110"/>
    <x v="2"/>
    <s v="TX300111"/>
    <s v="C5"/>
    <x v="1"/>
    <s v="Afternoon"/>
    <s v="Sunday"/>
    <x v="111"/>
  </r>
  <r>
    <x v="102"/>
    <s v="9:30"/>
    <s v="S9"/>
    <x v="0"/>
    <x v="6"/>
    <x v="2"/>
    <x v="111"/>
    <x v="2"/>
    <s v="TX300112"/>
    <s v="C4"/>
    <x v="2"/>
    <s v="Morning"/>
    <s v="Friday"/>
    <x v="112"/>
  </r>
  <r>
    <x v="32"/>
    <s v="20:33"/>
    <s v="S9"/>
    <x v="1"/>
    <x v="6"/>
    <x v="2"/>
    <x v="112"/>
    <x v="0"/>
    <s v="TX300113"/>
    <s v="C1"/>
    <x v="3"/>
    <s v="Evening"/>
    <s v="Tuesday"/>
    <x v="113"/>
  </r>
  <r>
    <x v="103"/>
    <s v="9:09"/>
    <s v="S10"/>
    <x v="1"/>
    <x v="4"/>
    <x v="7"/>
    <x v="113"/>
    <x v="1"/>
    <s v="TX300114"/>
    <s v="C4"/>
    <x v="3"/>
    <s v="Morning"/>
    <s v="Wednesday"/>
    <x v="114"/>
  </r>
  <r>
    <x v="104"/>
    <s v="20:24"/>
    <s v="S6"/>
    <x v="3"/>
    <x v="6"/>
    <x v="3"/>
    <x v="114"/>
    <x v="1"/>
    <s v="TX300115"/>
    <s v="C2"/>
    <x v="2"/>
    <s v="Evening"/>
    <s v="Thursday"/>
    <x v="115"/>
  </r>
  <r>
    <x v="105"/>
    <s v="20:32"/>
    <s v="S1"/>
    <x v="0"/>
    <x v="0"/>
    <x v="1"/>
    <x v="115"/>
    <x v="4"/>
    <s v="TX300116"/>
    <s v="C2"/>
    <x v="2"/>
    <s v="Evening"/>
    <s v="Friday"/>
    <x v="116"/>
  </r>
  <r>
    <x v="106"/>
    <s v="21:22"/>
    <s v="S9"/>
    <x v="0"/>
    <x v="3"/>
    <x v="3"/>
    <x v="116"/>
    <x v="3"/>
    <s v="TX300117"/>
    <s v="C3"/>
    <x v="1"/>
    <s v="Evening"/>
    <s v="Thursday"/>
    <x v="117"/>
  </r>
  <r>
    <x v="33"/>
    <s v="15:06"/>
    <s v="S4"/>
    <x v="0"/>
    <x v="0"/>
    <x v="9"/>
    <x v="117"/>
    <x v="4"/>
    <s v="TX300118"/>
    <s v="C3"/>
    <x v="0"/>
    <s v="Afternoon"/>
    <s v="Friday"/>
    <x v="118"/>
  </r>
  <r>
    <x v="107"/>
    <s v="9:04"/>
    <s v="S7"/>
    <x v="2"/>
    <x v="1"/>
    <x v="9"/>
    <x v="118"/>
    <x v="4"/>
    <s v="TX300119"/>
    <s v="C4"/>
    <x v="1"/>
    <s v="Morning"/>
    <s v="Thursday"/>
    <x v="119"/>
  </r>
  <r>
    <x v="108"/>
    <s v="11:18"/>
    <s v="S10"/>
    <x v="2"/>
    <x v="6"/>
    <x v="3"/>
    <x v="119"/>
    <x v="2"/>
    <s v="TX300120"/>
    <s v="C1"/>
    <x v="0"/>
    <s v="Morning"/>
    <s v="Wednesday"/>
    <x v="120"/>
  </r>
  <r>
    <x v="109"/>
    <s v="17:31"/>
    <s v="S8"/>
    <x v="3"/>
    <x v="1"/>
    <x v="3"/>
    <x v="120"/>
    <x v="4"/>
    <s v="TX300121"/>
    <s v="C2"/>
    <x v="3"/>
    <s v="Evening"/>
    <s v="Wednesday"/>
    <x v="121"/>
  </r>
  <r>
    <x v="68"/>
    <s v="20:18"/>
    <s v="S9"/>
    <x v="3"/>
    <x v="5"/>
    <x v="7"/>
    <x v="121"/>
    <x v="0"/>
    <s v="TX300122"/>
    <s v="C3"/>
    <x v="3"/>
    <s v="Evening"/>
    <s v="Monday"/>
    <x v="122"/>
  </r>
  <r>
    <x v="110"/>
    <s v="13:38"/>
    <s v="S7"/>
    <x v="2"/>
    <x v="4"/>
    <x v="3"/>
    <x v="122"/>
    <x v="4"/>
    <s v="TX300123"/>
    <s v="C3"/>
    <x v="2"/>
    <s v="Afternoon"/>
    <s v="Tuesday"/>
    <x v="123"/>
  </r>
  <r>
    <x v="111"/>
    <s v="20:57"/>
    <s v="S7"/>
    <x v="3"/>
    <x v="6"/>
    <x v="9"/>
    <x v="123"/>
    <x v="0"/>
    <s v="TX300124"/>
    <s v="C5"/>
    <x v="1"/>
    <s v="Evening"/>
    <s v="Thursday"/>
    <x v="124"/>
  </r>
  <r>
    <x v="8"/>
    <s v="12:37"/>
    <s v="S8"/>
    <x v="2"/>
    <x v="4"/>
    <x v="3"/>
    <x v="124"/>
    <x v="1"/>
    <s v="TX300125"/>
    <s v="C3"/>
    <x v="0"/>
    <s v="Afternoon"/>
    <s v="Friday"/>
    <x v="125"/>
  </r>
  <r>
    <x v="112"/>
    <s v="20:06"/>
    <s v="S1"/>
    <x v="2"/>
    <x v="3"/>
    <x v="6"/>
    <x v="125"/>
    <x v="1"/>
    <s v="TX300126"/>
    <s v="C1"/>
    <x v="2"/>
    <s v="Evening"/>
    <s v="Wednesday"/>
    <x v="126"/>
  </r>
  <r>
    <x v="113"/>
    <s v="15:25"/>
    <s v="S2"/>
    <x v="0"/>
    <x v="0"/>
    <x v="0"/>
    <x v="126"/>
    <x v="2"/>
    <s v="TX300127"/>
    <s v="C1"/>
    <x v="3"/>
    <s v="Afternoon"/>
    <s v="Saturday"/>
    <x v="127"/>
  </r>
  <r>
    <x v="114"/>
    <s v="15:34"/>
    <s v="S7"/>
    <x v="3"/>
    <x v="1"/>
    <x v="5"/>
    <x v="127"/>
    <x v="4"/>
    <s v="TX300128"/>
    <s v="C2"/>
    <x v="3"/>
    <s v="Afternoon"/>
    <s v="Sunday"/>
    <x v="128"/>
  </r>
  <r>
    <x v="115"/>
    <s v="9:11"/>
    <s v="S7"/>
    <x v="0"/>
    <x v="0"/>
    <x v="4"/>
    <x v="128"/>
    <x v="0"/>
    <s v="TX300129"/>
    <s v="C5"/>
    <x v="3"/>
    <s v="Morning"/>
    <s v="Saturday"/>
    <x v="129"/>
  </r>
  <r>
    <x v="116"/>
    <s v="13:55"/>
    <s v="S1"/>
    <x v="0"/>
    <x v="4"/>
    <x v="5"/>
    <x v="129"/>
    <x v="2"/>
    <s v="TX300130"/>
    <s v="C1"/>
    <x v="3"/>
    <s v="Afternoon"/>
    <s v="Tuesday"/>
    <x v="130"/>
  </r>
  <r>
    <x v="117"/>
    <s v="14:54"/>
    <s v="S9"/>
    <x v="3"/>
    <x v="6"/>
    <x v="4"/>
    <x v="130"/>
    <x v="4"/>
    <s v="TX300131"/>
    <s v="C5"/>
    <x v="2"/>
    <s v="Afternoon"/>
    <s v="Sunday"/>
    <x v="131"/>
  </r>
  <r>
    <x v="118"/>
    <s v="13:18"/>
    <s v="S3"/>
    <x v="1"/>
    <x v="3"/>
    <x v="2"/>
    <x v="131"/>
    <x v="4"/>
    <s v="TX300132"/>
    <s v="C3"/>
    <x v="3"/>
    <s v="Afternoon"/>
    <s v="Tuesday"/>
    <x v="132"/>
  </r>
  <r>
    <x v="119"/>
    <s v="12:50"/>
    <s v="S1"/>
    <x v="1"/>
    <x v="1"/>
    <x v="8"/>
    <x v="132"/>
    <x v="3"/>
    <s v="TX300133"/>
    <s v="C2"/>
    <x v="2"/>
    <s v="Afternoon"/>
    <s v="Thursday"/>
    <x v="133"/>
  </r>
  <r>
    <x v="120"/>
    <s v="21:10"/>
    <s v="S7"/>
    <x v="0"/>
    <x v="3"/>
    <x v="7"/>
    <x v="133"/>
    <x v="3"/>
    <s v="TX300134"/>
    <s v="C5"/>
    <x v="2"/>
    <s v="Evening"/>
    <s v="Friday"/>
    <x v="134"/>
  </r>
  <r>
    <x v="121"/>
    <s v="12:31"/>
    <s v="S1"/>
    <x v="1"/>
    <x v="3"/>
    <x v="5"/>
    <x v="134"/>
    <x v="2"/>
    <s v="TX300135"/>
    <s v="C2"/>
    <x v="3"/>
    <s v="Afternoon"/>
    <s v="Monday"/>
    <x v="135"/>
  </r>
  <r>
    <x v="122"/>
    <s v="12:44"/>
    <s v="S3"/>
    <x v="2"/>
    <x v="4"/>
    <x v="4"/>
    <x v="135"/>
    <x v="3"/>
    <s v="TX300136"/>
    <s v="C5"/>
    <x v="1"/>
    <s v="Afternoon"/>
    <s v="Friday"/>
    <x v="136"/>
  </r>
  <r>
    <x v="123"/>
    <s v="14:25"/>
    <s v="S6"/>
    <x v="2"/>
    <x v="2"/>
    <x v="2"/>
    <x v="136"/>
    <x v="1"/>
    <s v="TX300137"/>
    <s v="C1"/>
    <x v="0"/>
    <s v="Afternoon"/>
    <s v="Saturday"/>
    <x v="137"/>
  </r>
  <r>
    <x v="124"/>
    <s v="14:04"/>
    <s v="S5"/>
    <x v="3"/>
    <x v="5"/>
    <x v="1"/>
    <x v="137"/>
    <x v="0"/>
    <s v="TX300138"/>
    <s v="C3"/>
    <x v="3"/>
    <s v="Afternoon"/>
    <s v="Monday"/>
    <x v="138"/>
  </r>
  <r>
    <x v="78"/>
    <s v="11:55"/>
    <s v="S8"/>
    <x v="0"/>
    <x v="2"/>
    <x v="3"/>
    <x v="138"/>
    <x v="1"/>
    <s v="TX300139"/>
    <s v="C4"/>
    <x v="0"/>
    <s v="Morning"/>
    <s v="Saturday"/>
    <x v="139"/>
  </r>
  <r>
    <x v="125"/>
    <s v="14:10"/>
    <s v="S5"/>
    <x v="1"/>
    <x v="3"/>
    <x v="6"/>
    <x v="139"/>
    <x v="3"/>
    <s v="TX300140"/>
    <s v="C2"/>
    <x v="3"/>
    <s v="Afternoon"/>
    <s v="Sunday"/>
    <x v="140"/>
  </r>
  <r>
    <x v="126"/>
    <s v="21:03"/>
    <s v="S3"/>
    <x v="0"/>
    <x v="5"/>
    <x v="0"/>
    <x v="140"/>
    <x v="0"/>
    <s v="TX300141"/>
    <s v="C5"/>
    <x v="1"/>
    <s v="Evening"/>
    <s v="Sunday"/>
    <x v="141"/>
  </r>
  <r>
    <x v="127"/>
    <s v="13:01"/>
    <s v="S3"/>
    <x v="1"/>
    <x v="6"/>
    <x v="0"/>
    <x v="141"/>
    <x v="1"/>
    <s v="TX300142"/>
    <s v="C3"/>
    <x v="2"/>
    <s v="Afternoon"/>
    <s v="Saturday"/>
    <x v="142"/>
  </r>
  <r>
    <x v="128"/>
    <s v="16:34"/>
    <s v="S2"/>
    <x v="2"/>
    <x v="0"/>
    <x v="5"/>
    <x v="142"/>
    <x v="4"/>
    <s v="TX300143"/>
    <s v="C4"/>
    <x v="3"/>
    <s v="Afternoon"/>
    <s v="Monday"/>
    <x v="143"/>
  </r>
  <r>
    <x v="129"/>
    <s v="9:31"/>
    <s v="S8"/>
    <x v="3"/>
    <x v="5"/>
    <x v="0"/>
    <x v="143"/>
    <x v="1"/>
    <s v="TX300144"/>
    <s v="C1"/>
    <x v="0"/>
    <s v="Morning"/>
    <s v="Saturday"/>
    <x v="144"/>
  </r>
  <r>
    <x v="130"/>
    <s v="10:35"/>
    <s v="S8"/>
    <x v="2"/>
    <x v="6"/>
    <x v="9"/>
    <x v="144"/>
    <x v="2"/>
    <s v="TX300145"/>
    <s v="C2"/>
    <x v="0"/>
    <s v="Morning"/>
    <s v="Saturday"/>
    <x v="145"/>
  </r>
  <r>
    <x v="131"/>
    <s v="13:58"/>
    <s v="S1"/>
    <x v="2"/>
    <x v="4"/>
    <x v="9"/>
    <x v="145"/>
    <x v="4"/>
    <s v="TX300146"/>
    <s v="C2"/>
    <x v="1"/>
    <s v="Afternoon"/>
    <s v="Sunday"/>
    <x v="146"/>
  </r>
  <r>
    <x v="132"/>
    <s v="20:47"/>
    <s v="S5"/>
    <x v="0"/>
    <x v="1"/>
    <x v="3"/>
    <x v="146"/>
    <x v="0"/>
    <s v="TX300147"/>
    <s v="C2"/>
    <x v="0"/>
    <s v="Evening"/>
    <s v="Friday"/>
    <x v="147"/>
  </r>
  <r>
    <x v="133"/>
    <s v="18:51"/>
    <s v="S6"/>
    <x v="2"/>
    <x v="2"/>
    <x v="8"/>
    <x v="147"/>
    <x v="2"/>
    <s v="TX300148"/>
    <s v="C1"/>
    <x v="2"/>
    <s v="Evening"/>
    <s v="Tuesday"/>
    <x v="148"/>
  </r>
  <r>
    <x v="134"/>
    <s v="13:37"/>
    <s v="S7"/>
    <x v="0"/>
    <x v="4"/>
    <x v="8"/>
    <x v="148"/>
    <x v="1"/>
    <s v="TX300149"/>
    <s v="C3"/>
    <x v="0"/>
    <s v="Afternoon"/>
    <s v="Monday"/>
    <x v="149"/>
  </r>
  <r>
    <x v="135"/>
    <s v="11:12"/>
    <s v="S1"/>
    <x v="0"/>
    <x v="4"/>
    <x v="2"/>
    <x v="149"/>
    <x v="0"/>
    <s v="TX300150"/>
    <s v="C3"/>
    <x v="2"/>
    <s v="Morning"/>
    <s v="Thursday"/>
    <x v="150"/>
  </r>
  <r>
    <x v="136"/>
    <s v="10:39"/>
    <s v="S10"/>
    <x v="3"/>
    <x v="5"/>
    <x v="3"/>
    <x v="150"/>
    <x v="4"/>
    <s v="TX300151"/>
    <s v="C3"/>
    <x v="0"/>
    <s v="Morning"/>
    <s v="Sunday"/>
    <x v="151"/>
  </r>
  <r>
    <x v="137"/>
    <s v="10:32"/>
    <s v="S5"/>
    <x v="0"/>
    <x v="2"/>
    <x v="4"/>
    <x v="151"/>
    <x v="2"/>
    <s v="TX300152"/>
    <s v="C4"/>
    <x v="2"/>
    <s v="Morning"/>
    <s v="Monday"/>
    <x v="152"/>
  </r>
  <r>
    <x v="138"/>
    <s v="15:39"/>
    <s v="S4"/>
    <x v="3"/>
    <x v="4"/>
    <x v="8"/>
    <x v="152"/>
    <x v="1"/>
    <s v="TX300153"/>
    <s v="C4"/>
    <x v="0"/>
    <s v="Afternoon"/>
    <s v="Monday"/>
    <x v="153"/>
  </r>
  <r>
    <x v="139"/>
    <s v="12:00"/>
    <s v="S4"/>
    <x v="3"/>
    <x v="5"/>
    <x v="5"/>
    <x v="153"/>
    <x v="0"/>
    <s v="TX300154"/>
    <s v="C3"/>
    <x v="2"/>
    <s v="Afternoon"/>
    <s v="Sunday"/>
    <x v="154"/>
  </r>
  <r>
    <x v="140"/>
    <s v="9:47"/>
    <s v="S3"/>
    <x v="0"/>
    <x v="2"/>
    <x v="9"/>
    <x v="154"/>
    <x v="0"/>
    <s v="TX300155"/>
    <s v="C5"/>
    <x v="3"/>
    <s v="Morning"/>
    <s v="Friday"/>
    <x v="155"/>
  </r>
  <r>
    <x v="141"/>
    <s v="17:41"/>
    <s v="S8"/>
    <x v="2"/>
    <x v="6"/>
    <x v="0"/>
    <x v="155"/>
    <x v="0"/>
    <s v="TX300156"/>
    <s v="C1"/>
    <x v="3"/>
    <s v="Evening"/>
    <s v="Friday"/>
    <x v="156"/>
  </r>
  <r>
    <x v="142"/>
    <s v="21:01"/>
    <s v="S9"/>
    <x v="3"/>
    <x v="6"/>
    <x v="3"/>
    <x v="156"/>
    <x v="1"/>
    <s v="TX300157"/>
    <s v="C1"/>
    <x v="2"/>
    <s v="Evening"/>
    <s v="Wednesday"/>
    <x v="157"/>
  </r>
  <r>
    <x v="143"/>
    <s v="10:45"/>
    <s v="S10"/>
    <x v="1"/>
    <x v="1"/>
    <x v="3"/>
    <x v="157"/>
    <x v="3"/>
    <s v="TX300158"/>
    <s v="C5"/>
    <x v="1"/>
    <s v="Morning"/>
    <s v="Sunday"/>
    <x v="158"/>
  </r>
  <r>
    <x v="144"/>
    <s v="12:34"/>
    <s v="S8"/>
    <x v="2"/>
    <x v="5"/>
    <x v="5"/>
    <x v="158"/>
    <x v="3"/>
    <s v="TX300159"/>
    <s v="C5"/>
    <x v="0"/>
    <s v="Afternoon"/>
    <s v="Wednesday"/>
    <x v="159"/>
  </r>
  <r>
    <x v="145"/>
    <s v="10:05"/>
    <s v="S4"/>
    <x v="1"/>
    <x v="3"/>
    <x v="6"/>
    <x v="159"/>
    <x v="4"/>
    <s v="TX300160"/>
    <s v="C4"/>
    <x v="3"/>
    <s v="Morning"/>
    <s v="Monday"/>
    <x v="160"/>
  </r>
  <r>
    <x v="146"/>
    <s v="20:57"/>
    <s v="S9"/>
    <x v="1"/>
    <x v="3"/>
    <x v="2"/>
    <x v="160"/>
    <x v="4"/>
    <s v="TX300161"/>
    <s v="C2"/>
    <x v="3"/>
    <s v="Evening"/>
    <s v="Tuesday"/>
    <x v="161"/>
  </r>
  <r>
    <x v="147"/>
    <s v="20:03"/>
    <s v="S4"/>
    <x v="3"/>
    <x v="2"/>
    <x v="9"/>
    <x v="161"/>
    <x v="2"/>
    <s v="TX300162"/>
    <s v="C1"/>
    <x v="0"/>
    <s v="Evening"/>
    <s v="Friday"/>
    <x v="162"/>
  </r>
  <r>
    <x v="148"/>
    <s v="16:56"/>
    <s v="S9"/>
    <x v="0"/>
    <x v="5"/>
    <x v="6"/>
    <x v="162"/>
    <x v="0"/>
    <s v="TX300163"/>
    <s v="C3"/>
    <x v="0"/>
    <s v="Afternoon"/>
    <s v="Tuesday"/>
    <x v="163"/>
  </r>
  <r>
    <x v="149"/>
    <s v="20:13"/>
    <s v="S2"/>
    <x v="0"/>
    <x v="2"/>
    <x v="1"/>
    <x v="163"/>
    <x v="0"/>
    <s v="TX300164"/>
    <s v="C2"/>
    <x v="2"/>
    <s v="Evening"/>
    <s v="Monday"/>
    <x v="164"/>
  </r>
  <r>
    <x v="63"/>
    <s v="17:06"/>
    <s v="S10"/>
    <x v="2"/>
    <x v="6"/>
    <x v="8"/>
    <x v="164"/>
    <x v="4"/>
    <s v="TX300165"/>
    <s v="C3"/>
    <x v="0"/>
    <s v="Evening"/>
    <s v="Tuesday"/>
    <x v="165"/>
  </r>
  <r>
    <x v="150"/>
    <s v="16:55"/>
    <s v="S9"/>
    <x v="1"/>
    <x v="6"/>
    <x v="9"/>
    <x v="165"/>
    <x v="1"/>
    <s v="TX300166"/>
    <s v="C3"/>
    <x v="0"/>
    <s v="Afternoon"/>
    <s v="Monday"/>
    <x v="166"/>
  </r>
  <r>
    <x v="151"/>
    <s v="9:10"/>
    <s v="S4"/>
    <x v="2"/>
    <x v="5"/>
    <x v="1"/>
    <x v="166"/>
    <x v="3"/>
    <s v="TX300167"/>
    <s v="C4"/>
    <x v="1"/>
    <s v="Morning"/>
    <s v="Saturday"/>
    <x v="167"/>
  </r>
  <r>
    <x v="70"/>
    <s v="18:49"/>
    <s v="S5"/>
    <x v="1"/>
    <x v="6"/>
    <x v="1"/>
    <x v="167"/>
    <x v="2"/>
    <s v="TX300168"/>
    <s v="C2"/>
    <x v="3"/>
    <s v="Evening"/>
    <s v="Saturday"/>
    <x v="168"/>
  </r>
  <r>
    <x v="152"/>
    <s v="12:04"/>
    <s v="S10"/>
    <x v="3"/>
    <x v="3"/>
    <x v="6"/>
    <x v="168"/>
    <x v="2"/>
    <s v="TX300169"/>
    <s v="C4"/>
    <x v="0"/>
    <s v="Afternoon"/>
    <s v="Wednesday"/>
    <x v="169"/>
  </r>
  <r>
    <x v="153"/>
    <s v="19:03"/>
    <s v="S8"/>
    <x v="2"/>
    <x v="6"/>
    <x v="0"/>
    <x v="169"/>
    <x v="4"/>
    <s v="TX300170"/>
    <s v="C1"/>
    <x v="2"/>
    <s v="Evening"/>
    <s v="Friday"/>
    <x v="170"/>
  </r>
  <r>
    <x v="154"/>
    <s v="20:43"/>
    <s v="S8"/>
    <x v="3"/>
    <x v="0"/>
    <x v="2"/>
    <x v="170"/>
    <x v="0"/>
    <s v="TX300171"/>
    <s v="C3"/>
    <x v="3"/>
    <s v="Evening"/>
    <s v="Sunday"/>
    <x v="171"/>
  </r>
  <r>
    <x v="155"/>
    <s v="18:53"/>
    <s v="S2"/>
    <x v="3"/>
    <x v="2"/>
    <x v="6"/>
    <x v="171"/>
    <x v="1"/>
    <s v="TX300172"/>
    <s v="C1"/>
    <x v="2"/>
    <s v="Evening"/>
    <s v="Thursday"/>
    <x v="172"/>
  </r>
  <r>
    <x v="156"/>
    <s v="11:43"/>
    <s v="S5"/>
    <x v="0"/>
    <x v="3"/>
    <x v="8"/>
    <x v="172"/>
    <x v="2"/>
    <s v="TX300173"/>
    <s v="C1"/>
    <x v="1"/>
    <s v="Morning"/>
    <s v="Sunday"/>
    <x v="173"/>
  </r>
  <r>
    <x v="157"/>
    <s v="18:26"/>
    <s v="S1"/>
    <x v="1"/>
    <x v="2"/>
    <x v="3"/>
    <x v="173"/>
    <x v="0"/>
    <s v="TX300174"/>
    <s v="C5"/>
    <x v="2"/>
    <s v="Evening"/>
    <s v="Tuesday"/>
    <x v="174"/>
  </r>
  <r>
    <x v="158"/>
    <s v="20:08"/>
    <s v="S4"/>
    <x v="1"/>
    <x v="3"/>
    <x v="1"/>
    <x v="174"/>
    <x v="1"/>
    <s v="TX300175"/>
    <s v="C1"/>
    <x v="0"/>
    <s v="Evening"/>
    <s v="Tuesday"/>
    <x v="175"/>
  </r>
  <r>
    <x v="126"/>
    <s v="14:59"/>
    <s v="S6"/>
    <x v="3"/>
    <x v="4"/>
    <x v="2"/>
    <x v="175"/>
    <x v="0"/>
    <s v="TX300176"/>
    <s v="C3"/>
    <x v="1"/>
    <s v="Afternoon"/>
    <s v="Sunday"/>
    <x v="176"/>
  </r>
  <r>
    <x v="159"/>
    <s v="13:57"/>
    <s v="S10"/>
    <x v="1"/>
    <x v="1"/>
    <x v="2"/>
    <x v="176"/>
    <x v="4"/>
    <s v="TX300177"/>
    <s v="C5"/>
    <x v="2"/>
    <s v="Afternoon"/>
    <s v="Wednesday"/>
    <x v="177"/>
  </r>
  <r>
    <x v="160"/>
    <s v="11:59"/>
    <s v="S6"/>
    <x v="3"/>
    <x v="3"/>
    <x v="2"/>
    <x v="177"/>
    <x v="0"/>
    <s v="TX300178"/>
    <s v="C1"/>
    <x v="3"/>
    <s v="Morning"/>
    <s v="Tuesday"/>
    <x v="178"/>
  </r>
  <r>
    <x v="161"/>
    <s v="14:14"/>
    <s v="S4"/>
    <x v="2"/>
    <x v="6"/>
    <x v="0"/>
    <x v="178"/>
    <x v="3"/>
    <s v="TX300179"/>
    <s v="C2"/>
    <x v="0"/>
    <s v="Afternoon"/>
    <s v="Saturday"/>
    <x v="179"/>
  </r>
  <r>
    <x v="53"/>
    <s v="19:19"/>
    <s v="S8"/>
    <x v="0"/>
    <x v="3"/>
    <x v="3"/>
    <x v="179"/>
    <x v="0"/>
    <s v="TX300180"/>
    <s v="C2"/>
    <x v="3"/>
    <s v="Evening"/>
    <s v="Monday"/>
    <x v="180"/>
  </r>
  <r>
    <x v="162"/>
    <s v="21:50"/>
    <s v="S7"/>
    <x v="0"/>
    <x v="4"/>
    <x v="1"/>
    <x v="180"/>
    <x v="2"/>
    <s v="TX300181"/>
    <s v="C5"/>
    <x v="3"/>
    <s v="Evening"/>
    <s v="Monday"/>
    <x v="181"/>
  </r>
  <r>
    <x v="163"/>
    <s v="9:36"/>
    <s v="S7"/>
    <x v="3"/>
    <x v="1"/>
    <x v="8"/>
    <x v="181"/>
    <x v="0"/>
    <s v="TX300182"/>
    <s v="C4"/>
    <x v="0"/>
    <s v="Morning"/>
    <s v="Tuesday"/>
    <x v="182"/>
  </r>
  <r>
    <x v="164"/>
    <s v="12:47"/>
    <s v="S5"/>
    <x v="0"/>
    <x v="2"/>
    <x v="8"/>
    <x v="182"/>
    <x v="2"/>
    <s v="TX300183"/>
    <s v="C1"/>
    <x v="1"/>
    <s v="Afternoon"/>
    <s v="Friday"/>
    <x v="183"/>
  </r>
  <r>
    <x v="144"/>
    <s v="16:47"/>
    <s v="S7"/>
    <x v="2"/>
    <x v="0"/>
    <x v="3"/>
    <x v="183"/>
    <x v="4"/>
    <s v="TX300184"/>
    <s v="C1"/>
    <x v="0"/>
    <s v="Afternoon"/>
    <s v="Wednesday"/>
    <x v="184"/>
  </r>
  <r>
    <x v="165"/>
    <s v="19:42"/>
    <s v="S5"/>
    <x v="3"/>
    <x v="0"/>
    <x v="4"/>
    <x v="184"/>
    <x v="2"/>
    <s v="TX300185"/>
    <s v="C3"/>
    <x v="0"/>
    <s v="Evening"/>
    <s v="Saturday"/>
    <x v="185"/>
  </r>
  <r>
    <x v="166"/>
    <s v="20:21"/>
    <s v="S3"/>
    <x v="3"/>
    <x v="4"/>
    <x v="8"/>
    <x v="185"/>
    <x v="0"/>
    <s v="TX300186"/>
    <s v="C1"/>
    <x v="0"/>
    <s v="Evening"/>
    <s v="Sunday"/>
    <x v="186"/>
  </r>
  <r>
    <x v="167"/>
    <s v="20:08"/>
    <s v="S8"/>
    <x v="1"/>
    <x v="1"/>
    <x v="8"/>
    <x v="186"/>
    <x v="4"/>
    <s v="TX300187"/>
    <s v="C3"/>
    <x v="3"/>
    <s v="Evening"/>
    <s v="Thursday"/>
    <x v="187"/>
  </r>
  <r>
    <x v="168"/>
    <s v="9:28"/>
    <s v="S3"/>
    <x v="2"/>
    <x v="3"/>
    <x v="6"/>
    <x v="187"/>
    <x v="0"/>
    <s v="TX300188"/>
    <s v="C4"/>
    <x v="2"/>
    <s v="Morning"/>
    <s v="Sunday"/>
    <x v="188"/>
  </r>
  <r>
    <x v="100"/>
    <s v="11:13"/>
    <s v="S2"/>
    <x v="1"/>
    <x v="3"/>
    <x v="0"/>
    <x v="188"/>
    <x v="4"/>
    <s v="TX300189"/>
    <s v="C5"/>
    <x v="2"/>
    <s v="Morning"/>
    <s v="Saturday"/>
    <x v="189"/>
  </r>
  <r>
    <x v="169"/>
    <s v="11:42"/>
    <s v="S2"/>
    <x v="1"/>
    <x v="3"/>
    <x v="8"/>
    <x v="189"/>
    <x v="0"/>
    <s v="TX300190"/>
    <s v="C1"/>
    <x v="1"/>
    <s v="Morning"/>
    <s v="Friday"/>
    <x v="190"/>
  </r>
  <r>
    <x v="142"/>
    <s v="18:33"/>
    <s v="S10"/>
    <x v="2"/>
    <x v="5"/>
    <x v="0"/>
    <x v="190"/>
    <x v="2"/>
    <s v="TX300191"/>
    <s v="C5"/>
    <x v="3"/>
    <s v="Evening"/>
    <s v="Wednesday"/>
    <x v="191"/>
  </r>
  <r>
    <x v="170"/>
    <s v="20:34"/>
    <s v="S2"/>
    <x v="3"/>
    <x v="4"/>
    <x v="7"/>
    <x v="161"/>
    <x v="4"/>
    <s v="TX300192"/>
    <s v="C5"/>
    <x v="3"/>
    <s v="Evening"/>
    <s v="Tuesday"/>
    <x v="192"/>
  </r>
  <r>
    <x v="80"/>
    <s v="20:03"/>
    <s v="S4"/>
    <x v="3"/>
    <x v="0"/>
    <x v="0"/>
    <x v="191"/>
    <x v="3"/>
    <s v="TX300193"/>
    <s v="C4"/>
    <x v="0"/>
    <s v="Evening"/>
    <s v="Saturday"/>
    <x v="193"/>
  </r>
  <r>
    <x v="171"/>
    <s v="18:42"/>
    <s v="S9"/>
    <x v="0"/>
    <x v="6"/>
    <x v="3"/>
    <x v="192"/>
    <x v="0"/>
    <s v="TX300194"/>
    <s v="C1"/>
    <x v="3"/>
    <s v="Evening"/>
    <s v="Wednesday"/>
    <x v="194"/>
  </r>
  <r>
    <x v="172"/>
    <s v="11:53"/>
    <s v="S6"/>
    <x v="0"/>
    <x v="2"/>
    <x v="9"/>
    <x v="193"/>
    <x v="1"/>
    <s v="TX300195"/>
    <s v="C5"/>
    <x v="3"/>
    <s v="Morning"/>
    <s v="Sunday"/>
    <x v="195"/>
  </r>
  <r>
    <x v="94"/>
    <s v="16:10"/>
    <s v="S7"/>
    <x v="0"/>
    <x v="5"/>
    <x v="2"/>
    <x v="194"/>
    <x v="2"/>
    <s v="TX300196"/>
    <s v="C3"/>
    <x v="3"/>
    <s v="Afternoon"/>
    <s v="Friday"/>
    <x v="196"/>
  </r>
  <r>
    <x v="173"/>
    <s v="12:59"/>
    <s v="S2"/>
    <x v="0"/>
    <x v="3"/>
    <x v="8"/>
    <x v="195"/>
    <x v="4"/>
    <s v="TX300197"/>
    <s v="C5"/>
    <x v="1"/>
    <s v="Afternoon"/>
    <s v="Tuesday"/>
    <x v="197"/>
  </r>
  <r>
    <x v="174"/>
    <s v="19:04"/>
    <s v="S8"/>
    <x v="1"/>
    <x v="3"/>
    <x v="8"/>
    <x v="196"/>
    <x v="4"/>
    <s v="TX300198"/>
    <s v="C1"/>
    <x v="1"/>
    <s v="Evening"/>
    <s v="Tuesday"/>
    <x v="198"/>
  </r>
  <r>
    <x v="175"/>
    <s v="19:11"/>
    <s v="S7"/>
    <x v="0"/>
    <x v="2"/>
    <x v="2"/>
    <x v="197"/>
    <x v="1"/>
    <s v="TX300199"/>
    <s v="C5"/>
    <x v="3"/>
    <s v="Evening"/>
    <s v="Wednesday"/>
    <x v="199"/>
  </r>
  <r>
    <x v="176"/>
    <s v="19:46"/>
    <s v="S1"/>
    <x v="1"/>
    <x v="2"/>
    <x v="7"/>
    <x v="198"/>
    <x v="2"/>
    <s v="TX300200"/>
    <s v="C4"/>
    <x v="0"/>
    <s v="Evening"/>
    <s v="Sunday"/>
    <x v="200"/>
  </r>
  <r>
    <x v="177"/>
    <s v="18:16"/>
    <s v="S6"/>
    <x v="2"/>
    <x v="1"/>
    <x v="6"/>
    <x v="199"/>
    <x v="3"/>
    <s v="TX300201"/>
    <s v="C4"/>
    <x v="3"/>
    <s v="Evening"/>
    <s v="Thursday"/>
    <x v="201"/>
  </r>
  <r>
    <x v="178"/>
    <s v="14:57"/>
    <s v="S10"/>
    <x v="1"/>
    <x v="6"/>
    <x v="7"/>
    <x v="200"/>
    <x v="0"/>
    <s v="TX300202"/>
    <s v="C2"/>
    <x v="3"/>
    <s v="Afternoon"/>
    <s v="Sunday"/>
    <x v="202"/>
  </r>
  <r>
    <x v="179"/>
    <s v="14:13"/>
    <s v="S4"/>
    <x v="1"/>
    <x v="3"/>
    <x v="8"/>
    <x v="201"/>
    <x v="1"/>
    <s v="TX300203"/>
    <s v="C4"/>
    <x v="2"/>
    <s v="Afternoon"/>
    <s v="Monday"/>
    <x v="203"/>
  </r>
  <r>
    <x v="180"/>
    <s v="15:01"/>
    <s v="S10"/>
    <x v="2"/>
    <x v="0"/>
    <x v="7"/>
    <x v="202"/>
    <x v="2"/>
    <s v="TX300204"/>
    <s v="C2"/>
    <x v="1"/>
    <s v="Afternoon"/>
    <s v="Sunday"/>
    <x v="204"/>
  </r>
  <r>
    <x v="181"/>
    <s v="17:48"/>
    <s v="S7"/>
    <x v="3"/>
    <x v="1"/>
    <x v="4"/>
    <x v="203"/>
    <x v="3"/>
    <s v="TX300205"/>
    <s v="C5"/>
    <x v="2"/>
    <s v="Evening"/>
    <s v="Thursday"/>
    <x v="205"/>
  </r>
  <r>
    <x v="182"/>
    <s v="21:15"/>
    <s v="S8"/>
    <x v="2"/>
    <x v="5"/>
    <x v="1"/>
    <x v="204"/>
    <x v="2"/>
    <s v="TX300206"/>
    <s v="C5"/>
    <x v="3"/>
    <s v="Evening"/>
    <s v="Sunday"/>
    <x v="206"/>
  </r>
  <r>
    <x v="183"/>
    <s v="21:41"/>
    <s v="S4"/>
    <x v="1"/>
    <x v="1"/>
    <x v="1"/>
    <x v="205"/>
    <x v="2"/>
    <s v="TX300207"/>
    <s v="C1"/>
    <x v="3"/>
    <s v="Evening"/>
    <s v="Saturday"/>
    <x v="207"/>
  </r>
  <r>
    <x v="184"/>
    <s v="18:19"/>
    <s v="S4"/>
    <x v="0"/>
    <x v="3"/>
    <x v="6"/>
    <x v="206"/>
    <x v="3"/>
    <s v="TX300208"/>
    <s v="C4"/>
    <x v="0"/>
    <s v="Evening"/>
    <s v="Saturday"/>
    <x v="208"/>
  </r>
  <r>
    <x v="185"/>
    <s v="21:27"/>
    <s v="S6"/>
    <x v="1"/>
    <x v="4"/>
    <x v="1"/>
    <x v="207"/>
    <x v="2"/>
    <s v="TX300209"/>
    <s v="C1"/>
    <x v="2"/>
    <s v="Evening"/>
    <s v="Friday"/>
    <x v="209"/>
  </r>
  <r>
    <x v="186"/>
    <s v="20:43"/>
    <s v="S5"/>
    <x v="2"/>
    <x v="4"/>
    <x v="5"/>
    <x v="208"/>
    <x v="4"/>
    <s v="TX300210"/>
    <s v="C4"/>
    <x v="3"/>
    <s v="Evening"/>
    <s v="Sunday"/>
    <x v="210"/>
  </r>
  <r>
    <x v="159"/>
    <s v="14:29"/>
    <s v="S3"/>
    <x v="3"/>
    <x v="6"/>
    <x v="0"/>
    <x v="209"/>
    <x v="3"/>
    <s v="TX300211"/>
    <s v="C1"/>
    <x v="2"/>
    <s v="Afternoon"/>
    <s v="Wednesday"/>
    <x v="211"/>
  </r>
  <r>
    <x v="187"/>
    <s v="9:56"/>
    <s v="S9"/>
    <x v="3"/>
    <x v="1"/>
    <x v="6"/>
    <x v="210"/>
    <x v="3"/>
    <s v="TX300212"/>
    <s v="C3"/>
    <x v="2"/>
    <s v="Morning"/>
    <s v="Sunday"/>
    <x v="212"/>
  </r>
  <r>
    <x v="188"/>
    <s v="14:11"/>
    <s v="S4"/>
    <x v="3"/>
    <x v="0"/>
    <x v="3"/>
    <x v="211"/>
    <x v="4"/>
    <s v="TX300213"/>
    <s v="C2"/>
    <x v="2"/>
    <s v="Afternoon"/>
    <s v="Thursday"/>
    <x v="213"/>
  </r>
  <r>
    <x v="189"/>
    <s v="18:07"/>
    <s v="S2"/>
    <x v="1"/>
    <x v="5"/>
    <x v="9"/>
    <x v="212"/>
    <x v="4"/>
    <s v="TX300214"/>
    <s v="C3"/>
    <x v="0"/>
    <s v="Evening"/>
    <s v="Sunday"/>
    <x v="214"/>
  </r>
  <r>
    <x v="190"/>
    <s v="15:11"/>
    <s v="S6"/>
    <x v="0"/>
    <x v="4"/>
    <x v="3"/>
    <x v="213"/>
    <x v="2"/>
    <s v="TX300215"/>
    <s v="C3"/>
    <x v="0"/>
    <s v="Afternoon"/>
    <s v="Wednesday"/>
    <x v="215"/>
  </r>
  <r>
    <x v="191"/>
    <s v="20:02"/>
    <s v="S8"/>
    <x v="2"/>
    <x v="1"/>
    <x v="9"/>
    <x v="214"/>
    <x v="2"/>
    <s v="TX300216"/>
    <s v="C3"/>
    <x v="0"/>
    <s v="Evening"/>
    <s v="Thursday"/>
    <x v="216"/>
  </r>
  <r>
    <x v="192"/>
    <s v="18:46"/>
    <s v="S2"/>
    <x v="3"/>
    <x v="2"/>
    <x v="8"/>
    <x v="215"/>
    <x v="1"/>
    <s v="TX300217"/>
    <s v="C5"/>
    <x v="0"/>
    <s v="Evening"/>
    <s v="Wednesday"/>
    <x v="217"/>
  </r>
  <r>
    <x v="26"/>
    <s v="16:28"/>
    <s v="S9"/>
    <x v="1"/>
    <x v="4"/>
    <x v="6"/>
    <x v="216"/>
    <x v="0"/>
    <s v="TX300218"/>
    <s v="C4"/>
    <x v="3"/>
    <s v="Afternoon"/>
    <s v="Monday"/>
    <x v="218"/>
  </r>
  <r>
    <x v="82"/>
    <s v="18:04"/>
    <s v="S5"/>
    <x v="2"/>
    <x v="3"/>
    <x v="5"/>
    <x v="217"/>
    <x v="2"/>
    <s v="TX300219"/>
    <s v="C3"/>
    <x v="1"/>
    <s v="Evening"/>
    <s v="Friday"/>
    <x v="219"/>
  </r>
  <r>
    <x v="193"/>
    <s v="15:50"/>
    <s v="S6"/>
    <x v="0"/>
    <x v="2"/>
    <x v="3"/>
    <x v="218"/>
    <x v="3"/>
    <s v="TX300220"/>
    <s v="C2"/>
    <x v="2"/>
    <s v="Afternoon"/>
    <s v="Thursday"/>
    <x v="220"/>
  </r>
  <r>
    <x v="194"/>
    <s v="16:39"/>
    <s v="S5"/>
    <x v="3"/>
    <x v="4"/>
    <x v="1"/>
    <x v="219"/>
    <x v="3"/>
    <s v="TX300221"/>
    <s v="C2"/>
    <x v="0"/>
    <s v="Afternoon"/>
    <s v="Sunday"/>
    <x v="221"/>
  </r>
  <r>
    <x v="28"/>
    <s v="9:52"/>
    <s v="S4"/>
    <x v="3"/>
    <x v="6"/>
    <x v="3"/>
    <x v="220"/>
    <x v="4"/>
    <s v="TX300222"/>
    <s v="C2"/>
    <x v="1"/>
    <s v="Morning"/>
    <s v="Thursday"/>
    <x v="222"/>
  </r>
  <r>
    <x v="195"/>
    <s v="19:47"/>
    <s v="S4"/>
    <x v="1"/>
    <x v="0"/>
    <x v="3"/>
    <x v="221"/>
    <x v="2"/>
    <s v="TX300223"/>
    <s v="C4"/>
    <x v="0"/>
    <s v="Evening"/>
    <s v="Wednesday"/>
    <x v="223"/>
  </r>
  <r>
    <x v="196"/>
    <s v="14:25"/>
    <s v="S4"/>
    <x v="2"/>
    <x v="5"/>
    <x v="7"/>
    <x v="222"/>
    <x v="4"/>
    <s v="TX300224"/>
    <s v="C3"/>
    <x v="2"/>
    <s v="Afternoon"/>
    <s v="Friday"/>
    <x v="224"/>
  </r>
  <r>
    <x v="142"/>
    <s v="10:01"/>
    <s v="S3"/>
    <x v="2"/>
    <x v="1"/>
    <x v="1"/>
    <x v="223"/>
    <x v="1"/>
    <s v="TX300225"/>
    <s v="C3"/>
    <x v="0"/>
    <s v="Morning"/>
    <s v="Wednesday"/>
    <x v="225"/>
  </r>
  <r>
    <x v="197"/>
    <s v="9:07"/>
    <s v="S3"/>
    <x v="2"/>
    <x v="3"/>
    <x v="6"/>
    <x v="224"/>
    <x v="0"/>
    <s v="TX300226"/>
    <s v="C2"/>
    <x v="2"/>
    <s v="Morning"/>
    <s v="Friday"/>
    <x v="226"/>
  </r>
  <r>
    <x v="198"/>
    <s v="21:49"/>
    <s v="S6"/>
    <x v="0"/>
    <x v="0"/>
    <x v="6"/>
    <x v="225"/>
    <x v="1"/>
    <s v="TX300227"/>
    <s v="C1"/>
    <x v="2"/>
    <s v="Evening"/>
    <s v="Monday"/>
    <x v="227"/>
  </r>
  <r>
    <x v="199"/>
    <s v="9:50"/>
    <s v="S5"/>
    <x v="2"/>
    <x v="0"/>
    <x v="0"/>
    <x v="54"/>
    <x v="3"/>
    <s v="TX300228"/>
    <s v="C3"/>
    <x v="0"/>
    <s v="Morning"/>
    <s v="Sunday"/>
    <x v="54"/>
  </r>
  <r>
    <x v="200"/>
    <s v="16:39"/>
    <s v="S4"/>
    <x v="3"/>
    <x v="6"/>
    <x v="9"/>
    <x v="226"/>
    <x v="2"/>
    <s v="TX300229"/>
    <s v="C1"/>
    <x v="3"/>
    <s v="Afternoon"/>
    <s v="Sunday"/>
    <x v="228"/>
  </r>
  <r>
    <x v="201"/>
    <s v="11:06"/>
    <s v="S5"/>
    <x v="3"/>
    <x v="1"/>
    <x v="9"/>
    <x v="227"/>
    <x v="2"/>
    <s v="TX300230"/>
    <s v="C4"/>
    <x v="0"/>
    <s v="Morning"/>
    <s v="Sunday"/>
    <x v="229"/>
  </r>
  <r>
    <x v="49"/>
    <s v="18:39"/>
    <s v="S7"/>
    <x v="0"/>
    <x v="5"/>
    <x v="4"/>
    <x v="228"/>
    <x v="0"/>
    <s v="TX300231"/>
    <s v="C2"/>
    <x v="1"/>
    <s v="Evening"/>
    <s v="Wednesday"/>
    <x v="230"/>
  </r>
  <r>
    <x v="202"/>
    <s v="13:47"/>
    <s v="S8"/>
    <x v="0"/>
    <x v="0"/>
    <x v="5"/>
    <x v="229"/>
    <x v="0"/>
    <s v="TX300232"/>
    <s v="C2"/>
    <x v="0"/>
    <s v="Afternoon"/>
    <s v="Saturday"/>
    <x v="231"/>
  </r>
  <r>
    <x v="203"/>
    <s v="10:27"/>
    <s v="S4"/>
    <x v="1"/>
    <x v="2"/>
    <x v="3"/>
    <x v="230"/>
    <x v="1"/>
    <s v="TX300233"/>
    <s v="C5"/>
    <x v="0"/>
    <s v="Morning"/>
    <s v="Sunday"/>
    <x v="232"/>
  </r>
  <r>
    <x v="204"/>
    <s v="15:45"/>
    <s v="S2"/>
    <x v="3"/>
    <x v="5"/>
    <x v="1"/>
    <x v="231"/>
    <x v="2"/>
    <s v="TX300234"/>
    <s v="C1"/>
    <x v="3"/>
    <s v="Afternoon"/>
    <s v="Tuesday"/>
    <x v="233"/>
  </r>
  <r>
    <x v="205"/>
    <s v="13:34"/>
    <s v="S3"/>
    <x v="2"/>
    <x v="0"/>
    <x v="7"/>
    <x v="232"/>
    <x v="4"/>
    <s v="TX300235"/>
    <s v="C4"/>
    <x v="3"/>
    <s v="Afternoon"/>
    <s v="Thursday"/>
    <x v="234"/>
  </r>
  <r>
    <x v="190"/>
    <s v="20:08"/>
    <s v="S4"/>
    <x v="3"/>
    <x v="1"/>
    <x v="5"/>
    <x v="233"/>
    <x v="1"/>
    <s v="TX300236"/>
    <s v="C1"/>
    <x v="3"/>
    <s v="Evening"/>
    <s v="Wednesday"/>
    <x v="235"/>
  </r>
  <r>
    <x v="206"/>
    <s v="17:51"/>
    <s v="S6"/>
    <x v="2"/>
    <x v="0"/>
    <x v="6"/>
    <x v="234"/>
    <x v="0"/>
    <s v="TX300237"/>
    <s v="C2"/>
    <x v="0"/>
    <s v="Evening"/>
    <s v="Saturday"/>
    <x v="236"/>
  </r>
  <r>
    <x v="207"/>
    <s v="12:15"/>
    <s v="S10"/>
    <x v="3"/>
    <x v="0"/>
    <x v="2"/>
    <x v="235"/>
    <x v="4"/>
    <s v="TX300238"/>
    <s v="C2"/>
    <x v="1"/>
    <s v="Afternoon"/>
    <s v="Sunday"/>
    <x v="237"/>
  </r>
  <r>
    <x v="208"/>
    <s v="21:30"/>
    <s v="S4"/>
    <x v="1"/>
    <x v="2"/>
    <x v="1"/>
    <x v="236"/>
    <x v="1"/>
    <s v="TX300239"/>
    <s v="C4"/>
    <x v="0"/>
    <s v="Evening"/>
    <s v="Tuesday"/>
    <x v="238"/>
  </r>
  <r>
    <x v="209"/>
    <s v="12:31"/>
    <s v="S2"/>
    <x v="2"/>
    <x v="6"/>
    <x v="3"/>
    <x v="237"/>
    <x v="4"/>
    <s v="TX300240"/>
    <s v="C2"/>
    <x v="3"/>
    <s v="Afternoon"/>
    <s v="Wednesday"/>
    <x v="239"/>
  </r>
  <r>
    <x v="210"/>
    <s v="11:31"/>
    <s v="S8"/>
    <x v="0"/>
    <x v="6"/>
    <x v="7"/>
    <x v="238"/>
    <x v="1"/>
    <s v="TX300241"/>
    <s v="C5"/>
    <x v="1"/>
    <s v="Morning"/>
    <s v="Friday"/>
    <x v="240"/>
  </r>
  <r>
    <x v="211"/>
    <s v="9:44"/>
    <s v="S9"/>
    <x v="2"/>
    <x v="3"/>
    <x v="4"/>
    <x v="239"/>
    <x v="1"/>
    <s v="TX300242"/>
    <s v="C3"/>
    <x v="2"/>
    <s v="Morning"/>
    <s v="Tuesday"/>
    <x v="241"/>
  </r>
  <r>
    <x v="212"/>
    <s v="11:31"/>
    <s v="S10"/>
    <x v="1"/>
    <x v="2"/>
    <x v="3"/>
    <x v="240"/>
    <x v="3"/>
    <s v="TX300243"/>
    <s v="C2"/>
    <x v="1"/>
    <s v="Morning"/>
    <s v="Thursday"/>
    <x v="242"/>
  </r>
  <r>
    <x v="213"/>
    <s v="13:42"/>
    <s v="S9"/>
    <x v="2"/>
    <x v="2"/>
    <x v="9"/>
    <x v="241"/>
    <x v="1"/>
    <s v="TX300244"/>
    <s v="C4"/>
    <x v="2"/>
    <s v="Afternoon"/>
    <s v="Tuesday"/>
    <x v="243"/>
  </r>
  <r>
    <x v="214"/>
    <s v="14:37"/>
    <s v="S7"/>
    <x v="3"/>
    <x v="6"/>
    <x v="9"/>
    <x v="242"/>
    <x v="0"/>
    <s v="TX300245"/>
    <s v="C1"/>
    <x v="0"/>
    <s v="Afternoon"/>
    <s v="Friday"/>
    <x v="244"/>
  </r>
  <r>
    <x v="215"/>
    <s v="14:03"/>
    <s v="S5"/>
    <x v="3"/>
    <x v="3"/>
    <x v="3"/>
    <x v="243"/>
    <x v="3"/>
    <s v="TX300246"/>
    <s v="C3"/>
    <x v="1"/>
    <s v="Afternoon"/>
    <s v="Friday"/>
    <x v="245"/>
  </r>
  <r>
    <x v="58"/>
    <s v="18:55"/>
    <s v="S5"/>
    <x v="2"/>
    <x v="2"/>
    <x v="9"/>
    <x v="244"/>
    <x v="0"/>
    <s v="TX300247"/>
    <s v="C3"/>
    <x v="3"/>
    <s v="Evening"/>
    <s v="Tuesday"/>
    <x v="246"/>
  </r>
  <r>
    <x v="216"/>
    <s v="11:40"/>
    <s v="S1"/>
    <x v="1"/>
    <x v="4"/>
    <x v="1"/>
    <x v="245"/>
    <x v="4"/>
    <s v="TX300248"/>
    <s v="C1"/>
    <x v="3"/>
    <s v="Morning"/>
    <s v="Monday"/>
    <x v="247"/>
  </r>
  <r>
    <x v="91"/>
    <s v="15:31"/>
    <s v="S4"/>
    <x v="0"/>
    <x v="3"/>
    <x v="1"/>
    <x v="246"/>
    <x v="0"/>
    <s v="TX300249"/>
    <s v="C2"/>
    <x v="3"/>
    <s v="Afternoon"/>
    <s v="Friday"/>
    <x v="248"/>
  </r>
  <r>
    <x v="43"/>
    <s v="13:39"/>
    <s v="S3"/>
    <x v="3"/>
    <x v="4"/>
    <x v="6"/>
    <x v="247"/>
    <x v="1"/>
    <s v="TX300250"/>
    <s v="C5"/>
    <x v="0"/>
    <s v="Afternoon"/>
    <s v="Friday"/>
    <x v="249"/>
  </r>
  <r>
    <x v="217"/>
    <s v="11:01"/>
    <s v="S9"/>
    <x v="3"/>
    <x v="6"/>
    <x v="4"/>
    <x v="248"/>
    <x v="3"/>
    <s v="TX300251"/>
    <s v="C3"/>
    <x v="1"/>
    <s v="Morning"/>
    <s v="Thursday"/>
    <x v="250"/>
  </r>
  <r>
    <x v="218"/>
    <s v="13:19"/>
    <s v="S3"/>
    <x v="2"/>
    <x v="2"/>
    <x v="3"/>
    <x v="249"/>
    <x v="2"/>
    <s v="TX300252"/>
    <s v="C4"/>
    <x v="1"/>
    <s v="Afternoon"/>
    <s v="Saturday"/>
    <x v="251"/>
  </r>
  <r>
    <x v="179"/>
    <s v="13:23"/>
    <s v="S4"/>
    <x v="1"/>
    <x v="6"/>
    <x v="6"/>
    <x v="250"/>
    <x v="1"/>
    <s v="TX300253"/>
    <s v="C5"/>
    <x v="3"/>
    <s v="Afternoon"/>
    <s v="Monday"/>
    <x v="252"/>
  </r>
  <r>
    <x v="219"/>
    <s v="19:53"/>
    <s v="S1"/>
    <x v="3"/>
    <x v="2"/>
    <x v="6"/>
    <x v="251"/>
    <x v="0"/>
    <s v="TX300254"/>
    <s v="C5"/>
    <x v="2"/>
    <s v="Evening"/>
    <s v="Saturday"/>
    <x v="253"/>
  </r>
  <r>
    <x v="101"/>
    <s v="17:41"/>
    <s v="S8"/>
    <x v="1"/>
    <x v="2"/>
    <x v="7"/>
    <x v="252"/>
    <x v="1"/>
    <s v="TX300255"/>
    <s v="C1"/>
    <x v="2"/>
    <s v="Evening"/>
    <s v="Friday"/>
    <x v="254"/>
  </r>
  <r>
    <x v="9"/>
    <s v="14:12"/>
    <s v="S7"/>
    <x v="2"/>
    <x v="4"/>
    <x v="9"/>
    <x v="253"/>
    <x v="4"/>
    <s v="TX300256"/>
    <s v="C3"/>
    <x v="1"/>
    <s v="Afternoon"/>
    <s v="Friday"/>
    <x v="255"/>
  </r>
  <r>
    <x v="220"/>
    <s v="15:18"/>
    <s v="S7"/>
    <x v="0"/>
    <x v="3"/>
    <x v="2"/>
    <x v="254"/>
    <x v="2"/>
    <s v="TX300257"/>
    <s v="C1"/>
    <x v="1"/>
    <s v="Afternoon"/>
    <s v="Saturday"/>
    <x v="256"/>
  </r>
  <r>
    <x v="221"/>
    <s v="15:56"/>
    <s v="S1"/>
    <x v="1"/>
    <x v="3"/>
    <x v="3"/>
    <x v="255"/>
    <x v="3"/>
    <s v="TX300258"/>
    <s v="C1"/>
    <x v="2"/>
    <s v="Afternoon"/>
    <s v="Friday"/>
    <x v="257"/>
  </r>
  <r>
    <x v="74"/>
    <s v="20:18"/>
    <s v="S8"/>
    <x v="3"/>
    <x v="6"/>
    <x v="3"/>
    <x v="256"/>
    <x v="3"/>
    <s v="TX300259"/>
    <s v="C3"/>
    <x v="2"/>
    <s v="Evening"/>
    <s v="Saturday"/>
    <x v="258"/>
  </r>
  <r>
    <x v="88"/>
    <s v="11:22"/>
    <s v="S3"/>
    <x v="3"/>
    <x v="4"/>
    <x v="2"/>
    <x v="257"/>
    <x v="4"/>
    <s v="TX300260"/>
    <s v="C2"/>
    <x v="2"/>
    <s v="Morning"/>
    <s v="Tuesday"/>
    <x v="259"/>
  </r>
  <r>
    <x v="98"/>
    <s v="17:58"/>
    <s v="S6"/>
    <x v="1"/>
    <x v="2"/>
    <x v="9"/>
    <x v="258"/>
    <x v="0"/>
    <s v="TX300261"/>
    <s v="C5"/>
    <x v="0"/>
    <s v="Evening"/>
    <s v="Saturday"/>
    <x v="260"/>
  </r>
  <r>
    <x v="222"/>
    <s v="20:09"/>
    <s v="S10"/>
    <x v="1"/>
    <x v="6"/>
    <x v="9"/>
    <x v="259"/>
    <x v="1"/>
    <s v="TX300262"/>
    <s v="C3"/>
    <x v="0"/>
    <s v="Evening"/>
    <s v="Wednesday"/>
    <x v="261"/>
  </r>
  <r>
    <x v="223"/>
    <s v="15:23"/>
    <s v="S3"/>
    <x v="2"/>
    <x v="6"/>
    <x v="6"/>
    <x v="260"/>
    <x v="4"/>
    <s v="TX300263"/>
    <s v="C5"/>
    <x v="2"/>
    <s v="Afternoon"/>
    <s v="Monday"/>
    <x v="262"/>
  </r>
  <r>
    <x v="224"/>
    <s v="13:49"/>
    <s v="S8"/>
    <x v="3"/>
    <x v="5"/>
    <x v="8"/>
    <x v="261"/>
    <x v="4"/>
    <s v="TX300264"/>
    <s v="C3"/>
    <x v="0"/>
    <s v="Afternoon"/>
    <s v="Friday"/>
    <x v="263"/>
  </r>
  <r>
    <x v="134"/>
    <s v="13:26"/>
    <s v="S4"/>
    <x v="3"/>
    <x v="2"/>
    <x v="9"/>
    <x v="262"/>
    <x v="1"/>
    <s v="TX300265"/>
    <s v="C2"/>
    <x v="3"/>
    <s v="Afternoon"/>
    <s v="Monday"/>
    <x v="264"/>
  </r>
  <r>
    <x v="225"/>
    <s v="19:53"/>
    <s v="S9"/>
    <x v="1"/>
    <x v="0"/>
    <x v="0"/>
    <x v="263"/>
    <x v="1"/>
    <s v="TX300266"/>
    <s v="C4"/>
    <x v="1"/>
    <s v="Evening"/>
    <s v="Sunday"/>
    <x v="265"/>
  </r>
  <r>
    <x v="226"/>
    <s v="18:05"/>
    <s v="S4"/>
    <x v="2"/>
    <x v="3"/>
    <x v="7"/>
    <x v="264"/>
    <x v="2"/>
    <s v="TX300267"/>
    <s v="C2"/>
    <x v="2"/>
    <s v="Evening"/>
    <s v="Wednesday"/>
    <x v="266"/>
  </r>
  <r>
    <x v="227"/>
    <s v="13:27"/>
    <s v="S9"/>
    <x v="2"/>
    <x v="2"/>
    <x v="1"/>
    <x v="265"/>
    <x v="2"/>
    <s v="TX300268"/>
    <s v="C1"/>
    <x v="0"/>
    <s v="Afternoon"/>
    <s v="Thursday"/>
    <x v="267"/>
  </r>
  <r>
    <x v="228"/>
    <s v="11:13"/>
    <s v="S9"/>
    <x v="2"/>
    <x v="5"/>
    <x v="1"/>
    <x v="266"/>
    <x v="2"/>
    <s v="TX300269"/>
    <s v="C2"/>
    <x v="3"/>
    <s v="Morning"/>
    <s v="Saturday"/>
    <x v="268"/>
  </r>
  <r>
    <x v="229"/>
    <s v="16:02"/>
    <s v="S1"/>
    <x v="1"/>
    <x v="1"/>
    <x v="0"/>
    <x v="267"/>
    <x v="2"/>
    <s v="TX300270"/>
    <s v="C5"/>
    <x v="2"/>
    <s v="Afternoon"/>
    <s v="Saturday"/>
    <x v="269"/>
  </r>
  <r>
    <x v="24"/>
    <s v="20:25"/>
    <s v="S1"/>
    <x v="0"/>
    <x v="4"/>
    <x v="4"/>
    <x v="268"/>
    <x v="0"/>
    <s v="TX300271"/>
    <s v="C5"/>
    <x v="2"/>
    <s v="Evening"/>
    <s v="Tuesday"/>
    <x v="270"/>
  </r>
  <r>
    <x v="230"/>
    <s v="10:43"/>
    <s v="S8"/>
    <x v="1"/>
    <x v="1"/>
    <x v="6"/>
    <x v="269"/>
    <x v="4"/>
    <s v="TX300272"/>
    <s v="C5"/>
    <x v="1"/>
    <s v="Morning"/>
    <s v="Saturday"/>
    <x v="271"/>
  </r>
  <r>
    <x v="139"/>
    <s v="21:52"/>
    <s v="S9"/>
    <x v="2"/>
    <x v="3"/>
    <x v="0"/>
    <x v="270"/>
    <x v="1"/>
    <s v="TX300273"/>
    <s v="C3"/>
    <x v="1"/>
    <s v="Evening"/>
    <s v="Sunday"/>
    <x v="272"/>
  </r>
  <r>
    <x v="231"/>
    <s v="11:27"/>
    <s v="S4"/>
    <x v="1"/>
    <x v="2"/>
    <x v="5"/>
    <x v="271"/>
    <x v="4"/>
    <s v="TX300274"/>
    <s v="C5"/>
    <x v="2"/>
    <s v="Morning"/>
    <s v="Monday"/>
    <x v="273"/>
  </r>
  <r>
    <x v="232"/>
    <s v="14:11"/>
    <s v="S5"/>
    <x v="1"/>
    <x v="4"/>
    <x v="5"/>
    <x v="272"/>
    <x v="4"/>
    <s v="TX300275"/>
    <s v="C2"/>
    <x v="0"/>
    <s v="Afternoon"/>
    <s v="Thursday"/>
    <x v="274"/>
  </r>
  <r>
    <x v="233"/>
    <s v="16:06"/>
    <s v="S1"/>
    <x v="0"/>
    <x v="6"/>
    <x v="7"/>
    <x v="273"/>
    <x v="4"/>
    <s v="TX300276"/>
    <s v="C5"/>
    <x v="1"/>
    <s v="Afternoon"/>
    <s v="Thursday"/>
    <x v="275"/>
  </r>
  <r>
    <x v="90"/>
    <s v="17:40"/>
    <s v="S2"/>
    <x v="3"/>
    <x v="3"/>
    <x v="0"/>
    <x v="274"/>
    <x v="1"/>
    <s v="TX300277"/>
    <s v="C4"/>
    <x v="0"/>
    <s v="Evening"/>
    <s v="Tuesday"/>
    <x v="276"/>
  </r>
  <r>
    <x v="234"/>
    <s v="20:01"/>
    <s v="S2"/>
    <x v="3"/>
    <x v="3"/>
    <x v="7"/>
    <x v="275"/>
    <x v="3"/>
    <s v="TX300278"/>
    <s v="C3"/>
    <x v="2"/>
    <s v="Evening"/>
    <s v="Monday"/>
    <x v="277"/>
  </r>
  <r>
    <x v="47"/>
    <s v="9:58"/>
    <s v="S7"/>
    <x v="1"/>
    <x v="3"/>
    <x v="5"/>
    <x v="276"/>
    <x v="2"/>
    <s v="TX300279"/>
    <s v="C5"/>
    <x v="1"/>
    <s v="Morning"/>
    <s v="Monday"/>
    <x v="52"/>
  </r>
  <r>
    <x v="235"/>
    <s v="12:48"/>
    <s v="S9"/>
    <x v="1"/>
    <x v="4"/>
    <x v="2"/>
    <x v="277"/>
    <x v="1"/>
    <s v="TX300280"/>
    <s v="C2"/>
    <x v="2"/>
    <s v="Afternoon"/>
    <s v="Tuesday"/>
    <x v="278"/>
  </r>
  <r>
    <x v="236"/>
    <s v="13:10"/>
    <s v="S10"/>
    <x v="1"/>
    <x v="4"/>
    <x v="0"/>
    <x v="278"/>
    <x v="4"/>
    <s v="TX300281"/>
    <s v="C2"/>
    <x v="1"/>
    <s v="Afternoon"/>
    <s v="Wednesday"/>
    <x v="279"/>
  </r>
  <r>
    <x v="136"/>
    <s v="17:16"/>
    <s v="S6"/>
    <x v="2"/>
    <x v="3"/>
    <x v="6"/>
    <x v="279"/>
    <x v="2"/>
    <s v="TX300282"/>
    <s v="C1"/>
    <x v="1"/>
    <s v="Evening"/>
    <s v="Sunday"/>
    <x v="280"/>
  </r>
  <r>
    <x v="227"/>
    <s v="11:30"/>
    <s v="S6"/>
    <x v="3"/>
    <x v="1"/>
    <x v="1"/>
    <x v="280"/>
    <x v="0"/>
    <s v="TX300283"/>
    <s v="C4"/>
    <x v="0"/>
    <s v="Morning"/>
    <s v="Thursday"/>
    <x v="281"/>
  </r>
  <r>
    <x v="237"/>
    <s v="10:55"/>
    <s v="S9"/>
    <x v="2"/>
    <x v="0"/>
    <x v="7"/>
    <x v="281"/>
    <x v="3"/>
    <s v="TX300284"/>
    <s v="C4"/>
    <x v="0"/>
    <s v="Morning"/>
    <s v="Wednesday"/>
    <x v="282"/>
  </r>
  <r>
    <x v="238"/>
    <s v="10:24"/>
    <s v="S4"/>
    <x v="1"/>
    <x v="3"/>
    <x v="5"/>
    <x v="282"/>
    <x v="4"/>
    <s v="TX300285"/>
    <s v="C2"/>
    <x v="1"/>
    <s v="Morning"/>
    <s v="Saturday"/>
    <x v="283"/>
  </r>
  <r>
    <x v="239"/>
    <s v="15:15"/>
    <s v="S1"/>
    <x v="1"/>
    <x v="0"/>
    <x v="0"/>
    <x v="283"/>
    <x v="1"/>
    <s v="TX300286"/>
    <s v="C4"/>
    <x v="2"/>
    <s v="Afternoon"/>
    <s v="Monday"/>
    <x v="284"/>
  </r>
  <r>
    <x v="194"/>
    <s v="11:08"/>
    <s v="S5"/>
    <x v="1"/>
    <x v="2"/>
    <x v="6"/>
    <x v="284"/>
    <x v="4"/>
    <s v="TX300287"/>
    <s v="C4"/>
    <x v="1"/>
    <s v="Morning"/>
    <s v="Sunday"/>
    <x v="285"/>
  </r>
  <r>
    <x v="240"/>
    <s v="19:42"/>
    <s v="S3"/>
    <x v="1"/>
    <x v="3"/>
    <x v="5"/>
    <x v="285"/>
    <x v="3"/>
    <s v="TX300288"/>
    <s v="C4"/>
    <x v="0"/>
    <s v="Evening"/>
    <s v="Saturday"/>
    <x v="286"/>
  </r>
  <r>
    <x v="241"/>
    <s v="13:05"/>
    <s v="S8"/>
    <x v="0"/>
    <x v="0"/>
    <x v="3"/>
    <x v="286"/>
    <x v="3"/>
    <s v="TX300289"/>
    <s v="C5"/>
    <x v="1"/>
    <s v="Afternoon"/>
    <s v="Wednesday"/>
    <x v="287"/>
  </r>
  <r>
    <x v="242"/>
    <s v="10:10"/>
    <s v="S7"/>
    <x v="2"/>
    <x v="0"/>
    <x v="3"/>
    <x v="287"/>
    <x v="2"/>
    <s v="TX300290"/>
    <s v="C1"/>
    <x v="2"/>
    <s v="Morning"/>
    <s v="Wednesday"/>
    <x v="288"/>
  </r>
  <r>
    <x v="11"/>
    <s v="19:48"/>
    <s v="S10"/>
    <x v="0"/>
    <x v="5"/>
    <x v="3"/>
    <x v="288"/>
    <x v="3"/>
    <s v="TX300291"/>
    <s v="C5"/>
    <x v="3"/>
    <s v="Evening"/>
    <s v="Friday"/>
    <x v="289"/>
  </r>
  <r>
    <x v="72"/>
    <s v="19:10"/>
    <s v="S1"/>
    <x v="2"/>
    <x v="1"/>
    <x v="3"/>
    <x v="289"/>
    <x v="4"/>
    <s v="TX300292"/>
    <s v="C2"/>
    <x v="0"/>
    <s v="Evening"/>
    <s v="Thursday"/>
    <x v="290"/>
  </r>
  <r>
    <x v="243"/>
    <s v="13:05"/>
    <s v="S9"/>
    <x v="0"/>
    <x v="5"/>
    <x v="7"/>
    <x v="290"/>
    <x v="2"/>
    <s v="TX300293"/>
    <s v="C3"/>
    <x v="2"/>
    <s v="Afternoon"/>
    <s v="Wednesday"/>
    <x v="291"/>
  </r>
  <r>
    <x v="244"/>
    <s v="10:46"/>
    <s v="S4"/>
    <x v="3"/>
    <x v="0"/>
    <x v="0"/>
    <x v="291"/>
    <x v="3"/>
    <s v="TX300294"/>
    <s v="C1"/>
    <x v="1"/>
    <s v="Morning"/>
    <s v="Thursday"/>
    <x v="292"/>
  </r>
  <r>
    <x v="245"/>
    <s v="9:17"/>
    <s v="S5"/>
    <x v="3"/>
    <x v="6"/>
    <x v="9"/>
    <x v="292"/>
    <x v="0"/>
    <s v="TX300295"/>
    <s v="C5"/>
    <x v="1"/>
    <s v="Morning"/>
    <s v="Monday"/>
    <x v="293"/>
  </r>
  <r>
    <x v="118"/>
    <s v="19:11"/>
    <s v="S9"/>
    <x v="0"/>
    <x v="4"/>
    <x v="2"/>
    <x v="293"/>
    <x v="1"/>
    <s v="TX300296"/>
    <s v="C2"/>
    <x v="0"/>
    <s v="Evening"/>
    <s v="Tuesday"/>
    <x v="294"/>
  </r>
  <r>
    <x v="197"/>
    <s v="12:38"/>
    <s v="S1"/>
    <x v="0"/>
    <x v="3"/>
    <x v="0"/>
    <x v="294"/>
    <x v="2"/>
    <s v="TX300297"/>
    <s v="C5"/>
    <x v="1"/>
    <s v="Afternoon"/>
    <s v="Friday"/>
    <x v="295"/>
  </r>
  <r>
    <x v="197"/>
    <s v="9:21"/>
    <s v="S1"/>
    <x v="0"/>
    <x v="5"/>
    <x v="3"/>
    <x v="295"/>
    <x v="3"/>
    <s v="TX300298"/>
    <s v="C4"/>
    <x v="3"/>
    <s v="Morning"/>
    <s v="Friday"/>
    <x v="296"/>
  </r>
  <r>
    <x v="168"/>
    <s v="15:29"/>
    <s v="S10"/>
    <x v="0"/>
    <x v="1"/>
    <x v="5"/>
    <x v="296"/>
    <x v="4"/>
    <s v="TX300299"/>
    <s v="C1"/>
    <x v="1"/>
    <s v="Afternoon"/>
    <s v="Sunday"/>
    <x v="297"/>
  </r>
  <r>
    <x v="246"/>
    <s v="14:24"/>
    <s v="S7"/>
    <x v="0"/>
    <x v="6"/>
    <x v="0"/>
    <x v="297"/>
    <x v="2"/>
    <s v="TX300300"/>
    <s v="C4"/>
    <x v="3"/>
    <s v="Afternoon"/>
    <s v="Monday"/>
    <x v="298"/>
  </r>
  <r>
    <x v="247"/>
    <s v="10:27"/>
    <s v="S6"/>
    <x v="3"/>
    <x v="1"/>
    <x v="2"/>
    <x v="298"/>
    <x v="1"/>
    <s v="TX300301"/>
    <s v="C3"/>
    <x v="1"/>
    <s v="Morning"/>
    <s v="Monday"/>
    <x v="299"/>
  </r>
  <r>
    <x v="46"/>
    <s v="20:26"/>
    <s v="S6"/>
    <x v="3"/>
    <x v="1"/>
    <x v="8"/>
    <x v="299"/>
    <x v="1"/>
    <s v="TX300302"/>
    <s v="C2"/>
    <x v="0"/>
    <s v="Evening"/>
    <s v="Friday"/>
    <x v="300"/>
  </r>
  <r>
    <x v="248"/>
    <s v="11:57"/>
    <s v="S9"/>
    <x v="0"/>
    <x v="0"/>
    <x v="7"/>
    <x v="300"/>
    <x v="1"/>
    <s v="TX300303"/>
    <s v="C3"/>
    <x v="0"/>
    <s v="Morning"/>
    <s v="Sunday"/>
    <x v="301"/>
  </r>
  <r>
    <x v="249"/>
    <s v="15:08"/>
    <s v="S8"/>
    <x v="1"/>
    <x v="0"/>
    <x v="9"/>
    <x v="301"/>
    <x v="3"/>
    <s v="TX300304"/>
    <s v="C3"/>
    <x v="2"/>
    <s v="Afternoon"/>
    <s v="Thursday"/>
    <x v="302"/>
  </r>
  <r>
    <x v="250"/>
    <s v="18:57"/>
    <s v="S1"/>
    <x v="2"/>
    <x v="4"/>
    <x v="9"/>
    <x v="302"/>
    <x v="0"/>
    <s v="TX300305"/>
    <s v="C5"/>
    <x v="1"/>
    <s v="Evening"/>
    <s v="Monday"/>
    <x v="303"/>
  </r>
  <r>
    <x v="251"/>
    <s v="14:47"/>
    <s v="S7"/>
    <x v="2"/>
    <x v="6"/>
    <x v="0"/>
    <x v="303"/>
    <x v="2"/>
    <s v="TX300306"/>
    <s v="C1"/>
    <x v="2"/>
    <s v="Afternoon"/>
    <s v="Friday"/>
    <x v="304"/>
  </r>
  <r>
    <x v="64"/>
    <s v="10:36"/>
    <s v="S6"/>
    <x v="3"/>
    <x v="1"/>
    <x v="7"/>
    <x v="304"/>
    <x v="3"/>
    <s v="TX300307"/>
    <s v="C1"/>
    <x v="0"/>
    <s v="Morning"/>
    <s v="Monday"/>
    <x v="305"/>
  </r>
  <r>
    <x v="252"/>
    <s v="9:03"/>
    <s v="S2"/>
    <x v="1"/>
    <x v="3"/>
    <x v="9"/>
    <x v="305"/>
    <x v="4"/>
    <s v="TX300308"/>
    <s v="C2"/>
    <x v="3"/>
    <s v="Morning"/>
    <s v="Saturday"/>
    <x v="306"/>
  </r>
  <r>
    <x v="253"/>
    <s v="9:24"/>
    <s v="S7"/>
    <x v="3"/>
    <x v="6"/>
    <x v="3"/>
    <x v="306"/>
    <x v="4"/>
    <s v="TX300309"/>
    <s v="C3"/>
    <x v="2"/>
    <s v="Morning"/>
    <s v="Tuesday"/>
    <x v="307"/>
  </r>
  <r>
    <x v="254"/>
    <s v="9:05"/>
    <s v="S1"/>
    <x v="0"/>
    <x v="6"/>
    <x v="5"/>
    <x v="307"/>
    <x v="0"/>
    <s v="TX300310"/>
    <s v="C1"/>
    <x v="3"/>
    <s v="Morning"/>
    <s v="Wednesday"/>
    <x v="308"/>
  </r>
  <r>
    <x v="255"/>
    <s v="12:41"/>
    <s v="S2"/>
    <x v="1"/>
    <x v="3"/>
    <x v="0"/>
    <x v="308"/>
    <x v="2"/>
    <s v="TX300311"/>
    <s v="C5"/>
    <x v="3"/>
    <s v="Afternoon"/>
    <s v="Thursday"/>
    <x v="309"/>
  </r>
  <r>
    <x v="112"/>
    <s v="15:33"/>
    <s v="S6"/>
    <x v="2"/>
    <x v="2"/>
    <x v="1"/>
    <x v="309"/>
    <x v="1"/>
    <s v="TX300312"/>
    <s v="C1"/>
    <x v="2"/>
    <s v="Afternoon"/>
    <s v="Wednesday"/>
    <x v="310"/>
  </r>
  <r>
    <x v="256"/>
    <s v="17:49"/>
    <s v="S9"/>
    <x v="1"/>
    <x v="2"/>
    <x v="4"/>
    <x v="310"/>
    <x v="3"/>
    <s v="TX300313"/>
    <s v="C1"/>
    <x v="1"/>
    <s v="Evening"/>
    <s v="Wednesday"/>
    <x v="311"/>
  </r>
  <r>
    <x v="257"/>
    <s v="14:03"/>
    <s v="S9"/>
    <x v="1"/>
    <x v="1"/>
    <x v="9"/>
    <x v="311"/>
    <x v="3"/>
    <s v="TX300314"/>
    <s v="C2"/>
    <x v="2"/>
    <s v="Afternoon"/>
    <s v="Thursday"/>
    <x v="312"/>
  </r>
  <r>
    <x v="44"/>
    <s v="9:54"/>
    <s v="S4"/>
    <x v="0"/>
    <x v="0"/>
    <x v="1"/>
    <x v="312"/>
    <x v="1"/>
    <s v="TX300315"/>
    <s v="C2"/>
    <x v="2"/>
    <s v="Morning"/>
    <s v="Monday"/>
    <x v="313"/>
  </r>
  <r>
    <x v="140"/>
    <s v="12:45"/>
    <s v="S1"/>
    <x v="2"/>
    <x v="3"/>
    <x v="0"/>
    <x v="313"/>
    <x v="1"/>
    <s v="TX300316"/>
    <s v="C3"/>
    <x v="0"/>
    <s v="Afternoon"/>
    <s v="Friday"/>
    <x v="314"/>
  </r>
  <r>
    <x v="205"/>
    <s v="10:59"/>
    <s v="S9"/>
    <x v="2"/>
    <x v="1"/>
    <x v="9"/>
    <x v="314"/>
    <x v="1"/>
    <s v="TX300317"/>
    <s v="C3"/>
    <x v="0"/>
    <s v="Morning"/>
    <s v="Thursday"/>
    <x v="315"/>
  </r>
  <r>
    <x v="204"/>
    <s v="9:00"/>
    <s v="S9"/>
    <x v="3"/>
    <x v="4"/>
    <x v="9"/>
    <x v="315"/>
    <x v="0"/>
    <s v="TX300318"/>
    <s v="C4"/>
    <x v="3"/>
    <s v="Morning"/>
    <s v="Tuesday"/>
    <x v="316"/>
  </r>
  <r>
    <x v="258"/>
    <s v="18:24"/>
    <s v="S9"/>
    <x v="1"/>
    <x v="0"/>
    <x v="7"/>
    <x v="316"/>
    <x v="3"/>
    <s v="TX300319"/>
    <s v="C5"/>
    <x v="1"/>
    <s v="Evening"/>
    <s v="Wednesday"/>
    <x v="317"/>
  </r>
  <r>
    <x v="259"/>
    <s v="16:08"/>
    <s v="S7"/>
    <x v="0"/>
    <x v="5"/>
    <x v="4"/>
    <x v="317"/>
    <x v="0"/>
    <s v="TX300320"/>
    <s v="C2"/>
    <x v="3"/>
    <s v="Afternoon"/>
    <s v="Thursday"/>
    <x v="318"/>
  </r>
  <r>
    <x v="260"/>
    <s v="10:47"/>
    <s v="S10"/>
    <x v="2"/>
    <x v="6"/>
    <x v="3"/>
    <x v="318"/>
    <x v="1"/>
    <s v="TX300321"/>
    <s v="C4"/>
    <x v="0"/>
    <s v="Morning"/>
    <s v="Sunday"/>
    <x v="319"/>
  </r>
  <r>
    <x v="261"/>
    <s v="18:52"/>
    <s v="S2"/>
    <x v="1"/>
    <x v="3"/>
    <x v="7"/>
    <x v="319"/>
    <x v="2"/>
    <s v="TX300322"/>
    <s v="C3"/>
    <x v="2"/>
    <s v="Evening"/>
    <s v="Thursday"/>
    <x v="320"/>
  </r>
  <r>
    <x v="235"/>
    <s v="15:13"/>
    <s v="S3"/>
    <x v="1"/>
    <x v="2"/>
    <x v="6"/>
    <x v="320"/>
    <x v="3"/>
    <s v="TX300323"/>
    <s v="C5"/>
    <x v="0"/>
    <s v="Afternoon"/>
    <s v="Tuesday"/>
    <x v="321"/>
  </r>
  <r>
    <x v="262"/>
    <s v="9:12"/>
    <s v="S8"/>
    <x v="1"/>
    <x v="3"/>
    <x v="6"/>
    <x v="321"/>
    <x v="2"/>
    <s v="TX300324"/>
    <s v="C2"/>
    <x v="0"/>
    <s v="Morning"/>
    <s v="Wednesday"/>
    <x v="322"/>
  </r>
  <r>
    <x v="263"/>
    <s v="20:49"/>
    <s v="S3"/>
    <x v="0"/>
    <x v="3"/>
    <x v="3"/>
    <x v="322"/>
    <x v="0"/>
    <s v="TX300325"/>
    <s v="C2"/>
    <x v="0"/>
    <s v="Evening"/>
    <s v="Tuesday"/>
    <x v="323"/>
  </r>
  <r>
    <x v="264"/>
    <s v="9:13"/>
    <s v="S2"/>
    <x v="1"/>
    <x v="4"/>
    <x v="7"/>
    <x v="323"/>
    <x v="4"/>
    <s v="TX300326"/>
    <s v="C3"/>
    <x v="2"/>
    <s v="Morning"/>
    <s v="Thursday"/>
    <x v="324"/>
  </r>
  <r>
    <x v="265"/>
    <s v="15:02"/>
    <s v="S3"/>
    <x v="1"/>
    <x v="1"/>
    <x v="0"/>
    <x v="324"/>
    <x v="0"/>
    <s v="TX300327"/>
    <s v="C2"/>
    <x v="3"/>
    <s v="Afternoon"/>
    <s v="Sunday"/>
    <x v="325"/>
  </r>
  <r>
    <x v="266"/>
    <s v="17:41"/>
    <s v="S1"/>
    <x v="0"/>
    <x v="0"/>
    <x v="9"/>
    <x v="325"/>
    <x v="2"/>
    <s v="TX300328"/>
    <s v="C4"/>
    <x v="3"/>
    <s v="Evening"/>
    <s v="Friday"/>
    <x v="326"/>
  </r>
  <r>
    <x v="267"/>
    <s v="21:07"/>
    <s v="S4"/>
    <x v="2"/>
    <x v="3"/>
    <x v="9"/>
    <x v="326"/>
    <x v="2"/>
    <s v="TX300329"/>
    <s v="C5"/>
    <x v="2"/>
    <s v="Evening"/>
    <s v="Friday"/>
    <x v="327"/>
  </r>
  <r>
    <x v="268"/>
    <s v="10:42"/>
    <s v="S1"/>
    <x v="3"/>
    <x v="3"/>
    <x v="0"/>
    <x v="327"/>
    <x v="1"/>
    <s v="TX300330"/>
    <s v="C3"/>
    <x v="0"/>
    <s v="Morning"/>
    <s v="Sunday"/>
    <x v="328"/>
  </r>
  <r>
    <x v="13"/>
    <s v="17:22"/>
    <s v="S2"/>
    <x v="1"/>
    <x v="0"/>
    <x v="7"/>
    <x v="328"/>
    <x v="1"/>
    <s v="TX300331"/>
    <s v="C5"/>
    <x v="3"/>
    <s v="Evening"/>
    <s v="Tuesday"/>
    <x v="329"/>
  </r>
  <r>
    <x v="269"/>
    <s v="10:24"/>
    <s v="S9"/>
    <x v="3"/>
    <x v="2"/>
    <x v="5"/>
    <x v="329"/>
    <x v="3"/>
    <s v="TX300332"/>
    <s v="C5"/>
    <x v="3"/>
    <s v="Morning"/>
    <s v="Monday"/>
    <x v="330"/>
  </r>
  <r>
    <x v="56"/>
    <s v="19:30"/>
    <s v="S1"/>
    <x v="1"/>
    <x v="2"/>
    <x v="6"/>
    <x v="330"/>
    <x v="0"/>
    <s v="TX300333"/>
    <s v="C3"/>
    <x v="1"/>
    <s v="Evening"/>
    <s v="Monday"/>
    <x v="331"/>
  </r>
  <r>
    <x v="270"/>
    <s v="19:50"/>
    <s v="S7"/>
    <x v="2"/>
    <x v="5"/>
    <x v="1"/>
    <x v="331"/>
    <x v="1"/>
    <s v="TX300334"/>
    <s v="C3"/>
    <x v="0"/>
    <s v="Evening"/>
    <s v="Tuesday"/>
    <x v="332"/>
  </r>
  <r>
    <x v="45"/>
    <s v="10:49"/>
    <s v="S6"/>
    <x v="3"/>
    <x v="6"/>
    <x v="5"/>
    <x v="332"/>
    <x v="0"/>
    <s v="TX300335"/>
    <s v="C5"/>
    <x v="2"/>
    <s v="Morning"/>
    <s v="Tuesday"/>
    <x v="333"/>
  </r>
  <r>
    <x v="271"/>
    <s v="9:28"/>
    <s v="S9"/>
    <x v="2"/>
    <x v="5"/>
    <x v="7"/>
    <x v="333"/>
    <x v="2"/>
    <s v="TX300336"/>
    <s v="C3"/>
    <x v="1"/>
    <s v="Morning"/>
    <s v="Friday"/>
    <x v="334"/>
  </r>
  <r>
    <x v="272"/>
    <s v="17:20"/>
    <s v="S9"/>
    <x v="2"/>
    <x v="0"/>
    <x v="0"/>
    <x v="334"/>
    <x v="4"/>
    <s v="TX300337"/>
    <s v="C5"/>
    <x v="0"/>
    <s v="Evening"/>
    <s v="Monday"/>
    <x v="335"/>
  </r>
  <r>
    <x v="273"/>
    <s v="21:10"/>
    <s v="S1"/>
    <x v="0"/>
    <x v="4"/>
    <x v="2"/>
    <x v="335"/>
    <x v="2"/>
    <s v="TX300338"/>
    <s v="C1"/>
    <x v="0"/>
    <s v="Evening"/>
    <s v="Monday"/>
    <x v="336"/>
  </r>
  <r>
    <x v="158"/>
    <s v="19:20"/>
    <s v="S9"/>
    <x v="2"/>
    <x v="5"/>
    <x v="3"/>
    <x v="336"/>
    <x v="3"/>
    <s v="TX300339"/>
    <s v="C2"/>
    <x v="1"/>
    <s v="Evening"/>
    <s v="Tuesday"/>
    <x v="337"/>
  </r>
  <r>
    <x v="274"/>
    <s v="14:10"/>
    <s v="S2"/>
    <x v="0"/>
    <x v="6"/>
    <x v="7"/>
    <x v="337"/>
    <x v="2"/>
    <s v="TX300340"/>
    <s v="C3"/>
    <x v="0"/>
    <s v="Afternoon"/>
    <s v="Friday"/>
    <x v="338"/>
  </r>
  <r>
    <x v="275"/>
    <s v="17:23"/>
    <s v="S9"/>
    <x v="2"/>
    <x v="6"/>
    <x v="1"/>
    <x v="338"/>
    <x v="4"/>
    <s v="TX300341"/>
    <s v="C5"/>
    <x v="2"/>
    <s v="Evening"/>
    <s v="Thursday"/>
    <x v="339"/>
  </r>
  <r>
    <x v="276"/>
    <s v="10:38"/>
    <s v="S2"/>
    <x v="3"/>
    <x v="5"/>
    <x v="5"/>
    <x v="339"/>
    <x v="1"/>
    <s v="TX300342"/>
    <s v="C5"/>
    <x v="1"/>
    <s v="Morning"/>
    <s v="Monday"/>
    <x v="340"/>
  </r>
  <r>
    <x v="277"/>
    <s v="18:07"/>
    <s v="S9"/>
    <x v="2"/>
    <x v="3"/>
    <x v="5"/>
    <x v="340"/>
    <x v="0"/>
    <s v="TX300343"/>
    <s v="C3"/>
    <x v="1"/>
    <s v="Evening"/>
    <s v="Saturday"/>
    <x v="341"/>
  </r>
  <r>
    <x v="278"/>
    <s v="20:29"/>
    <s v="S3"/>
    <x v="3"/>
    <x v="0"/>
    <x v="4"/>
    <x v="341"/>
    <x v="3"/>
    <s v="TX300344"/>
    <s v="C1"/>
    <x v="2"/>
    <s v="Evening"/>
    <s v="Monday"/>
    <x v="342"/>
  </r>
  <r>
    <x v="273"/>
    <s v="16:02"/>
    <s v="S9"/>
    <x v="1"/>
    <x v="2"/>
    <x v="5"/>
    <x v="342"/>
    <x v="4"/>
    <s v="TX300345"/>
    <s v="C5"/>
    <x v="2"/>
    <s v="Afternoon"/>
    <s v="Monday"/>
    <x v="343"/>
  </r>
  <r>
    <x v="279"/>
    <s v="9:22"/>
    <s v="S5"/>
    <x v="1"/>
    <x v="1"/>
    <x v="9"/>
    <x v="343"/>
    <x v="3"/>
    <s v="TX300346"/>
    <s v="C1"/>
    <x v="2"/>
    <s v="Morning"/>
    <s v="Thursday"/>
    <x v="344"/>
  </r>
  <r>
    <x v="280"/>
    <s v="17:39"/>
    <s v="S2"/>
    <x v="0"/>
    <x v="0"/>
    <x v="4"/>
    <x v="344"/>
    <x v="1"/>
    <s v="TX300347"/>
    <s v="C3"/>
    <x v="0"/>
    <s v="Evening"/>
    <s v="Friday"/>
    <x v="345"/>
  </r>
  <r>
    <x v="169"/>
    <s v="16:52"/>
    <s v="S2"/>
    <x v="1"/>
    <x v="0"/>
    <x v="9"/>
    <x v="345"/>
    <x v="3"/>
    <s v="TX300348"/>
    <s v="C2"/>
    <x v="2"/>
    <s v="Afternoon"/>
    <s v="Friday"/>
    <x v="346"/>
  </r>
  <r>
    <x v="281"/>
    <s v="21:37"/>
    <s v="S7"/>
    <x v="1"/>
    <x v="2"/>
    <x v="2"/>
    <x v="346"/>
    <x v="4"/>
    <s v="TX300349"/>
    <s v="C5"/>
    <x v="2"/>
    <s v="Evening"/>
    <s v="Wednesday"/>
    <x v="347"/>
  </r>
  <r>
    <x v="282"/>
    <s v="11:05"/>
    <s v="S5"/>
    <x v="0"/>
    <x v="3"/>
    <x v="6"/>
    <x v="347"/>
    <x v="3"/>
    <s v="TX300350"/>
    <s v="C2"/>
    <x v="0"/>
    <s v="Morning"/>
    <s v="Friday"/>
    <x v="348"/>
  </r>
  <r>
    <x v="283"/>
    <s v="20:42"/>
    <s v="S3"/>
    <x v="0"/>
    <x v="0"/>
    <x v="7"/>
    <x v="348"/>
    <x v="1"/>
    <s v="TX300351"/>
    <s v="C4"/>
    <x v="0"/>
    <s v="Evening"/>
    <s v="Tuesday"/>
    <x v="349"/>
  </r>
  <r>
    <x v="284"/>
    <s v="12:58"/>
    <s v="S3"/>
    <x v="0"/>
    <x v="4"/>
    <x v="1"/>
    <x v="349"/>
    <x v="3"/>
    <s v="TX300352"/>
    <s v="C3"/>
    <x v="0"/>
    <s v="Afternoon"/>
    <s v="Tuesday"/>
    <x v="350"/>
  </r>
  <r>
    <x v="285"/>
    <s v="9:54"/>
    <s v="S10"/>
    <x v="1"/>
    <x v="4"/>
    <x v="3"/>
    <x v="350"/>
    <x v="3"/>
    <s v="TX300353"/>
    <s v="C4"/>
    <x v="2"/>
    <s v="Morning"/>
    <s v="Monday"/>
    <x v="351"/>
  </r>
  <r>
    <x v="252"/>
    <s v="21:44"/>
    <s v="S6"/>
    <x v="0"/>
    <x v="5"/>
    <x v="3"/>
    <x v="351"/>
    <x v="2"/>
    <s v="TX300354"/>
    <s v="C1"/>
    <x v="2"/>
    <s v="Evening"/>
    <s v="Saturday"/>
    <x v="352"/>
  </r>
  <r>
    <x v="286"/>
    <s v="17:17"/>
    <s v="S6"/>
    <x v="0"/>
    <x v="5"/>
    <x v="4"/>
    <x v="352"/>
    <x v="1"/>
    <s v="TX300355"/>
    <s v="C5"/>
    <x v="0"/>
    <s v="Evening"/>
    <s v="Monday"/>
    <x v="353"/>
  </r>
  <r>
    <x v="287"/>
    <s v="10:23"/>
    <s v="S3"/>
    <x v="3"/>
    <x v="5"/>
    <x v="1"/>
    <x v="353"/>
    <x v="2"/>
    <s v="TX300356"/>
    <s v="C5"/>
    <x v="2"/>
    <s v="Morning"/>
    <s v="Friday"/>
    <x v="354"/>
  </r>
  <r>
    <x v="282"/>
    <s v="12:48"/>
    <s v="S1"/>
    <x v="3"/>
    <x v="3"/>
    <x v="9"/>
    <x v="354"/>
    <x v="0"/>
    <s v="TX300357"/>
    <s v="C1"/>
    <x v="2"/>
    <s v="Afternoon"/>
    <s v="Friday"/>
    <x v="355"/>
  </r>
  <r>
    <x v="147"/>
    <s v="20:47"/>
    <s v="S6"/>
    <x v="2"/>
    <x v="3"/>
    <x v="2"/>
    <x v="355"/>
    <x v="2"/>
    <s v="TX300358"/>
    <s v="C5"/>
    <x v="2"/>
    <s v="Evening"/>
    <s v="Friday"/>
    <x v="356"/>
  </r>
  <r>
    <x v="288"/>
    <s v="10:14"/>
    <s v="S8"/>
    <x v="2"/>
    <x v="6"/>
    <x v="7"/>
    <x v="356"/>
    <x v="4"/>
    <s v="TX300359"/>
    <s v="C5"/>
    <x v="0"/>
    <s v="Morning"/>
    <s v="Saturday"/>
    <x v="357"/>
  </r>
  <r>
    <x v="289"/>
    <s v="19:04"/>
    <s v="S6"/>
    <x v="0"/>
    <x v="5"/>
    <x v="7"/>
    <x v="357"/>
    <x v="2"/>
    <s v="TX300360"/>
    <s v="C1"/>
    <x v="0"/>
    <s v="Evening"/>
    <s v="Tuesday"/>
    <x v="229"/>
  </r>
  <r>
    <x v="290"/>
    <s v="21:58"/>
    <s v="S5"/>
    <x v="2"/>
    <x v="5"/>
    <x v="2"/>
    <x v="358"/>
    <x v="2"/>
    <s v="TX300361"/>
    <s v="C3"/>
    <x v="1"/>
    <s v="Evening"/>
    <s v="Thursday"/>
    <x v="358"/>
  </r>
  <r>
    <x v="291"/>
    <s v="18:47"/>
    <s v="S9"/>
    <x v="2"/>
    <x v="0"/>
    <x v="4"/>
    <x v="359"/>
    <x v="3"/>
    <s v="TX300362"/>
    <s v="C1"/>
    <x v="3"/>
    <s v="Evening"/>
    <s v="Wednesday"/>
    <x v="359"/>
  </r>
  <r>
    <x v="171"/>
    <s v="18:00"/>
    <s v="S2"/>
    <x v="3"/>
    <x v="3"/>
    <x v="5"/>
    <x v="360"/>
    <x v="3"/>
    <s v="TX300363"/>
    <s v="C5"/>
    <x v="0"/>
    <s v="Evening"/>
    <s v="Wednesday"/>
    <x v="360"/>
  </r>
  <r>
    <x v="239"/>
    <s v="11:16"/>
    <s v="S7"/>
    <x v="3"/>
    <x v="2"/>
    <x v="7"/>
    <x v="361"/>
    <x v="1"/>
    <s v="TX300364"/>
    <s v="C2"/>
    <x v="3"/>
    <s v="Morning"/>
    <s v="Monday"/>
    <x v="361"/>
  </r>
  <r>
    <x v="260"/>
    <s v="17:37"/>
    <s v="S5"/>
    <x v="2"/>
    <x v="2"/>
    <x v="8"/>
    <x v="362"/>
    <x v="4"/>
    <s v="TX300365"/>
    <s v="C5"/>
    <x v="0"/>
    <s v="Evening"/>
    <s v="Sunday"/>
    <x v="362"/>
  </r>
  <r>
    <x v="249"/>
    <s v="13:13"/>
    <s v="S1"/>
    <x v="2"/>
    <x v="5"/>
    <x v="9"/>
    <x v="363"/>
    <x v="1"/>
    <s v="TX300366"/>
    <s v="C3"/>
    <x v="1"/>
    <s v="Afternoon"/>
    <s v="Thursday"/>
    <x v="363"/>
  </r>
  <r>
    <x v="292"/>
    <s v="21:06"/>
    <s v="S4"/>
    <x v="0"/>
    <x v="5"/>
    <x v="1"/>
    <x v="364"/>
    <x v="4"/>
    <s v="TX300367"/>
    <s v="C3"/>
    <x v="0"/>
    <s v="Evening"/>
    <s v="Thursday"/>
    <x v="364"/>
  </r>
  <r>
    <x v="293"/>
    <s v="13:59"/>
    <s v="S3"/>
    <x v="2"/>
    <x v="0"/>
    <x v="7"/>
    <x v="365"/>
    <x v="4"/>
    <s v="TX300368"/>
    <s v="C1"/>
    <x v="2"/>
    <s v="Afternoon"/>
    <s v="Thursday"/>
    <x v="365"/>
  </r>
  <r>
    <x v="95"/>
    <s v="10:54"/>
    <s v="S7"/>
    <x v="3"/>
    <x v="1"/>
    <x v="2"/>
    <x v="366"/>
    <x v="2"/>
    <s v="TX300369"/>
    <s v="C5"/>
    <x v="1"/>
    <s v="Morning"/>
    <s v="Tuesday"/>
    <x v="366"/>
  </r>
  <r>
    <x v="27"/>
    <s v="13:55"/>
    <s v="S6"/>
    <x v="1"/>
    <x v="5"/>
    <x v="1"/>
    <x v="367"/>
    <x v="0"/>
    <s v="TX300370"/>
    <s v="C3"/>
    <x v="3"/>
    <s v="Afternoon"/>
    <s v="Monday"/>
    <x v="367"/>
  </r>
  <r>
    <x v="161"/>
    <s v="16:04"/>
    <s v="S8"/>
    <x v="3"/>
    <x v="1"/>
    <x v="1"/>
    <x v="368"/>
    <x v="0"/>
    <s v="TX300371"/>
    <s v="C4"/>
    <x v="3"/>
    <s v="Afternoon"/>
    <s v="Saturday"/>
    <x v="368"/>
  </r>
  <r>
    <x v="294"/>
    <s v="16:59"/>
    <s v="S1"/>
    <x v="1"/>
    <x v="6"/>
    <x v="1"/>
    <x v="369"/>
    <x v="3"/>
    <s v="TX300372"/>
    <s v="C3"/>
    <x v="3"/>
    <s v="Afternoon"/>
    <s v="Thursday"/>
    <x v="369"/>
  </r>
  <r>
    <x v="295"/>
    <s v="20:59"/>
    <s v="S8"/>
    <x v="2"/>
    <x v="2"/>
    <x v="4"/>
    <x v="370"/>
    <x v="3"/>
    <s v="TX300373"/>
    <s v="C4"/>
    <x v="3"/>
    <s v="Evening"/>
    <s v="Monday"/>
    <x v="370"/>
  </r>
  <r>
    <x v="296"/>
    <s v="21:01"/>
    <s v="S7"/>
    <x v="2"/>
    <x v="0"/>
    <x v="0"/>
    <x v="371"/>
    <x v="4"/>
    <s v="TX300374"/>
    <s v="C2"/>
    <x v="3"/>
    <s v="Evening"/>
    <s v="Wednesday"/>
    <x v="371"/>
  </r>
  <r>
    <x v="297"/>
    <s v="18:04"/>
    <s v="S8"/>
    <x v="0"/>
    <x v="3"/>
    <x v="7"/>
    <x v="372"/>
    <x v="4"/>
    <s v="TX300375"/>
    <s v="C4"/>
    <x v="0"/>
    <s v="Evening"/>
    <s v="Wednesday"/>
    <x v="372"/>
  </r>
  <r>
    <x v="298"/>
    <s v="10:16"/>
    <s v="S4"/>
    <x v="3"/>
    <x v="0"/>
    <x v="2"/>
    <x v="373"/>
    <x v="0"/>
    <s v="TX300376"/>
    <s v="C3"/>
    <x v="0"/>
    <s v="Morning"/>
    <s v="Saturday"/>
    <x v="373"/>
  </r>
  <r>
    <x v="67"/>
    <s v="9:35"/>
    <s v="S9"/>
    <x v="3"/>
    <x v="2"/>
    <x v="8"/>
    <x v="374"/>
    <x v="0"/>
    <s v="TX300377"/>
    <s v="C3"/>
    <x v="2"/>
    <s v="Morning"/>
    <s v="Tuesday"/>
    <x v="374"/>
  </r>
  <r>
    <x v="299"/>
    <s v="13:39"/>
    <s v="S1"/>
    <x v="0"/>
    <x v="1"/>
    <x v="9"/>
    <x v="375"/>
    <x v="0"/>
    <s v="TX300378"/>
    <s v="C1"/>
    <x v="3"/>
    <s v="Afternoon"/>
    <s v="Tuesday"/>
    <x v="375"/>
  </r>
  <r>
    <x v="10"/>
    <s v="12:10"/>
    <s v="S7"/>
    <x v="1"/>
    <x v="3"/>
    <x v="6"/>
    <x v="376"/>
    <x v="2"/>
    <s v="TX300379"/>
    <s v="C4"/>
    <x v="2"/>
    <s v="Afternoon"/>
    <s v="Wednesday"/>
    <x v="376"/>
  </r>
  <r>
    <x v="50"/>
    <s v="12:54"/>
    <s v="S7"/>
    <x v="2"/>
    <x v="1"/>
    <x v="1"/>
    <x v="377"/>
    <x v="4"/>
    <s v="TX300380"/>
    <s v="C2"/>
    <x v="1"/>
    <s v="Afternoon"/>
    <s v="Monday"/>
    <x v="377"/>
  </r>
  <r>
    <x v="300"/>
    <s v="12:39"/>
    <s v="S9"/>
    <x v="0"/>
    <x v="5"/>
    <x v="3"/>
    <x v="378"/>
    <x v="3"/>
    <s v="TX300381"/>
    <s v="C3"/>
    <x v="1"/>
    <s v="Afternoon"/>
    <s v="Sunday"/>
    <x v="378"/>
  </r>
  <r>
    <x v="301"/>
    <s v="20:17"/>
    <s v="S3"/>
    <x v="1"/>
    <x v="6"/>
    <x v="7"/>
    <x v="379"/>
    <x v="0"/>
    <s v="TX300382"/>
    <s v="C5"/>
    <x v="1"/>
    <s v="Evening"/>
    <s v="Tuesday"/>
    <x v="379"/>
  </r>
  <r>
    <x v="302"/>
    <s v="13:20"/>
    <s v="S10"/>
    <x v="3"/>
    <x v="3"/>
    <x v="9"/>
    <x v="380"/>
    <x v="2"/>
    <s v="TX300383"/>
    <s v="C4"/>
    <x v="0"/>
    <s v="Afternoon"/>
    <s v="Sunday"/>
    <x v="380"/>
  </r>
  <r>
    <x v="303"/>
    <s v="9:37"/>
    <s v="S5"/>
    <x v="0"/>
    <x v="6"/>
    <x v="0"/>
    <x v="381"/>
    <x v="3"/>
    <s v="TX300384"/>
    <s v="C3"/>
    <x v="2"/>
    <s v="Morning"/>
    <s v="Sunday"/>
    <x v="381"/>
  </r>
  <r>
    <x v="304"/>
    <s v="15:16"/>
    <s v="S10"/>
    <x v="1"/>
    <x v="3"/>
    <x v="4"/>
    <x v="382"/>
    <x v="4"/>
    <s v="TX300385"/>
    <s v="C5"/>
    <x v="0"/>
    <s v="Afternoon"/>
    <s v="Thursday"/>
    <x v="382"/>
  </r>
  <r>
    <x v="305"/>
    <s v="15:01"/>
    <s v="S9"/>
    <x v="1"/>
    <x v="5"/>
    <x v="1"/>
    <x v="383"/>
    <x v="2"/>
    <s v="TX300386"/>
    <s v="C2"/>
    <x v="1"/>
    <s v="Afternoon"/>
    <s v="Tuesday"/>
    <x v="383"/>
  </r>
  <r>
    <x v="306"/>
    <s v="15:38"/>
    <s v="S10"/>
    <x v="2"/>
    <x v="6"/>
    <x v="1"/>
    <x v="384"/>
    <x v="1"/>
    <s v="TX300387"/>
    <s v="C4"/>
    <x v="3"/>
    <s v="Afternoon"/>
    <s v="Tuesday"/>
    <x v="384"/>
  </r>
  <r>
    <x v="102"/>
    <s v="19:32"/>
    <s v="S1"/>
    <x v="3"/>
    <x v="3"/>
    <x v="7"/>
    <x v="385"/>
    <x v="0"/>
    <s v="TX300388"/>
    <s v="C3"/>
    <x v="1"/>
    <s v="Evening"/>
    <s v="Friday"/>
    <x v="385"/>
  </r>
  <r>
    <x v="307"/>
    <s v="21:34"/>
    <s v="S2"/>
    <x v="2"/>
    <x v="2"/>
    <x v="4"/>
    <x v="386"/>
    <x v="1"/>
    <s v="TX300389"/>
    <s v="C4"/>
    <x v="2"/>
    <s v="Evening"/>
    <s v="Thursday"/>
    <x v="386"/>
  </r>
  <r>
    <x v="308"/>
    <s v="16:27"/>
    <s v="S5"/>
    <x v="0"/>
    <x v="1"/>
    <x v="1"/>
    <x v="387"/>
    <x v="0"/>
    <s v="TX300390"/>
    <s v="C5"/>
    <x v="3"/>
    <s v="Afternoon"/>
    <s v="Monday"/>
    <x v="387"/>
  </r>
  <r>
    <x v="309"/>
    <s v="9:19"/>
    <s v="S10"/>
    <x v="3"/>
    <x v="3"/>
    <x v="0"/>
    <x v="388"/>
    <x v="0"/>
    <s v="TX300391"/>
    <s v="C2"/>
    <x v="1"/>
    <s v="Morning"/>
    <s v="Saturday"/>
    <x v="388"/>
  </r>
  <r>
    <x v="310"/>
    <s v="18:11"/>
    <s v="S2"/>
    <x v="3"/>
    <x v="4"/>
    <x v="1"/>
    <x v="389"/>
    <x v="2"/>
    <s v="TX300392"/>
    <s v="C3"/>
    <x v="0"/>
    <s v="Evening"/>
    <s v="Wednesday"/>
    <x v="389"/>
  </r>
  <r>
    <x v="63"/>
    <s v="18:53"/>
    <s v="S6"/>
    <x v="1"/>
    <x v="3"/>
    <x v="8"/>
    <x v="390"/>
    <x v="2"/>
    <s v="TX300393"/>
    <s v="C2"/>
    <x v="1"/>
    <s v="Evening"/>
    <s v="Tuesday"/>
    <x v="390"/>
  </r>
  <r>
    <x v="116"/>
    <s v="12:29"/>
    <s v="S7"/>
    <x v="0"/>
    <x v="1"/>
    <x v="9"/>
    <x v="391"/>
    <x v="2"/>
    <s v="TX300394"/>
    <s v="C2"/>
    <x v="1"/>
    <s v="Afternoon"/>
    <s v="Tuesday"/>
    <x v="391"/>
  </r>
  <r>
    <x v="311"/>
    <s v="14:41"/>
    <s v="S8"/>
    <x v="2"/>
    <x v="6"/>
    <x v="0"/>
    <x v="392"/>
    <x v="3"/>
    <s v="TX300395"/>
    <s v="C1"/>
    <x v="3"/>
    <s v="Afternoon"/>
    <s v="Thursday"/>
    <x v="392"/>
  </r>
  <r>
    <x v="312"/>
    <s v="10:56"/>
    <s v="S10"/>
    <x v="1"/>
    <x v="6"/>
    <x v="0"/>
    <x v="393"/>
    <x v="4"/>
    <s v="TX300396"/>
    <s v="C2"/>
    <x v="2"/>
    <s v="Morning"/>
    <s v="Wednesday"/>
    <x v="393"/>
  </r>
  <r>
    <x v="231"/>
    <s v="21:17"/>
    <s v="S10"/>
    <x v="1"/>
    <x v="4"/>
    <x v="8"/>
    <x v="394"/>
    <x v="2"/>
    <s v="TX300397"/>
    <s v="C1"/>
    <x v="0"/>
    <s v="Evening"/>
    <s v="Monday"/>
    <x v="394"/>
  </r>
  <r>
    <x v="313"/>
    <s v="20:33"/>
    <s v="S2"/>
    <x v="2"/>
    <x v="2"/>
    <x v="7"/>
    <x v="395"/>
    <x v="3"/>
    <s v="TX300398"/>
    <s v="C4"/>
    <x v="1"/>
    <s v="Evening"/>
    <s v="Sunday"/>
    <x v="395"/>
  </r>
  <r>
    <x v="227"/>
    <s v="16:36"/>
    <s v="S2"/>
    <x v="1"/>
    <x v="6"/>
    <x v="8"/>
    <x v="396"/>
    <x v="0"/>
    <s v="TX300399"/>
    <s v="C5"/>
    <x v="2"/>
    <s v="Afternoon"/>
    <s v="Thursday"/>
    <x v="396"/>
  </r>
  <r>
    <x v="314"/>
    <s v="10:26"/>
    <s v="S5"/>
    <x v="1"/>
    <x v="6"/>
    <x v="4"/>
    <x v="397"/>
    <x v="1"/>
    <s v="TX300400"/>
    <s v="C3"/>
    <x v="2"/>
    <s v="Morning"/>
    <s v="Saturday"/>
    <x v="397"/>
  </r>
  <r>
    <x v="315"/>
    <s v="16:45"/>
    <s v="S5"/>
    <x v="2"/>
    <x v="4"/>
    <x v="3"/>
    <x v="398"/>
    <x v="2"/>
    <s v="TX300401"/>
    <s v="C5"/>
    <x v="3"/>
    <s v="Afternoon"/>
    <s v="Sunday"/>
    <x v="398"/>
  </r>
  <r>
    <x v="316"/>
    <s v="17:51"/>
    <s v="S3"/>
    <x v="0"/>
    <x v="5"/>
    <x v="0"/>
    <x v="399"/>
    <x v="0"/>
    <s v="TX300402"/>
    <s v="C1"/>
    <x v="2"/>
    <s v="Evening"/>
    <s v="Wednesday"/>
    <x v="399"/>
  </r>
  <r>
    <x v="317"/>
    <s v="18:45"/>
    <s v="S5"/>
    <x v="1"/>
    <x v="0"/>
    <x v="6"/>
    <x v="400"/>
    <x v="1"/>
    <s v="TX300403"/>
    <s v="C1"/>
    <x v="0"/>
    <s v="Evening"/>
    <s v="Friday"/>
    <x v="400"/>
  </r>
  <r>
    <x v="235"/>
    <s v="19:11"/>
    <s v="S4"/>
    <x v="2"/>
    <x v="1"/>
    <x v="9"/>
    <x v="401"/>
    <x v="3"/>
    <s v="TX300404"/>
    <s v="C4"/>
    <x v="2"/>
    <s v="Evening"/>
    <s v="Tuesday"/>
    <x v="401"/>
  </r>
  <r>
    <x v="318"/>
    <s v="21:29"/>
    <s v="S8"/>
    <x v="0"/>
    <x v="2"/>
    <x v="2"/>
    <x v="402"/>
    <x v="1"/>
    <s v="TX300405"/>
    <s v="C1"/>
    <x v="2"/>
    <s v="Evening"/>
    <s v="Sunday"/>
    <x v="402"/>
  </r>
  <r>
    <x v="319"/>
    <s v="16:30"/>
    <s v="S4"/>
    <x v="1"/>
    <x v="5"/>
    <x v="8"/>
    <x v="403"/>
    <x v="1"/>
    <s v="TX300406"/>
    <s v="C3"/>
    <x v="0"/>
    <s v="Afternoon"/>
    <s v="Sunday"/>
    <x v="403"/>
  </r>
  <r>
    <x v="320"/>
    <s v="15:40"/>
    <s v="S4"/>
    <x v="3"/>
    <x v="5"/>
    <x v="8"/>
    <x v="404"/>
    <x v="3"/>
    <s v="TX300407"/>
    <s v="C1"/>
    <x v="1"/>
    <s v="Afternoon"/>
    <s v="Friday"/>
    <x v="404"/>
  </r>
  <r>
    <x v="144"/>
    <s v="21:03"/>
    <s v="S1"/>
    <x v="3"/>
    <x v="5"/>
    <x v="0"/>
    <x v="405"/>
    <x v="0"/>
    <s v="TX300408"/>
    <s v="C3"/>
    <x v="3"/>
    <s v="Evening"/>
    <s v="Wednesday"/>
    <x v="405"/>
  </r>
  <r>
    <x v="321"/>
    <s v="11:28"/>
    <s v="S2"/>
    <x v="3"/>
    <x v="6"/>
    <x v="6"/>
    <x v="406"/>
    <x v="0"/>
    <s v="TX300409"/>
    <s v="C4"/>
    <x v="0"/>
    <s v="Morning"/>
    <s v="Saturday"/>
    <x v="406"/>
  </r>
  <r>
    <x v="322"/>
    <s v="20:13"/>
    <s v="S6"/>
    <x v="3"/>
    <x v="1"/>
    <x v="0"/>
    <x v="407"/>
    <x v="3"/>
    <s v="TX300410"/>
    <s v="C1"/>
    <x v="1"/>
    <s v="Evening"/>
    <s v="Tuesday"/>
    <x v="407"/>
  </r>
  <r>
    <x v="323"/>
    <s v="15:46"/>
    <s v="S1"/>
    <x v="1"/>
    <x v="4"/>
    <x v="1"/>
    <x v="48"/>
    <x v="3"/>
    <s v="TX300411"/>
    <s v="C5"/>
    <x v="0"/>
    <s v="Afternoon"/>
    <s v="Monday"/>
    <x v="408"/>
  </r>
  <r>
    <x v="324"/>
    <s v="16:38"/>
    <s v="S7"/>
    <x v="2"/>
    <x v="6"/>
    <x v="4"/>
    <x v="408"/>
    <x v="1"/>
    <s v="TX300412"/>
    <s v="C4"/>
    <x v="0"/>
    <s v="Afternoon"/>
    <s v="Monday"/>
    <x v="409"/>
  </r>
  <r>
    <x v="325"/>
    <s v="10:23"/>
    <s v="S9"/>
    <x v="0"/>
    <x v="5"/>
    <x v="4"/>
    <x v="409"/>
    <x v="1"/>
    <s v="TX300413"/>
    <s v="C3"/>
    <x v="1"/>
    <s v="Morning"/>
    <s v="Thursday"/>
    <x v="410"/>
  </r>
  <r>
    <x v="326"/>
    <s v="14:40"/>
    <s v="S4"/>
    <x v="0"/>
    <x v="6"/>
    <x v="0"/>
    <x v="410"/>
    <x v="0"/>
    <s v="TX300414"/>
    <s v="C5"/>
    <x v="3"/>
    <s v="Afternoon"/>
    <s v="Monday"/>
    <x v="411"/>
  </r>
  <r>
    <x v="327"/>
    <s v="11:47"/>
    <s v="S2"/>
    <x v="0"/>
    <x v="5"/>
    <x v="9"/>
    <x v="411"/>
    <x v="3"/>
    <s v="TX300415"/>
    <s v="C2"/>
    <x v="2"/>
    <s v="Morning"/>
    <s v="Monday"/>
    <x v="412"/>
  </r>
  <r>
    <x v="127"/>
    <s v="14:35"/>
    <s v="S9"/>
    <x v="1"/>
    <x v="5"/>
    <x v="3"/>
    <x v="412"/>
    <x v="1"/>
    <s v="TX300416"/>
    <s v="C3"/>
    <x v="0"/>
    <s v="Afternoon"/>
    <s v="Saturday"/>
    <x v="413"/>
  </r>
  <r>
    <x v="328"/>
    <s v="13:43"/>
    <s v="S1"/>
    <x v="3"/>
    <x v="2"/>
    <x v="6"/>
    <x v="413"/>
    <x v="3"/>
    <s v="TX300417"/>
    <s v="C4"/>
    <x v="1"/>
    <s v="Afternoon"/>
    <s v="Wednesday"/>
    <x v="414"/>
  </r>
  <r>
    <x v="329"/>
    <s v="12:40"/>
    <s v="S10"/>
    <x v="3"/>
    <x v="5"/>
    <x v="8"/>
    <x v="414"/>
    <x v="4"/>
    <s v="TX300418"/>
    <s v="C2"/>
    <x v="3"/>
    <s v="Afternoon"/>
    <s v="Sunday"/>
    <x v="415"/>
  </r>
  <r>
    <x v="240"/>
    <s v="20:13"/>
    <s v="S8"/>
    <x v="3"/>
    <x v="6"/>
    <x v="2"/>
    <x v="415"/>
    <x v="1"/>
    <s v="TX300419"/>
    <s v="C1"/>
    <x v="0"/>
    <s v="Evening"/>
    <s v="Saturday"/>
    <x v="416"/>
  </r>
  <r>
    <x v="330"/>
    <s v="11:11"/>
    <s v="S8"/>
    <x v="2"/>
    <x v="4"/>
    <x v="5"/>
    <x v="416"/>
    <x v="2"/>
    <s v="TX300420"/>
    <s v="C4"/>
    <x v="2"/>
    <s v="Morning"/>
    <s v="Wednesday"/>
    <x v="417"/>
  </r>
  <r>
    <x v="331"/>
    <s v="12:43"/>
    <s v="S6"/>
    <x v="0"/>
    <x v="5"/>
    <x v="3"/>
    <x v="417"/>
    <x v="3"/>
    <s v="TX300421"/>
    <s v="C3"/>
    <x v="0"/>
    <s v="Afternoon"/>
    <s v="Tuesday"/>
    <x v="418"/>
  </r>
  <r>
    <x v="332"/>
    <s v="16:31"/>
    <s v="S5"/>
    <x v="2"/>
    <x v="1"/>
    <x v="7"/>
    <x v="418"/>
    <x v="4"/>
    <s v="TX300422"/>
    <s v="C3"/>
    <x v="1"/>
    <s v="Afternoon"/>
    <s v="Friday"/>
    <x v="419"/>
  </r>
  <r>
    <x v="333"/>
    <s v="11:44"/>
    <s v="S2"/>
    <x v="0"/>
    <x v="5"/>
    <x v="5"/>
    <x v="419"/>
    <x v="3"/>
    <s v="TX300423"/>
    <s v="C1"/>
    <x v="2"/>
    <s v="Morning"/>
    <s v="Wednesday"/>
    <x v="420"/>
  </r>
  <r>
    <x v="31"/>
    <s v="16:34"/>
    <s v="S7"/>
    <x v="2"/>
    <x v="2"/>
    <x v="6"/>
    <x v="420"/>
    <x v="2"/>
    <s v="TX300424"/>
    <s v="C1"/>
    <x v="2"/>
    <s v="Afternoon"/>
    <s v="Friday"/>
    <x v="421"/>
  </r>
  <r>
    <x v="334"/>
    <s v="9:38"/>
    <s v="S10"/>
    <x v="2"/>
    <x v="6"/>
    <x v="3"/>
    <x v="421"/>
    <x v="2"/>
    <s v="TX300425"/>
    <s v="C2"/>
    <x v="0"/>
    <s v="Morning"/>
    <s v="Monday"/>
    <x v="422"/>
  </r>
  <r>
    <x v="125"/>
    <s v="17:21"/>
    <s v="S3"/>
    <x v="2"/>
    <x v="2"/>
    <x v="9"/>
    <x v="422"/>
    <x v="2"/>
    <s v="TX300426"/>
    <s v="C3"/>
    <x v="3"/>
    <s v="Evening"/>
    <s v="Sunday"/>
    <x v="423"/>
  </r>
  <r>
    <x v="335"/>
    <s v="19:50"/>
    <s v="S1"/>
    <x v="0"/>
    <x v="4"/>
    <x v="5"/>
    <x v="423"/>
    <x v="0"/>
    <s v="TX300427"/>
    <s v="C3"/>
    <x v="3"/>
    <s v="Evening"/>
    <s v="Thursday"/>
    <x v="424"/>
  </r>
  <r>
    <x v="69"/>
    <s v="21:52"/>
    <s v="S6"/>
    <x v="3"/>
    <x v="3"/>
    <x v="5"/>
    <x v="424"/>
    <x v="2"/>
    <s v="TX300428"/>
    <s v="C1"/>
    <x v="0"/>
    <s v="Evening"/>
    <s v="Sunday"/>
    <x v="425"/>
  </r>
  <r>
    <x v="86"/>
    <s v="14:19"/>
    <s v="S5"/>
    <x v="2"/>
    <x v="1"/>
    <x v="3"/>
    <x v="425"/>
    <x v="2"/>
    <s v="TX300429"/>
    <s v="C4"/>
    <x v="0"/>
    <s v="Afternoon"/>
    <s v="Tuesday"/>
    <x v="426"/>
  </r>
  <r>
    <x v="336"/>
    <s v="20:49"/>
    <s v="S1"/>
    <x v="0"/>
    <x v="6"/>
    <x v="8"/>
    <x v="426"/>
    <x v="3"/>
    <s v="TX300430"/>
    <s v="C4"/>
    <x v="3"/>
    <s v="Evening"/>
    <s v="Tuesday"/>
    <x v="427"/>
  </r>
  <r>
    <x v="337"/>
    <s v="18:45"/>
    <s v="S3"/>
    <x v="1"/>
    <x v="3"/>
    <x v="6"/>
    <x v="427"/>
    <x v="3"/>
    <s v="TX300431"/>
    <s v="C1"/>
    <x v="0"/>
    <s v="Evening"/>
    <s v="Thursday"/>
    <x v="428"/>
  </r>
  <r>
    <x v="189"/>
    <s v="9:18"/>
    <s v="S3"/>
    <x v="3"/>
    <x v="0"/>
    <x v="7"/>
    <x v="428"/>
    <x v="3"/>
    <s v="TX300432"/>
    <s v="C1"/>
    <x v="3"/>
    <s v="Morning"/>
    <s v="Sunday"/>
    <x v="429"/>
  </r>
  <r>
    <x v="69"/>
    <s v="20:45"/>
    <s v="S7"/>
    <x v="2"/>
    <x v="1"/>
    <x v="7"/>
    <x v="429"/>
    <x v="4"/>
    <s v="TX300433"/>
    <s v="C5"/>
    <x v="0"/>
    <s v="Evening"/>
    <s v="Sunday"/>
    <x v="430"/>
  </r>
  <r>
    <x v="35"/>
    <s v="15:30"/>
    <s v="S10"/>
    <x v="0"/>
    <x v="3"/>
    <x v="9"/>
    <x v="430"/>
    <x v="0"/>
    <s v="TX300434"/>
    <s v="C1"/>
    <x v="2"/>
    <s v="Afternoon"/>
    <s v="Sunday"/>
    <x v="431"/>
  </r>
  <r>
    <x v="338"/>
    <s v="15:58"/>
    <s v="S4"/>
    <x v="1"/>
    <x v="0"/>
    <x v="8"/>
    <x v="431"/>
    <x v="1"/>
    <s v="TX300435"/>
    <s v="C4"/>
    <x v="3"/>
    <s v="Afternoon"/>
    <s v="Wednesday"/>
    <x v="432"/>
  </r>
  <r>
    <x v="339"/>
    <s v="10:20"/>
    <s v="S4"/>
    <x v="0"/>
    <x v="1"/>
    <x v="6"/>
    <x v="432"/>
    <x v="1"/>
    <s v="TX300436"/>
    <s v="C3"/>
    <x v="1"/>
    <s v="Morning"/>
    <s v="Tuesday"/>
    <x v="433"/>
  </r>
  <r>
    <x v="194"/>
    <s v="13:31"/>
    <s v="S8"/>
    <x v="0"/>
    <x v="5"/>
    <x v="0"/>
    <x v="433"/>
    <x v="0"/>
    <s v="TX300437"/>
    <s v="C5"/>
    <x v="1"/>
    <s v="Afternoon"/>
    <s v="Sunday"/>
    <x v="434"/>
  </r>
  <r>
    <x v="340"/>
    <s v="11:42"/>
    <s v="S5"/>
    <x v="2"/>
    <x v="0"/>
    <x v="3"/>
    <x v="434"/>
    <x v="1"/>
    <s v="TX300438"/>
    <s v="C1"/>
    <x v="3"/>
    <s v="Morning"/>
    <s v="Monday"/>
    <x v="435"/>
  </r>
  <r>
    <x v="341"/>
    <s v="19:03"/>
    <s v="S8"/>
    <x v="3"/>
    <x v="3"/>
    <x v="6"/>
    <x v="435"/>
    <x v="1"/>
    <s v="TX300439"/>
    <s v="C2"/>
    <x v="1"/>
    <s v="Evening"/>
    <s v="Thursday"/>
    <x v="436"/>
  </r>
  <r>
    <x v="342"/>
    <s v="14:15"/>
    <s v="S1"/>
    <x v="2"/>
    <x v="4"/>
    <x v="9"/>
    <x v="436"/>
    <x v="2"/>
    <s v="TX300440"/>
    <s v="C5"/>
    <x v="0"/>
    <s v="Afternoon"/>
    <s v="Saturday"/>
    <x v="437"/>
  </r>
  <r>
    <x v="343"/>
    <s v="20:21"/>
    <s v="S10"/>
    <x v="3"/>
    <x v="3"/>
    <x v="4"/>
    <x v="437"/>
    <x v="1"/>
    <s v="TX300441"/>
    <s v="C1"/>
    <x v="3"/>
    <s v="Evening"/>
    <s v="Saturday"/>
    <x v="438"/>
  </r>
  <r>
    <x v="87"/>
    <s v="14:51"/>
    <s v="S9"/>
    <x v="2"/>
    <x v="3"/>
    <x v="4"/>
    <x v="438"/>
    <x v="4"/>
    <s v="TX300442"/>
    <s v="C2"/>
    <x v="3"/>
    <s v="Afternoon"/>
    <s v="Friday"/>
    <x v="439"/>
  </r>
  <r>
    <x v="344"/>
    <s v="13:49"/>
    <s v="S7"/>
    <x v="1"/>
    <x v="0"/>
    <x v="4"/>
    <x v="439"/>
    <x v="1"/>
    <s v="TX300443"/>
    <s v="C3"/>
    <x v="0"/>
    <s v="Afternoon"/>
    <s v="Sunday"/>
    <x v="440"/>
  </r>
  <r>
    <x v="166"/>
    <s v="13:03"/>
    <s v="S8"/>
    <x v="2"/>
    <x v="4"/>
    <x v="7"/>
    <x v="440"/>
    <x v="0"/>
    <s v="TX300444"/>
    <s v="C4"/>
    <x v="1"/>
    <s v="Afternoon"/>
    <s v="Sunday"/>
    <x v="441"/>
  </r>
  <r>
    <x v="345"/>
    <s v="9:07"/>
    <s v="S9"/>
    <x v="0"/>
    <x v="5"/>
    <x v="2"/>
    <x v="441"/>
    <x v="0"/>
    <s v="TX300445"/>
    <s v="C3"/>
    <x v="0"/>
    <s v="Morning"/>
    <s v="Monday"/>
    <x v="442"/>
  </r>
  <r>
    <x v="132"/>
    <s v="15:55"/>
    <s v="S3"/>
    <x v="1"/>
    <x v="6"/>
    <x v="4"/>
    <x v="442"/>
    <x v="2"/>
    <s v="TX300446"/>
    <s v="C1"/>
    <x v="1"/>
    <s v="Afternoon"/>
    <s v="Friday"/>
    <x v="443"/>
  </r>
  <r>
    <x v="346"/>
    <s v="12:32"/>
    <s v="S9"/>
    <x v="0"/>
    <x v="6"/>
    <x v="8"/>
    <x v="443"/>
    <x v="2"/>
    <s v="TX300447"/>
    <s v="C4"/>
    <x v="2"/>
    <s v="Afternoon"/>
    <s v="Wednesday"/>
    <x v="444"/>
  </r>
  <r>
    <x v="347"/>
    <s v="11:18"/>
    <s v="S4"/>
    <x v="1"/>
    <x v="0"/>
    <x v="3"/>
    <x v="444"/>
    <x v="2"/>
    <s v="TX300448"/>
    <s v="C2"/>
    <x v="0"/>
    <s v="Morning"/>
    <s v="Sunday"/>
    <x v="445"/>
  </r>
  <r>
    <x v="348"/>
    <s v="11:05"/>
    <s v="S6"/>
    <x v="2"/>
    <x v="1"/>
    <x v="0"/>
    <x v="445"/>
    <x v="2"/>
    <s v="TX300449"/>
    <s v="C1"/>
    <x v="1"/>
    <s v="Morning"/>
    <s v="Monday"/>
    <x v="446"/>
  </r>
  <r>
    <x v="349"/>
    <s v="12:17"/>
    <s v="S8"/>
    <x v="3"/>
    <x v="5"/>
    <x v="5"/>
    <x v="446"/>
    <x v="2"/>
    <s v="TX300450"/>
    <s v="C4"/>
    <x v="3"/>
    <s v="Afternoon"/>
    <s v="Monday"/>
    <x v="447"/>
  </r>
  <r>
    <x v="350"/>
    <s v="20:38"/>
    <s v="S5"/>
    <x v="0"/>
    <x v="0"/>
    <x v="4"/>
    <x v="447"/>
    <x v="2"/>
    <s v="TX300451"/>
    <s v="C1"/>
    <x v="0"/>
    <s v="Evening"/>
    <s v="Thursday"/>
    <x v="448"/>
  </r>
  <r>
    <x v="31"/>
    <s v="14:21"/>
    <s v="S9"/>
    <x v="3"/>
    <x v="3"/>
    <x v="7"/>
    <x v="448"/>
    <x v="2"/>
    <s v="TX300452"/>
    <s v="C2"/>
    <x v="0"/>
    <s v="Afternoon"/>
    <s v="Friday"/>
    <x v="449"/>
  </r>
  <r>
    <x v="351"/>
    <s v="17:56"/>
    <s v="S10"/>
    <x v="3"/>
    <x v="3"/>
    <x v="9"/>
    <x v="449"/>
    <x v="0"/>
    <s v="TX300453"/>
    <s v="C3"/>
    <x v="0"/>
    <s v="Evening"/>
    <s v="Wednesday"/>
    <x v="450"/>
  </r>
  <r>
    <x v="352"/>
    <s v="9:18"/>
    <s v="S5"/>
    <x v="0"/>
    <x v="3"/>
    <x v="1"/>
    <x v="450"/>
    <x v="2"/>
    <s v="TX300454"/>
    <s v="C2"/>
    <x v="0"/>
    <s v="Morning"/>
    <s v="Monday"/>
    <x v="451"/>
  </r>
  <r>
    <x v="65"/>
    <s v="21:52"/>
    <s v="S4"/>
    <x v="0"/>
    <x v="4"/>
    <x v="0"/>
    <x v="451"/>
    <x v="2"/>
    <s v="TX300455"/>
    <s v="C5"/>
    <x v="1"/>
    <s v="Evening"/>
    <s v="Tuesday"/>
    <x v="452"/>
  </r>
  <r>
    <x v="57"/>
    <s v="9:38"/>
    <s v="S10"/>
    <x v="0"/>
    <x v="0"/>
    <x v="5"/>
    <x v="452"/>
    <x v="4"/>
    <s v="TX300456"/>
    <s v="C4"/>
    <x v="3"/>
    <s v="Morning"/>
    <s v="Thursday"/>
    <x v="453"/>
  </r>
  <r>
    <x v="353"/>
    <s v="17:42"/>
    <s v="S4"/>
    <x v="0"/>
    <x v="1"/>
    <x v="9"/>
    <x v="453"/>
    <x v="4"/>
    <s v="TX300457"/>
    <s v="C1"/>
    <x v="0"/>
    <s v="Evening"/>
    <s v="Saturday"/>
    <x v="454"/>
  </r>
  <r>
    <x v="354"/>
    <s v="20:06"/>
    <s v="S5"/>
    <x v="0"/>
    <x v="0"/>
    <x v="3"/>
    <x v="454"/>
    <x v="0"/>
    <s v="TX300458"/>
    <s v="C1"/>
    <x v="3"/>
    <s v="Evening"/>
    <s v="Tuesday"/>
    <x v="455"/>
  </r>
  <r>
    <x v="355"/>
    <s v="14:20"/>
    <s v="S2"/>
    <x v="3"/>
    <x v="6"/>
    <x v="6"/>
    <x v="455"/>
    <x v="1"/>
    <s v="TX300459"/>
    <s v="C2"/>
    <x v="0"/>
    <s v="Afternoon"/>
    <s v="Sunday"/>
    <x v="456"/>
  </r>
  <r>
    <x v="356"/>
    <s v="20:27"/>
    <s v="S7"/>
    <x v="2"/>
    <x v="1"/>
    <x v="9"/>
    <x v="456"/>
    <x v="1"/>
    <s v="TX300460"/>
    <s v="C3"/>
    <x v="3"/>
    <s v="Evening"/>
    <s v="Friday"/>
    <x v="457"/>
  </r>
  <r>
    <x v="312"/>
    <s v="11:06"/>
    <s v="S9"/>
    <x v="1"/>
    <x v="2"/>
    <x v="7"/>
    <x v="457"/>
    <x v="2"/>
    <s v="TX300461"/>
    <s v="C1"/>
    <x v="2"/>
    <s v="Morning"/>
    <s v="Wednesday"/>
    <x v="458"/>
  </r>
  <r>
    <x v="71"/>
    <s v="21:15"/>
    <s v="S8"/>
    <x v="2"/>
    <x v="5"/>
    <x v="8"/>
    <x v="458"/>
    <x v="4"/>
    <s v="TX300462"/>
    <s v="C1"/>
    <x v="2"/>
    <s v="Evening"/>
    <s v="Wednesday"/>
    <x v="459"/>
  </r>
  <r>
    <x v="357"/>
    <s v="10:55"/>
    <s v="S3"/>
    <x v="0"/>
    <x v="4"/>
    <x v="3"/>
    <x v="459"/>
    <x v="3"/>
    <s v="TX300463"/>
    <s v="C5"/>
    <x v="3"/>
    <s v="Morning"/>
    <s v="Thursday"/>
    <x v="460"/>
  </r>
  <r>
    <x v="124"/>
    <s v="12:06"/>
    <s v="S1"/>
    <x v="1"/>
    <x v="5"/>
    <x v="5"/>
    <x v="460"/>
    <x v="1"/>
    <s v="TX300464"/>
    <s v="C5"/>
    <x v="0"/>
    <s v="Afternoon"/>
    <s v="Monday"/>
    <x v="461"/>
  </r>
  <r>
    <x v="358"/>
    <s v="16:20"/>
    <s v="S5"/>
    <x v="3"/>
    <x v="5"/>
    <x v="9"/>
    <x v="461"/>
    <x v="4"/>
    <s v="TX300465"/>
    <s v="C3"/>
    <x v="2"/>
    <s v="Afternoon"/>
    <s v="Sunday"/>
    <x v="462"/>
  </r>
  <r>
    <x v="359"/>
    <s v="12:01"/>
    <s v="S2"/>
    <x v="0"/>
    <x v="4"/>
    <x v="8"/>
    <x v="462"/>
    <x v="1"/>
    <s v="TX300466"/>
    <s v="C5"/>
    <x v="1"/>
    <s v="Afternoon"/>
    <s v="Sunday"/>
    <x v="463"/>
  </r>
  <r>
    <x v="360"/>
    <s v="16:57"/>
    <s v="S4"/>
    <x v="0"/>
    <x v="2"/>
    <x v="7"/>
    <x v="463"/>
    <x v="0"/>
    <s v="TX300467"/>
    <s v="C2"/>
    <x v="2"/>
    <s v="Afternoon"/>
    <s v="Saturday"/>
    <x v="464"/>
  </r>
  <r>
    <x v="212"/>
    <s v="19:16"/>
    <s v="S7"/>
    <x v="2"/>
    <x v="2"/>
    <x v="1"/>
    <x v="464"/>
    <x v="4"/>
    <s v="TX300468"/>
    <s v="C3"/>
    <x v="1"/>
    <s v="Evening"/>
    <s v="Thursday"/>
    <x v="465"/>
  </r>
  <r>
    <x v="259"/>
    <s v="11:20"/>
    <s v="S3"/>
    <x v="1"/>
    <x v="5"/>
    <x v="7"/>
    <x v="465"/>
    <x v="1"/>
    <s v="TX300469"/>
    <s v="C3"/>
    <x v="3"/>
    <s v="Morning"/>
    <s v="Thursday"/>
    <x v="466"/>
  </r>
  <r>
    <x v="361"/>
    <s v="16:19"/>
    <s v="S8"/>
    <x v="1"/>
    <x v="3"/>
    <x v="0"/>
    <x v="466"/>
    <x v="0"/>
    <s v="TX300470"/>
    <s v="C1"/>
    <x v="0"/>
    <s v="Afternoon"/>
    <s v="Saturday"/>
    <x v="467"/>
  </r>
  <r>
    <x v="193"/>
    <s v="19:07"/>
    <s v="S8"/>
    <x v="0"/>
    <x v="4"/>
    <x v="2"/>
    <x v="467"/>
    <x v="0"/>
    <s v="TX300471"/>
    <s v="C2"/>
    <x v="0"/>
    <s v="Evening"/>
    <s v="Thursday"/>
    <x v="468"/>
  </r>
  <r>
    <x v="362"/>
    <s v="15:31"/>
    <s v="S6"/>
    <x v="0"/>
    <x v="1"/>
    <x v="9"/>
    <x v="468"/>
    <x v="2"/>
    <s v="TX300472"/>
    <s v="C5"/>
    <x v="3"/>
    <s v="Afternoon"/>
    <s v="Monday"/>
    <x v="469"/>
  </r>
  <r>
    <x v="202"/>
    <s v="17:50"/>
    <s v="S9"/>
    <x v="1"/>
    <x v="1"/>
    <x v="5"/>
    <x v="469"/>
    <x v="3"/>
    <s v="TX300473"/>
    <s v="C3"/>
    <x v="1"/>
    <s v="Evening"/>
    <s v="Saturday"/>
    <x v="470"/>
  </r>
  <r>
    <x v="71"/>
    <s v="11:07"/>
    <s v="S5"/>
    <x v="2"/>
    <x v="0"/>
    <x v="3"/>
    <x v="470"/>
    <x v="3"/>
    <s v="TX300474"/>
    <s v="C1"/>
    <x v="2"/>
    <s v="Morning"/>
    <s v="Wednesday"/>
    <x v="471"/>
  </r>
  <r>
    <x v="363"/>
    <s v="10:13"/>
    <s v="S1"/>
    <x v="0"/>
    <x v="2"/>
    <x v="2"/>
    <x v="471"/>
    <x v="3"/>
    <s v="TX300475"/>
    <s v="C1"/>
    <x v="1"/>
    <s v="Morning"/>
    <s v="Saturday"/>
    <x v="472"/>
  </r>
  <r>
    <x v="364"/>
    <s v="14:39"/>
    <s v="S1"/>
    <x v="1"/>
    <x v="5"/>
    <x v="7"/>
    <x v="472"/>
    <x v="1"/>
    <s v="TX300476"/>
    <s v="C1"/>
    <x v="3"/>
    <s v="Afternoon"/>
    <s v="Monday"/>
    <x v="473"/>
  </r>
  <r>
    <x v="246"/>
    <s v="12:21"/>
    <s v="S5"/>
    <x v="2"/>
    <x v="5"/>
    <x v="8"/>
    <x v="473"/>
    <x v="1"/>
    <s v="TX300477"/>
    <s v="C4"/>
    <x v="3"/>
    <s v="Afternoon"/>
    <s v="Monday"/>
    <x v="474"/>
  </r>
  <r>
    <x v="365"/>
    <s v="15:47"/>
    <s v="S9"/>
    <x v="0"/>
    <x v="0"/>
    <x v="5"/>
    <x v="474"/>
    <x v="3"/>
    <s v="TX300478"/>
    <s v="C3"/>
    <x v="1"/>
    <s v="Afternoon"/>
    <s v="Wednesday"/>
    <x v="475"/>
  </r>
  <r>
    <x v="366"/>
    <s v="21:12"/>
    <s v="S1"/>
    <x v="0"/>
    <x v="1"/>
    <x v="7"/>
    <x v="475"/>
    <x v="2"/>
    <s v="TX300479"/>
    <s v="C3"/>
    <x v="2"/>
    <s v="Evening"/>
    <s v="Thursday"/>
    <x v="476"/>
  </r>
  <r>
    <x v="367"/>
    <s v="19:21"/>
    <s v="S10"/>
    <x v="0"/>
    <x v="4"/>
    <x v="3"/>
    <x v="476"/>
    <x v="3"/>
    <s v="TX300480"/>
    <s v="C2"/>
    <x v="1"/>
    <s v="Evening"/>
    <s v="Tuesday"/>
    <x v="477"/>
  </r>
  <r>
    <x v="99"/>
    <s v="13:24"/>
    <s v="S1"/>
    <x v="1"/>
    <x v="3"/>
    <x v="2"/>
    <x v="477"/>
    <x v="0"/>
    <s v="TX300481"/>
    <s v="C4"/>
    <x v="2"/>
    <s v="Afternoon"/>
    <s v="Wednesday"/>
    <x v="478"/>
  </r>
  <r>
    <x v="253"/>
    <s v="14:27"/>
    <s v="S3"/>
    <x v="1"/>
    <x v="3"/>
    <x v="9"/>
    <x v="478"/>
    <x v="3"/>
    <s v="TX300482"/>
    <s v="C5"/>
    <x v="3"/>
    <s v="Afternoon"/>
    <s v="Tuesday"/>
    <x v="479"/>
  </r>
  <r>
    <x v="368"/>
    <s v="12:04"/>
    <s v="S5"/>
    <x v="1"/>
    <x v="2"/>
    <x v="0"/>
    <x v="479"/>
    <x v="2"/>
    <s v="TX300483"/>
    <s v="C4"/>
    <x v="3"/>
    <s v="Afternoon"/>
    <s v="Wednesday"/>
    <x v="480"/>
  </r>
  <r>
    <x v="369"/>
    <s v="18:41"/>
    <s v="S7"/>
    <x v="2"/>
    <x v="1"/>
    <x v="6"/>
    <x v="480"/>
    <x v="0"/>
    <s v="TX300484"/>
    <s v="C5"/>
    <x v="0"/>
    <s v="Evening"/>
    <s v="Monday"/>
    <x v="481"/>
  </r>
  <r>
    <x v="370"/>
    <s v="10:22"/>
    <s v="S1"/>
    <x v="3"/>
    <x v="2"/>
    <x v="6"/>
    <x v="481"/>
    <x v="4"/>
    <s v="TX300485"/>
    <s v="C2"/>
    <x v="0"/>
    <s v="Morning"/>
    <s v="Friday"/>
    <x v="482"/>
  </r>
  <r>
    <x v="371"/>
    <s v="17:49"/>
    <s v="S4"/>
    <x v="1"/>
    <x v="6"/>
    <x v="7"/>
    <x v="325"/>
    <x v="3"/>
    <s v="TX300486"/>
    <s v="C3"/>
    <x v="1"/>
    <s v="Evening"/>
    <s v="Tuesday"/>
    <x v="483"/>
  </r>
  <r>
    <x v="372"/>
    <s v="17:46"/>
    <s v="S10"/>
    <x v="3"/>
    <x v="0"/>
    <x v="3"/>
    <x v="482"/>
    <x v="3"/>
    <s v="TX300487"/>
    <s v="C3"/>
    <x v="2"/>
    <s v="Evening"/>
    <s v="Monday"/>
    <x v="484"/>
  </r>
  <r>
    <x v="373"/>
    <s v="10:07"/>
    <s v="S7"/>
    <x v="0"/>
    <x v="1"/>
    <x v="0"/>
    <x v="483"/>
    <x v="1"/>
    <s v="TX300488"/>
    <s v="C2"/>
    <x v="0"/>
    <s v="Morning"/>
    <s v="Friday"/>
    <x v="485"/>
  </r>
  <r>
    <x v="374"/>
    <s v="11:12"/>
    <s v="S8"/>
    <x v="3"/>
    <x v="5"/>
    <x v="3"/>
    <x v="484"/>
    <x v="2"/>
    <s v="TX300489"/>
    <s v="C5"/>
    <x v="3"/>
    <s v="Morning"/>
    <s v="Wednesday"/>
    <x v="486"/>
  </r>
  <r>
    <x v="352"/>
    <s v="10:32"/>
    <s v="S7"/>
    <x v="3"/>
    <x v="4"/>
    <x v="8"/>
    <x v="485"/>
    <x v="4"/>
    <s v="TX300490"/>
    <s v="C2"/>
    <x v="0"/>
    <s v="Morning"/>
    <s v="Monday"/>
    <x v="487"/>
  </r>
  <r>
    <x v="375"/>
    <s v="12:33"/>
    <s v="S2"/>
    <x v="3"/>
    <x v="1"/>
    <x v="5"/>
    <x v="486"/>
    <x v="2"/>
    <s v="TX300491"/>
    <s v="C5"/>
    <x v="3"/>
    <s v="Afternoon"/>
    <s v="Friday"/>
    <x v="488"/>
  </r>
  <r>
    <x v="376"/>
    <s v="12:01"/>
    <s v="S1"/>
    <x v="2"/>
    <x v="6"/>
    <x v="9"/>
    <x v="487"/>
    <x v="2"/>
    <s v="TX300492"/>
    <s v="C1"/>
    <x v="2"/>
    <s v="Afternoon"/>
    <s v="Saturday"/>
    <x v="489"/>
  </r>
  <r>
    <x v="377"/>
    <s v="19:43"/>
    <s v="S3"/>
    <x v="1"/>
    <x v="3"/>
    <x v="3"/>
    <x v="488"/>
    <x v="0"/>
    <s v="TX300493"/>
    <s v="C1"/>
    <x v="3"/>
    <s v="Evening"/>
    <s v="Saturday"/>
    <x v="490"/>
  </r>
  <r>
    <x v="378"/>
    <s v="14:19"/>
    <s v="S9"/>
    <x v="3"/>
    <x v="5"/>
    <x v="2"/>
    <x v="489"/>
    <x v="0"/>
    <s v="TX300494"/>
    <s v="C1"/>
    <x v="0"/>
    <s v="Afternoon"/>
    <s v="Thursday"/>
    <x v="491"/>
  </r>
  <r>
    <x v="379"/>
    <s v="11:07"/>
    <s v="S4"/>
    <x v="1"/>
    <x v="4"/>
    <x v="6"/>
    <x v="490"/>
    <x v="4"/>
    <s v="TX300495"/>
    <s v="C3"/>
    <x v="1"/>
    <s v="Morning"/>
    <s v="Wednesday"/>
    <x v="492"/>
  </r>
  <r>
    <x v="380"/>
    <s v="21:13"/>
    <s v="S8"/>
    <x v="3"/>
    <x v="1"/>
    <x v="9"/>
    <x v="491"/>
    <x v="1"/>
    <s v="TX300496"/>
    <s v="C1"/>
    <x v="3"/>
    <s v="Evening"/>
    <s v="Thursday"/>
    <x v="493"/>
  </r>
  <r>
    <x v="381"/>
    <s v="20:17"/>
    <s v="S2"/>
    <x v="1"/>
    <x v="6"/>
    <x v="1"/>
    <x v="492"/>
    <x v="2"/>
    <s v="TX300497"/>
    <s v="C5"/>
    <x v="2"/>
    <s v="Evening"/>
    <s v="Tuesday"/>
    <x v="494"/>
  </r>
  <r>
    <x v="261"/>
    <s v="10:41"/>
    <s v="S1"/>
    <x v="3"/>
    <x v="5"/>
    <x v="0"/>
    <x v="493"/>
    <x v="3"/>
    <s v="TX300498"/>
    <s v="C2"/>
    <x v="2"/>
    <s v="Morning"/>
    <s v="Thursday"/>
    <x v="495"/>
  </r>
  <r>
    <x v="382"/>
    <s v="20:13"/>
    <s v="S1"/>
    <x v="3"/>
    <x v="6"/>
    <x v="6"/>
    <x v="494"/>
    <x v="2"/>
    <s v="TX300499"/>
    <s v="C5"/>
    <x v="3"/>
    <s v="Evening"/>
    <s v="Monday"/>
    <x v="496"/>
  </r>
  <r>
    <x v="321"/>
    <s v="18:38"/>
    <s v="S7"/>
    <x v="1"/>
    <x v="2"/>
    <x v="5"/>
    <x v="495"/>
    <x v="4"/>
    <s v="TX300500"/>
    <s v="C5"/>
    <x v="3"/>
    <s v="Evening"/>
    <s v="Saturday"/>
    <x v="497"/>
  </r>
  <r>
    <x v="383"/>
    <s v="11:05"/>
    <s v="S1"/>
    <x v="0"/>
    <x v="0"/>
    <x v="6"/>
    <x v="496"/>
    <x v="3"/>
    <s v="TX300501"/>
    <s v="C4"/>
    <x v="2"/>
    <s v="Morning"/>
    <s v="Saturday"/>
    <x v="498"/>
  </r>
  <r>
    <x v="384"/>
    <s v="18:40"/>
    <s v="S8"/>
    <x v="2"/>
    <x v="5"/>
    <x v="1"/>
    <x v="497"/>
    <x v="4"/>
    <s v="TX300502"/>
    <s v="C3"/>
    <x v="0"/>
    <s v="Evening"/>
    <s v="Friday"/>
    <x v="499"/>
  </r>
  <r>
    <x v="385"/>
    <s v="17:07"/>
    <s v="S6"/>
    <x v="0"/>
    <x v="0"/>
    <x v="3"/>
    <x v="498"/>
    <x v="4"/>
    <s v="TX300503"/>
    <s v="C2"/>
    <x v="2"/>
    <s v="Evening"/>
    <s v="Wednesday"/>
    <x v="500"/>
  </r>
  <r>
    <x v="386"/>
    <s v="9:20"/>
    <s v="S9"/>
    <x v="2"/>
    <x v="4"/>
    <x v="0"/>
    <x v="499"/>
    <x v="4"/>
    <s v="TX300504"/>
    <s v="C3"/>
    <x v="2"/>
    <s v="Morning"/>
    <s v="Wednesday"/>
    <x v="501"/>
  </r>
  <r>
    <x v="387"/>
    <s v="9:41"/>
    <s v="S8"/>
    <x v="2"/>
    <x v="3"/>
    <x v="9"/>
    <x v="500"/>
    <x v="3"/>
    <s v="TX300505"/>
    <s v="C2"/>
    <x v="2"/>
    <s v="Morning"/>
    <s v="Thursday"/>
    <x v="502"/>
  </r>
  <r>
    <x v="174"/>
    <s v="20:49"/>
    <s v="S9"/>
    <x v="1"/>
    <x v="0"/>
    <x v="9"/>
    <x v="501"/>
    <x v="2"/>
    <s v="TX300506"/>
    <s v="C4"/>
    <x v="3"/>
    <s v="Evening"/>
    <s v="Tuesday"/>
    <x v="503"/>
  </r>
  <r>
    <x v="388"/>
    <s v="13:10"/>
    <s v="S6"/>
    <x v="3"/>
    <x v="0"/>
    <x v="1"/>
    <x v="502"/>
    <x v="2"/>
    <s v="TX300507"/>
    <s v="C1"/>
    <x v="1"/>
    <s v="Afternoon"/>
    <s v="Saturday"/>
    <x v="504"/>
  </r>
  <r>
    <x v="389"/>
    <s v="9:44"/>
    <s v="S9"/>
    <x v="3"/>
    <x v="6"/>
    <x v="4"/>
    <x v="503"/>
    <x v="4"/>
    <s v="TX300508"/>
    <s v="C2"/>
    <x v="0"/>
    <s v="Morning"/>
    <s v="Monday"/>
    <x v="505"/>
  </r>
  <r>
    <x v="390"/>
    <s v="17:45"/>
    <s v="S8"/>
    <x v="0"/>
    <x v="0"/>
    <x v="6"/>
    <x v="504"/>
    <x v="4"/>
    <s v="TX300509"/>
    <s v="C2"/>
    <x v="0"/>
    <s v="Evening"/>
    <s v="Friday"/>
    <x v="506"/>
  </r>
  <r>
    <x v="391"/>
    <s v="19:02"/>
    <s v="S2"/>
    <x v="1"/>
    <x v="6"/>
    <x v="0"/>
    <x v="505"/>
    <x v="1"/>
    <s v="TX300510"/>
    <s v="C4"/>
    <x v="3"/>
    <s v="Evening"/>
    <s v="Saturday"/>
    <x v="507"/>
  </r>
  <r>
    <x v="337"/>
    <s v="18:11"/>
    <s v="S3"/>
    <x v="3"/>
    <x v="1"/>
    <x v="2"/>
    <x v="506"/>
    <x v="4"/>
    <s v="TX300511"/>
    <s v="C4"/>
    <x v="2"/>
    <s v="Evening"/>
    <s v="Thursday"/>
    <x v="508"/>
  </r>
  <r>
    <x v="392"/>
    <s v="20:10"/>
    <s v="S1"/>
    <x v="0"/>
    <x v="6"/>
    <x v="5"/>
    <x v="507"/>
    <x v="1"/>
    <s v="TX300512"/>
    <s v="C5"/>
    <x v="2"/>
    <s v="Evening"/>
    <s v="Saturday"/>
    <x v="509"/>
  </r>
  <r>
    <x v="393"/>
    <s v="19:53"/>
    <s v="S8"/>
    <x v="0"/>
    <x v="3"/>
    <x v="2"/>
    <x v="508"/>
    <x v="2"/>
    <s v="TX300513"/>
    <s v="C2"/>
    <x v="1"/>
    <s v="Evening"/>
    <s v="Tuesday"/>
    <x v="510"/>
  </r>
  <r>
    <x v="394"/>
    <s v="18:32"/>
    <s v="S6"/>
    <x v="2"/>
    <x v="5"/>
    <x v="6"/>
    <x v="509"/>
    <x v="0"/>
    <s v="TX300514"/>
    <s v="C4"/>
    <x v="0"/>
    <s v="Evening"/>
    <s v="Wednesday"/>
    <x v="511"/>
  </r>
  <r>
    <x v="395"/>
    <s v="17:53"/>
    <s v="S2"/>
    <x v="3"/>
    <x v="4"/>
    <x v="7"/>
    <x v="510"/>
    <x v="3"/>
    <s v="TX300515"/>
    <s v="C5"/>
    <x v="3"/>
    <s v="Evening"/>
    <s v="Monday"/>
    <x v="512"/>
  </r>
  <r>
    <x v="102"/>
    <s v="17:14"/>
    <s v="S7"/>
    <x v="0"/>
    <x v="6"/>
    <x v="6"/>
    <x v="511"/>
    <x v="1"/>
    <s v="TX300516"/>
    <s v="C5"/>
    <x v="1"/>
    <s v="Evening"/>
    <s v="Friday"/>
    <x v="513"/>
  </r>
  <r>
    <x v="396"/>
    <s v="17:53"/>
    <s v="S7"/>
    <x v="0"/>
    <x v="1"/>
    <x v="2"/>
    <x v="512"/>
    <x v="3"/>
    <s v="TX300517"/>
    <s v="C3"/>
    <x v="2"/>
    <s v="Evening"/>
    <s v="Wednesday"/>
    <x v="514"/>
  </r>
  <r>
    <x v="339"/>
    <s v="15:44"/>
    <s v="S8"/>
    <x v="2"/>
    <x v="5"/>
    <x v="5"/>
    <x v="513"/>
    <x v="1"/>
    <s v="TX300518"/>
    <s v="C1"/>
    <x v="0"/>
    <s v="Afternoon"/>
    <s v="Tuesday"/>
    <x v="515"/>
  </r>
  <r>
    <x v="123"/>
    <s v="12:06"/>
    <s v="S2"/>
    <x v="0"/>
    <x v="5"/>
    <x v="4"/>
    <x v="514"/>
    <x v="2"/>
    <s v="TX300519"/>
    <s v="C3"/>
    <x v="1"/>
    <s v="Afternoon"/>
    <s v="Saturday"/>
    <x v="516"/>
  </r>
  <r>
    <x v="109"/>
    <s v="12:04"/>
    <s v="S1"/>
    <x v="0"/>
    <x v="1"/>
    <x v="7"/>
    <x v="515"/>
    <x v="3"/>
    <s v="TX300520"/>
    <s v="C2"/>
    <x v="1"/>
    <s v="Afternoon"/>
    <s v="Wednesday"/>
    <x v="517"/>
  </r>
  <r>
    <x v="397"/>
    <s v="10:09"/>
    <s v="S9"/>
    <x v="2"/>
    <x v="6"/>
    <x v="6"/>
    <x v="516"/>
    <x v="3"/>
    <s v="TX300521"/>
    <s v="C5"/>
    <x v="0"/>
    <s v="Morning"/>
    <s v="Wednesday"/>
    <x v="518"/>
  </r>
  <r>
    <x v="139"/>
    <s v="11:15"/>
    <s v="S3"/>
    <x v="3"/>
    <x v="5"/>
    <x v="1"/>
    <x v="441"/>
    <x v="4"/>
    <s v="TX300522"/>
    <s v="C2"/>
    <x v="2"/>
    <s v="Morning"/>
    <s v="Sunday"/>
    <x v="519"/>
  </r>
  <r>
    <x v="238"/>
    <s v="14:43"/>
    <s v="S2"/>
    <x v="3"/>
    <x v="1"/>
    <x v="4"/>
    <x v="517"/>
    <x v="2"/>
    <s v="TX300523"/>
    <s v="C5"/>
    <x v="1"/>
    <s v="Afternoon"/>
    <s v="Saturday"/>
    <x v="520"/>
  </r>
  <r>
    <x v="398"/>
    <s v="15:58"/>
    <s v="S3"/>
    <x v="3"/>
    <x v="0"/>
    <x v="8"/>
    <x v="518"/>
    <x v="2"/>
    <s v="TX300524"/>
    <s v="C5"/>
    <x v="3"/>
    <s v="Afternoon"/>
    <s v="Saturday"/>
    <x v="521"/>
  </r>
  <r>
    <x v="399"/>
    <s v="12:57"/>
    <s v="S8"/>
    <x v="0"/>
    <x v="1"/>
    <x v="9"/>
    <x v="519"/>
    <x v="1"/>
    <s v="TX300525"/>
    <s v="C1"/>
    <x v="1"/>
    <s v="Afternoon"/>
    <s v="Saturday"/>
    <x v="522"/>
  </r>
  <r>
    <x v="400"/>
    <s v="17:00"/>
    <s v="S6"/>
    <x v="3"/>
    <x v="3"/>
    <x v="0"/>
    <x v="520"/>
    <x v="0"/>
    <s v="TX300526"/>
    <s v="C4"/>
    <x v="3"/>
    <s v="Evening"/>
    <s v="Saturday"/>
    <x v="523"/>
  </r>
  <r>
    <x v="21"/>
    <s v="19:29"/>
    <s v="S2"/>
    <x v="3"/>
    <x v="0"/>
    <x v="9"/>
    <x v="521"/>
    <x v="4"/>
    <s v="TX300527"/>
    <s v="C1"/>
    <x v="1"/>
    <s v="Evening"/>
    <s v="Sunday"/>
    <x v="524"/>
  </r>
  <r>
    <x v="401"/>
    <s v="19:51"/>
    <s v="S1"/>
    <x v="1"/>
    <x v="6"/>
    <x v="0"/>
    <x v="522"/>
    <x v="0"/>
    <s v="TX300528"/>
    <s v="C1"/>
    <x v="1"/>
    <s v="Evening"/>
    <s v="Thursday"/>
    <x v="525"/>
  </r>
  <r>
    <x v="402"/>
    <s v="21:06"/>
    <s v="S4"/>
    <x v="3"/>
    <x v="6"/>
    <x v="7"/>
    <x v="523"/>
    <x v="1"/>
    <s v="TX300529"/>
    <s v="C5"/>
    <x v="1"/>
    <s v="Evening"/>
    <s v="Saturday"/>
    <x v="526"/>
  </r>
  <r>
    <x v="403"/>
    <s v="13:36"/>
    <s v="S7"/>
    <x v="1"/>
    <x v="5"/>
    <x v="6"/>
    <x v="524"/>
    <x v="4"/>
    <s v="TX300530"/>
    <s v="C1"/>
    <x v="3"/>
    <s v="Afternoon"/>
    <s v="Wednesday"/>
    <x v="527"/>
  </r>
  <r>
    <x v="404"/>
    <s v="20:28"/>
    <s v="S4"/>
    <x v="1"/>
    <x v="2"/>
    <x v="8"/>
    <x v="525"/>
    <x v="2"/>
    <s v="TX300531"/>
    <s v="C1"/>
    <x v="2"/>
    <s v="Evening"/>
    <s v="Thursday"/>
    <x v="528"/>
  </r>
  <r>
    <x v="335"/>
    <s v="17:13"/>
    <s v="S10"/>
    <x v="3"/>
    <x v="5"/>
    <x v="3"/>
    <x v="526"/>
    <x v="2"/>
    <s v="TX300532"/>
    <s v="C4"/>
    <x v="0"/>
    <s v="Evening"/>
    <s v="Thursday"/>
    <x v="529"/>
  </r>
  <r>
    <x v="343"/>
    <s v="12:18"/>
    <s v="S7"/>
    <x v="2"/>
    <x v="0"/>
    <x v="8"/>
    <x v="527"/>
    <x v="3"/>
    <s v="TX300533"/>
    <s v="C2"/>
    <x v="1"/>
    <s v="Afternoon"/>
    <s v="Saturday"/>
    <x v="530"/>
  </r>
  <r>
    <x v="405"/>
    <s v="12:10"/>
    <s v="S8"/>
    <x v="1"/>
    <x v="6"/>
    <x v="3"/>
    <x v="528"/>
    <x v="2"/>
    <s v="TX300534"/>
    <s v="C3"/>
    <x v="0"/>
    <s v="Afternoon"/>
    <s v="Saturday"/>
    <x v="531"/>
  </r>
  <r>
    <x v="406"/>
    <s v="19:20"/>
    <s v="S2"/>
    <x v="0"/>
    <x v="6"/>
    <x v="8"/>
    <x v="529"/>
    <x v="1"/>
    <s v="TX300535"/>
    <s v="C4"/>
    <x v="1"/>
    <s v="Evening"/>
    <s v="Monday"/>
    <x v="532"/>
  </r>
  <r>
    <x v="171"/>
    <s v="11:56"/>
    <s v="S8"/>
    <x v="1"/>
    <x v="0"/>
    <x v="4"/>
    <x v="530"/>
    <x v="4"/>
    <s v="TX300536"/>
    <s v="C2"/>
    <x v="1"/>
    <s v="Morning"/>
    <s v="Wednesday"/>
    <x v="533"/>
  </r>
  <r>
    <x v="407"/>
    <s v="13:11"/>
    <s v="S3"/>
    <x v="3"/>
    <x v="0"/>
    <x v="5"/>
    <x v="531"/>
    <x v="1"/>
    <s v="TX300537"/>
    <s v="C5"/>
    <x v="2"/>
    <s v="Afternoon"/>
    <s v="Tuesday"/>
    <x v="534"/>
  </r>
  <r>
    <x v="408"/>
    <s v="16:07"/>
    <s v="S9"/>
    <x v="3"/>
    <x v="0"/>
    <x v="0"/>
    <x v="532"/>
    <x v="2"/>
    <s v="TX300538"/>
    <s v="C5"/>
    <x v="1"/>
    <s v="Afternoon"/>
    <s v="Monday"/>
    <x v="535"/>
  </r>
  <r>
    <x v="88"/>
    <s v="12:01"/>
    <s v="S10"/>
    <x v="2"/>
    <x v="1"/>
    <x v="7"/>
    <x v="533"/>
    <x v="0"/>
    <s v="TX300539"/>
    <s v="C2"/>
    <x v="1"/>
    <s v="Afternoon"/>
    <s v="Tuesday"/>
    <x v="536"/>
  </r>
  <r>
    <x v="25"/>
    <s v="18:39"/>
    <s v="S9"/>
    <x v="2"/>
    <x v="1"/>
    <x v="5"/>
    <x v="534"/>
    <x v="3"/>
    <s v="TX300540"/>
    <s v="C5"/>
    <x v="0"/>
    <s v="Evening"/>
    <s v="Tuesday"/>
    <x v="537"/>
  </r>
  <r>
    <x v="409"/>
    <s v="19:53"/>
    <s v="S7"/>
    <x v="1"/>
    <x v="6"/>
    <x v="0"/>
    <x v="535"/>
    <x v="2"/>
    <s v="TX300541"/>
    <s v="C3"/>
    <x v="2"/>
    <s v="Evening"/>
    <s v="Friday"/>
    <x v="538"/>
  </r>
  <r>
    <x v="410"/>
    <s v="20:41"/>
    <s v="S3"/>
    <x v="0"/>
    <x v="2"/>
    <x v="8"/>
    <x v="536"/>
    <x v="0"/>
    <s v="TX300542"/>
    <s v="C5"/>
    <x v="2"/>
    <s v="Evening"/>
    <s v="Saturday"/>
    <x v="539"/>
  </r>
  <r>
    <x v="411"/>
    <s v="20:47"/>
    <s v="S7"/>
    <x v="1"/>
    <x v="6"/>
    <x v="3"/>
    <x v="537"/>
    <x v="0"/>
    <s v="TX300543"/>
    <s v="C2"/>
    <x v="1"/>
    <s v="Evening"/>
    <s v="Tuesday"/>
    <x v="540"/>
  </r>
  <r>
    <x v="412"/>
    <s v="12:40"/>
    <s v="S7"/>
    <x v="0"/>
    <x v="1"/>
    <x v="9"/>
    <x v="538"/>
    <x v="3"/>
    <s v="TX300544"/>
    <s v="C1"/>
    <x v="1"/>
    <s v="Afternoon"/>
    <s v="Monday"/>
    <x v="541"/>
  </r>
  <r>
    <x v="413"/>
    <s v="16:20"/>
    <s v="S10"/>
    <x v="3"/>
    <x v="4"/>
    <x v="9"/>
    <x v="539"/>
    <x v="2"/>
    <s v="TX300545"/>
    <s v="C1"/>
    <x v="2"/>
    <s v="Afternoon"/>
    <s v="Sunday"/>
    <x v="542"/>
  </r>
  <r>
    <x v="311"/>
    <s v="18:57"/>
    <s v="S1"/>
    <x v="1"/>
    <x v="3"/>
    <x v="8"/>
    <x v="540"/>
    <x v="4"/>
    <s v="TX300546"/>
    <s v="C1"/>
    <x v="3"/>
    <s v="Evening"/>
    <s v="Thursday"/>
    <x v="543"/>
  </r>
  <r>
    <x v="414"/>
    <s v="16:05"/>
    <s v="S4"/>
    <x v="2"/>
    <x v="3"/>
    <x v="2"/>
    <x v="541"/>
    <x v="4"/>
    <s v="TX300547"/>
    <s v="C4"/>
    <x v="3"/>
    <s v="Afternoon"/>
    <s v="Sunday"/>
    <x v="544"/>
  </r>
  <r>
    <x v="297"/>
    <s v="14:13"/>
    <s v="S3"/>
    <x v="1"/>
    <x v="1"/>
    <x v="2"/>
    <x v="542"/>
    <x v="1"/>
    <s v="TX300548"/>
    <s v="C4"/>
    <x v="1"/>
    <s v="Afternoon"/>
    <s v="Wednesday"/>
    <x v="545"/>
  </r>
  <r>
    <x v="415"/>
    <s v="14:29"/>
    <s v="S1"/>
    <x v="2"/>
    <x v="6"/>
    <x v="4"/>
    <x v="543"/>
    <x v="4"/>
    <s v="TX300549"/>
    <s v="C3"/>
    <x v="2"/>
    <s v="Afternoon"/>
    <s v="Monday"/>
    <x v="546"/>
  </r>
  <r>
    <x v="296"/>
    <s v="21:43"/>
    <s v="S6"/>
    <x v="2"/>
    <x v="1"/>
    <x v="2"/>
    <x v="544"/>
    <x v="3"/>
    <s v="TX300550"/>
    <s v="C1"/>
    <x v="0"/>
    <s v="Evening"/>
    <s v="Wednesday"/>
    <x v="547"/>
  </r>
  <r>
    <x v="416"/>
    <s v="15:26"/>
    <s v="S4"/>
    <x v="1"/>
    <x v="1"/>
    <x v="7"/>
    <x v="545"/>
    <x v="0"/>
    <s v="TX300551"/>
    <s v="C4"/>
    <x v="1"/>
    <s v="Afternoon"/>
    <s v="Thursday"/>
    <x v="548"/>
  </r>
  <r>
    <x v="417"/>
    <s v="17:25"/>
    <s v="S8"/>
    <x v="1"/>
    <x v="5"/>
    <x v="3"/>
    <x v="546"/>
    <x v="1"/>
    <s v="TX300552"/>
    <s v="C1"/>
    <x v="0"/>
    <s v="Evening"/>
    <s v="Friday"/>
    <x v="549"/>
  </r>
  <r>
    <x v="111"/>
    <s v="9:21"/>
    <s v="S5"/>
    <x v="3"/>
    <x v="5"/>
    <x v="1"/>
    <x v="547"/>
    <x v="4"/>
    <s v="TX300553"/>
    <s v="C4"/>
    <x v="0"/>
    <s v="Morning"/>
    <s v="Thursday"/>
    <x v="550"/>
  </r>
  <r>
    <x v="418"/>
    <s v="10:20"/>
    <s v="S2"/>
    <x v="2"/>
    <x v="6"/>
    <x v="1"/>
    <x v="548"/>
    <x v="4"/>
    <s v="TX300554"/>
    <s v="C1"/>
    <x v="1"/>
    <s v="Morning"/>
    <s v="Thursday"/>
    <x v="551"/>
  </r>
  <r>
    <x v="419"/>
    <s v="13:18"/>
    <s v="S9"/>
    <x v="2"/>
    <x v="6"/>
    <x v="2"/>
    <x v="549"/>
    <x v="4"/>
    <s v="TX300555"/>
    <s v="C3"/>
    <x v="0"/>
    <s v="Afternoon"/>
    <s v="Saturday"/>
    <x v="552"/>
  </r>
  <r>
    <x v="87"/>
    <s v="9:21"/>
    <s v="S2"/>
    <x v="3"/>
    <x v="3"/>
    <x v="8"/>
    <x v="550"/>
    <x v="1"/>
    <s v="TX300556"/>
    <s v="C3"/>
    <x v="3"/>
    <s v="Morning"/>
    <s v="Friday"/>
    <x v="553"/>
  </r>
  <r>
    <x v="420"/>
    <s v="20:58"/>
    <s v="S5"/>
    <x v="2"/>
    <x v="1"/>
    <x v="3"/>
    <x v="551"/>
    <x v="1"/>
    <s v="TX300557"/>
    <s v="C4"/>
    <x v="0"/>
    <s v="Evening"/>
    <s v="Wednesday"/>
    <x v="554"/>
  </r>
  <r>
    <x v="365"/>
    <s v="9:39"/>
    <s v="S3"/>
    <x v="1"/>
    <x v="6"/>
    <x v="4"/>
    <x v="552"/>
    <x v="4"/>
    <s v="TX300558"/>
    <s v="C3"/>
    <x v="2"/>
    <s v="Morning"/>
    <s v="Wednesday"/>
    <x v="555"/>
  </r>
  <r>
    <x v="289"/>
    <s v="20:23"/>
    <s v="S9"/>
    <x v="1"/>
    <x v="3"/>
    <x v="6"/>
    <x v="553"/>
    <x v="4"/>
    <s v="TX300559"/>
    <s v="C2"/>
    <x v="3"/>
    <s v="Evening"/>
    <s v="Tuesday"/>
    <x v="556"/>
  </r>
  <r>
    <x v="246"/>
    <s v="19:18"/>
    <s v="S7"/>
    <x v="1"/>
    <x v="3"/>
    <x v="1"/>
    <x v="554"/>
    <x v="0"/>
    <s v="TX300560"/>
    <s v="C3"/>
    <x v="1"/>
    <s v="Evening"/>
    <s v="Monday"/>
    <x v="557"/>
  </r>
  <r>
    <x v="421"/>
    <s v="9:10"/>
    <s v="S5"/>
    <x v="3"/>
    <x v="6"/>
    <x v="5"/>
    <x v="555"/>
    <x v="2"/>
    <s v="TX300561"/>
    <s v="C5"/>
    <x v="1"/>
    <s v="Morning"/>
    <s v="Tuesday"/>
    <x v="558"/>
  </r>
  <r>
    <x v="193"/>
    <s v="12:04"/>
    <s v="S4"/>
    <x v="1"/>
    <x v="1"/>
    <x v="5"/>
    <x v="556"/>
    <x v="4"/>
    <s v="TX300562"/>
    <s v="C4"/>
    <x v="0"/>
    <s v="Afternoon"/>
    <s v="Thursday"/>
    <x v="559"/>
  </r>
  <r>
    <x v="422"/>
    <s v="21:45"/>
    <s v="S6"/>
    <x v="1"/>
    <x v="5"/>
    <x v="7"/>
    <x v="557"/>
    <x v="3"/>
    <s v="TX300563"/>
    <s v="C4"/>
    <x v="1"/>
    <s v="Evening"/>
    <s v="Sunday"/>
    <x v="560"/>
  </r>
  <r>
    <x v="281"/>
    <s v="11:29"/>
    <s v="S1"/>
    <x v="1"/>
    <x v="1"/>
    <x v="6"/>
    <x v="558"/>
    <x v="2"/>
    <s v="TX300564"/>
    <s v="C5"/>
    <x v="3"/>
    <s v="Morning"/>
    <s v="Wednesday"/>
    <x v="561"/>
  </r>
  <r>
    <x v="351"/>
    <s v="10:18"/>
    <s v="S10"/>
    <x v="0"/>
    <x v="2"/>
    <x v="0"/>
    <x v="559"/>
    <x v="0"/>
    <s v="TX300565"/>
    <s v="C3"/>
    <x v="1"/>
    <s v="Morning"/>
    <s v="Wednesday"/>
    <x v="562"/>
  </r>
  <r>
    <x v="423"/>
    <s v="19:20"/>
    <s v="S6"/>
    <x v="0"/>
    <x v="4"/>
    <x v="0"/>
    <x v="560"/>
    <x v="0"/>
    <s v="TX300566"/>
    <s v="C2"/>
    <x v="3"/>
    <s v="Evening"/>
    <s v="Tuesday"/>
    <x v="563"/>
  </r>
  <r>
    <x v="424"/>
    <s v="11:33"/>
    <s v="S5"/>
    <x v="0"/>
    <x v="1"/>
    <x v="8"/>
    <x v="561"/>
    <x v="2"/>
    <s v="TX300567"/>
    <s v="C5"/>
    <x v="2"/>
    <s v="Morning"/>
    <s v="Friday"/>
    <x v="564"/>
  </r>
  <r>
    <x v="425"/>
    <s v="15:07"/>
    <s v="S4"/>
    <x v="0"/>
    <x v="3"/>
    <x v="1"/>
    <x v="562"/>
    <x v="4"/>
    <s v="TX300568"/>
    <s v="C4"/>
    <x v="0"/>
    <s v="Afternoon"/>
    <s v="Friday"/>
    <x v="565"/>
  </r>
  <r>
    <x v="426"/>
    <s v="13:37"/>
    <s v="S1"/>
    <x v="3"/>
    <x v="1"/>
    <x v="6"/>
    <x v="563"/>
    <x v="3"/>
    <s v="TX300569"/>
    <s v="C1"/>
    <x v="3"/>
    <s v="Afternoon"/>
    <s v="Friday"/>
    <x v="566"/>
  </r>
  <r>
    <x v="427"/>
    <s v="18:39"/>
    <s v="S8"/>
    <x v="2"/>
    <x v="1"/>
    <x v="6"/>
    <x v="564"/>
    <x v="3"/>
    <s v="TX300570"/>
    <s v="C4"/>
    <x v="3"/>
    <s v="Evening"/>
    <s v="Thursday"/>
    <x v="567"/>
  </r>
  <r>
    <x v="89"/>
    <s v="10:10"/>
    <s v="S7"/>
    <x v="0"/>
    <x v="3"/>
    <x v="0"/>
    <x v="565"/>
    <x v="4"/>
    <s v="TX300571"/>
    <s v="C3"/>
    <x v="2"/>
    <s v="Morning"/>
    <s v="Friday"/>
    <x v="568"/>
  </r>
  <r>
    <x v="76"/>
    <s v="16:18"/>
    <s v="S8"/>
    <x v="1"/>
    <x v="6"/>
    <x v="7"/>
    <x v="566"/>
    <x v="2"/>
    <s v="TX300572"/>
    <s v="C3"/>
    <x v="0"/>
    <s v="Afternoon"/>
    <s v="Thursday"/>
    <x v="569"/>
  </r>
  <r>
    <x v="428"/>
    <s v="15:57"/>
    <s v="S5"/>
    <x v="1"/>
    <x v="4"/>
    <x v="2"/>
    <x v="567"/>
    <x v="2"/>
    <s v="TX300573"/>
    <s v="C5"/>
    <x v="3"/>
    <s v="Afternoon"/>
    <s v="Tuesday"/>
    <x v="570"/>
  </r>
  <r>
    <x v="429"/>
    <s v="15:04"/>
    <s v="S2"/>
    <x v="0"/>
    <x v="0"/>
    <x v="1"/>
    <x v="568"/>
    <x v="3"/>
    <s v="TX300574"/>
    <s v="C3"/>
    <x v="0"/>
    <s v="Afternoon"/>
    <s v="Monday"/>
    <x v="571"/>
  </r>
  <r>
    <x v="339"/>
    <s v="14:23"/>
    <s v="S2"/>
    <x v="2"/>
    <x v="5"/>
    <x v="3"/>
    <x v="569"/>
    <x v="1"/>
    <s v="TX300575"/>
    <s v="C5"/>
    <x v="0"/>
    <s v="Afternoon"/>
    <s v="Tuesday"/>
    <x v="572"/>
  </r>
  <r>
    <x v="363"/>
    <s v="20:41"/>
    <s v="S3"/>
    <x v="0"/>
    <x v="1"/>
    <x v="0"/>
    <x v="570"/>
    <x v="1"/>
    <s v="TX300576"/>
    <s v="C1"/>
    <x v="2"/>
    <s v="Evening"/>
    <s v="Saturday"/>
    <x v="573"/>
  </r>
  <r>
    <x v="400"/>
    <s v="15:23"/>
    <s v="S4"/>
    <x v="3"/>
    <x v="0"/>
    <x v="9"/>
    <x v="571"/>
    <x v="2"/>
    <s v="TX300577"/>
    <s v="C1"/>
    <x v="3"/>
    <s v="Afternoon"/>
    <s v="Saturday"/>
    <x v="574"/>
  </r>
  <r>
    <x v="23"/>
    <s v="19:29"/>
    <s v="S4"/>
    <x v="2"/>
    <x v="2"/>
    <x v="4"/>
    <x v="572"/>
    <x v="2"/>
    <s v="TX300578"/>
    <s v="C1"/>
    <x v="1"/>
    <s v="Evening"/>
    <s v="Friday"/>
    <x v="575"/>
  </r>
  <r>
    <x v="430"/>
    <s v="17:18"/>
    <s v="S6"/>
    <x v="1"/>
    <x v="0"/>
    <x v="8"/>
    <x v="573"/>
    <x v="2"/>
    <s v="TX300579"/>
    <s v="C3"/>
    <x v="1"/>
    <s v="Evening"/>
    <s v="Friday"/>
    <x v="576"/>
  </r>
  <r>
    <x v="262"/>
    <s v="20:30"/>
    <s v="S5"/>
    <x v="3"/>
    <x v="4"/>
    <x v="4"/>
    <x v="574"/>
    <x v="3"/>
    <s v="TX300580"/>
    <s v="C4"/>
    <x v="3"/>
    <s v="Evening"/>
    <s v="Wednesday"/>
    <x v="577"/>
  </r>
  <r>
    <x v="128"/>
    <s v="17:08"/>
    <s v="S8"/>
    <x v="1"/>
    <x v="5"/>
    <x v="0"/>
    <x v="575"/>
    <x v="3"/>
    <s v="TX300581"/>
    <s v="C5"/>
    <x v="0"/>
    <s v="Evening"/>
    <s v="Monday"/>
    <x v="578"/>
  </r>
  <r>
    <x v="431"/>
    <s v="13:55"/>
    <s v="S10"/>
    <x v="3"/>
    <x v="4"/>
    <x v="5"/>
    <x v="576"/>
    <x v="3"/>
    <s v="TX300582"/>
    <s v="C3"/>
    <x v="2"/>
    <s v="Afternoon"/>
    <s v="Saturday"/>
    <x v="579"/>
  </r>
  <r>
    <x v="432"/>
    <s v="9:26"/>
    <s v="S3"/>
    <x v="0"/>
    <x v="6"/>
    <x v="1"/>
    <x v="577"/>
    <x v="4"/>
    <s v="TX300583"/>
    <s v="C2"/>
    <x v="3"/>
    <s v="Morning"/>
    <s v="Saturday"/>
    <x v="580"/>
  </r>
  <r>
    <x v="433"/>
    <s v="15:35"/>
    <s v="S8"/>
    <x v="0"/>
    <x v="3"/>
    <x v="2"/>
    <x v="578"/>
    <x v="4"/>
    <s v="TX300584"/>
    <s v="C5"/>
    <x v="1"/>
    <s v="Afternoon"/>
    <s v="Friday"/>
    <x v="581"/>
  </r>
  <r>
    <x v="434"/>
    <s v="17:20"/>
    <s v="S3"/>
    <x v="0"/>
    <x v="2"/>
    <x v="6"/>
    <x v="579"/>
    <x v="3"/>
    <s v="TX300585"/>
    <s v="C1"/>
    <x v="3"/>
    <s v="Evening"/>
    <s v="Tuesday"/>
    <x v="582"/>
  </r>
  <r>
    <x v="435"/>
    <s v="12:25"/>
    <s v="S6"/>
    <x v="3"/>
    <x v="3"/>
    <x v="9"/>
    <x v="580"/>
    <x v="4"/>
    <s v="TX300586"/>
    <s v="C3"/>
    <x v="2"/>
    <s v="Afternoon"/>
    <s v="Friday"/>
    <x v="583"/>
  </r>
  <r>
    <x v="356"/>
    <s v="19:47"/>
    <s v="S2"/>
    <x v="0"/>
    <x v="5"/>
    <x v="3"/>
    <x v="581"/>
    <x v="4"/>
    <s v="TX300587"/>
    <s v="C3"/>
    <x v="3"/>
    <s v="Evening"/>
    <s v="Friday"/>
    <x v="584"/>
  </r>
  <r>
    <x v="436"/>
    <s v="21:00"/>
    <s v="S1"/>
    <x v="0"/>
    <x v="0"/>
    <x v="8"/>
    <x v="582"/>
    <x v="2"/>
    <s v="TX300588"/>
    <s v="C3"/>
    <x v="3"/>
    <s v="Evening"/>
    <s v="Thursday"/>
    <x v="585"/>
  </r>
  <r>
    <x v="437"/>
    <s v="13:01"/>
    <s v="S10"/>
    <x v="3"/>
    <x v="6"/>
    <x v="8"/>
    <x v="583"/>
    <x v="0"/>
    <s v="TX300589"/>
    <s v="C3"/>
    <x v="3"/>
    <s v="Afternoon"/>
    <s v="Friday"/>
    <x v="586"/>
  </r>
  <r>
    <x v="359"/>
    <s v="10:06"/>
    <s v="S9"/>
    <x v="3"/>
    <x v="5"/>
    <x v="5"/>
    <x v="584"/>
    <x v="0"/>
    <s v="TX300590"/>
    <s v="C3"/>
    <x v="0"/>
    <s v="Morning"/>
    <s v="Sunday"/>
    <x v="587"/>
  </r>
  <r>
    <x v="367"/>
    <s v="9:44"/>
    <s v="S8"/>
    <x v="0"/>
    <x v="4"/>
    <x v="1"/>
    <x v="585"/>
    <x v="1"/>
    <s v="TX300591"/>
    <s v="C1"/>
    <x v="0"/>
    <s v="Morning"/>
    <s v="Tuesday"/>
    <x v="588"/>
  </r>
  <r>
    <x v="438"/>
    <s v="13:08"/>
    <s v="S9"/>
    <x v="3"/>
    <x v="2"/>
    <x v="4"/>
    <x v="586"/>
    <x v="3"/>
    <s v="TX300592"/>
    <s v="C5"/>
    <x v="2"/>
    <s v="Afternoon"/>
    <s v="Friday"/>
    <x v="589"/>
  </r>
  <r>
    <x v="439"/>
    <s v="20:00"/>
    <s v="S7"/>
    <x v="0"/>
    <x v="1"/>
    <x v="0"/>
    <x v="587"/>
    <x v="4"/>
    <s v="TX300593"/>
    <s v="C5"/>
    <x v="3"/>
    <s v="Evening"/>
    <s v="Tuesday"/>
    <x v="590"/>
  </r>
  <r>
    <x v="440"/>
    <s v="21:29"/>
    <s v="S5"/>
    <x v="2"/>
    <x v="0"/>
    <x v="2"/>
    <x v="588"/>
    <x v="1"/>
    <s v="TX300594"/>
    <s v="C4"/>
    <x v="3"/>
    <s v="Evening"/>
    <s v="Friday"/>
    <x v="591"/>
  </r>
  <r>
    <x v="251"/>
    <s v="20:39"/>
    <s v="S9"/>
    <x v="0"/>
    <x v="2"/>
    <x v="9"/>
    <x v="589"/>
    <x v="0"/>
    <s v="TX300595"/>
    <s v="C5"/>
    <x v="1"/>
    <s v="Evening"/>
    <s v="Friday"/>
    <x v="592"/>
  </r>
  <r>
    <x v="307"/>
    <s v="14:12"/>
    <s v="S3"/>
    <x v="2"/>
    <x v="4"/>
    <x v="2"/>
    <x v="590"/>
    <x v="1"/>
    <s v="TX300596"/>
    <s v="C2"/>
    <x v="2"/>
    <s v="Afternoon"/>
    <s v="Thursday"/>
    <x v="593"/>
  </r>
  <r>
    <x v="84"/>
    <s v="15:36"/>
    <s v="S4"/>
    <x v="3"/>
    <x v="6"/>
    <x v="6"/>
    <x v="591"/>
    <x v="2"/>
    <s v="TX300597"/>
    <s v="C3"/>
    <x v="0"/>
    <s v="Afternoon"/>
    <s v="Tuesday"/>
    <x v="594"/>
  </r>
  <r>
    <x v="441"/>
    <s v="21:35"/>
    <s v="S2"/>
    <x v="3"/>
    <x v="1"/>
    <x v="5"/>
    <x v="592"/>
    <x v="0"/>
    <s v="TX300598"/>
    <s v="C3"/>
    <x v="0"/>
    <s v="Evening"/>
    <s v="Wednesday"/>
    <x v="595"/>
  </r>
  <r>
    <x v="442"/>
    <s v="12:46"/>
    <s v="S3"/>
    <x v="1"/>
    <x v="6"/>
    <x v="2"/>
    <x v="593"/>
    <x v="3"/>
    <s v="TX300599"/>
    <s v="C2"/>
    <x v="2"/>
    <s v="Afternoon"/>
    <s v="Tuesday"/>
    <x v="596"/>
  </r>
  <r>
    <x v="443"/>
    <s v="9:12"/>
    <s v="S6"/>
    <x v="0"/>
    <x v="3"/>
    <x v="1"/>
    <x v="594"/>
    <x v="4"/>
    <s v="TX300600"/>
    <s v="C1"/>
    <x v="3"/>
    <s v="Morning"/>
    <s v="Monday"/>
    <x v="597"/>
  </r>
  <r>
    <x v="444"/>
    <s v="20:03"/>
    <s v="S8"/>
    <x v="0"/>
    <x v="1"/>
    <x v="7"/>
    <x v="595"/>
    <x v="1"/>
    <s v="TX300601"/>
    <s v="C5"/>
    <x v="1"/>
    <s v="Evening"/>
    <s v="Tuesday"/>
    <x v="598"/>
  </r>
  <r>
    <x v="445"/>
    <s v="20:01"/>
    <s v="S3"/>
    <x v="3"/>
    <x v="6"/>
    <x v="7"/>
    <x v="596"/>
    <x v="2"/>
    <s v="TX300602"/>
    <s v="C5"/>
    <x v="2"/>
    <s v="Evening"/>
    <s v="Saturday"/>
    <x v="599"/>
  </r>
  <r>
    <x v="230"/>
    <s v="16:12"/>
    <s v="S6"/>
    <x v="2"/>
    <x v="2"/>
    <x v="2"/>
    <x v="597"/>
    <x v="2"/>
    <s v="TX300603"/>
    <s v="C4"/>
    <x v="2"/>
    <s v="Afternoon"/>
    <s v="Saturday"/>
    <x v="600"/>
  </r>
  <r>
    <x v="446"/>
    <s v="18:56"/>
    <s v="S7"/>
    <x v="1"/>
    <x v="4"/>
    <x v="0"/>
    <x v="598"/>
    <x v="1"/>
    <s v="TX300604"/>
    <s v="C4"/>
    <x v="0"/>
    <s v="Evening"/>
    <s v="Friday"/>
    <x v="601"/>
  </r>
  <r>
    <x v="447"/>
    <s v="14:53"/>
    <s v="S1"/>
    <x v="2"/>
    <x v="1"/>
    <x v="1"/>
    <x v="599"/>
    <x v="0"/>
    <s v="TX300605"/>
    <s v="C4"/>
    <x v="3"/>
    <s v="Afternoon"/>
    <s v="Saturday"/>
    <x v="602"/>
  </r>
  <r>
    <x v="448"/>
    <s v="10:44"/>
    <s v="S7"/>
    <x v="1"/>
    <x v="0"/>
    <x v="0"/>
    <x v="600"/>
    <x v="3"/>
    <s v="TX300606"/>
    <s v="C1"/>
    <x v="2"/>
    <s v="Morning"/>
    <s v="Friday"/>
    <x v="603"/>
  </r>
  <r>
    <x v="449"/>
    <s v="16:38"/>
    <s v="S7"/>
    <x v="2"/>
    <x v="0"/>
    <x v="8"/>
    <x v="601"/>
    <x v="4"/>
    <s v="TX300607"/>
    <s v="C4"/>
    <x v="3"/>
    <s v="Afternoon"/>
    <s v="Tuesday"/>
    <x v="604"/>
  </r>
  <r>
    <x v="149"/>
    <s v="19:32"/>
    <s v="S6"/>
    <x v="2"/>
    <x v="2"/>
    <x v="8"/>
    <x v="602"/>
    <x v="0"/>
    <s v="TX300608"/>
    <s v="C2"/>
    <x v="2"/>
    <s v="Evening"/>
    <s v="Monday"/>
    <x v="605"/>
  </r>
  <r>
    <x v="450"/>
    <s v="19:00"/>
    <s v="S6"/>
    <x v="1"/>
    <x v="4"/>
    <x v="8"/>
    <x v="603"/>
    <x v="2"/>
    <s v="TX300609"/>
    <s v="C1"/>
    <x v="2"/>
    <s v="Evening"/>
    <s v="Monday"/>
    <x v="606"/>
  </r>
  <r>
    <x v="290"/>
    <s v="10:39"/>
    <s v="S9"/>
    <x v="1"/>
    <x v="5"/>
    <x v="9"/>
    <x v="604"/>
    <x v="1"/>
    <s v="TX300610"/>
    <s v="C3"/>
    <x v="3"/>
    <s v="Morning"/>
    <s v="Thursday"/>
    <x v="607"/>
  </r>
  <r>
    <x v="451"/>
    <s v="13:07"/>
    <s v="S8"/>
    <x v="3"/>
    <x v="2"/>
    <x v="5"/>
    <x v="605"/>
    <x v="3"/>
    <s v="TX300611"/>
    <s v="C5"/>
    <x v="2"/>
    <s v="Afternoon"/>
    <s v="Monday"/>
    <x v="608"/>
  </r>
  <r>
    <x v="452"/>
    <s v="13:45"/>
    <s v="S1"/>
    <x v="1"/>
    <x v="6"/>
    <x v="8"/>
    <x v="606"/>
    <x v="1"/>
    <s v="TX300612"/>
    <s v="C1"/>
    <x v="1"/>
    <s v="Afternoon"/>
    <s v="Tuesday"/>
    <x v="609"/>
  </r>
  <r>
    <x v="453"/>
    <s v="10:47"/>
    <s v="S1"/>
    <x v="0"/>
    <x v="4"/>
    <x v="6"/>
    <x v="607"/>
    <x v="4"/>
    <s v="TX300613"/>
    <s v="C2"/>
    <x v="1"/>
    <s v="Morning"/>
    <s v="Thursday"/>
    <x v="610"/>
  </r>
  <r>
    <x v="378"/>
    <s v="14:15"/>
    <s v="S3"/>
    <x v="2"/>
    <x v="6"/>
    <x v="6"/>
    <x v="608"/>
    <x v="3"/>
    <s v="TX300614"/>
    <s v="C5"/>
    <x v="2"/>
    <s v="Afternoon"/>
    <s v="Thursday"/>
    <x v="611"/>
  </r>
  <r>
    <x v="454"/>
    <s v="9:24"/>
    <s v="S1"/>
    <x v="0"/>
    <x v="4"/>
    <x v="1"/>
    <x v="609"/>
    <x v="3"/>
    <s v="TX300615"/>
    <s v="C2"/>
    <x v="3"/>
    <s v="Morning"/>
    <s v="Friday"/>
    <x v="612"/>
  </r>
  <r>
    <x v="455"/>
    <s v="18:15"/>
    <s v="S9"/>
    <x v="2"/>
    <x v="3"/>
    <x v="0"/>
    <x v="610"/>
    <x v="3"/>
    <s v="TX300616"/>
    <s v="C3"/>
    <x v="0"/>
    <s v="Evening"/>
    <s v="Tuesday"/>
    <x v="613"/>
  </r>
  <r>
    <x v="456"/>
    <s v="17:16"/>
    <s v="S6"/>
    <x v="0"/>
    <x v="6"/>
    <x v="4"/>
    <x v="611"/>
    <x v="3"/>
    <s v="TX300617"/>
    <s v="C2"/>
    <x v="2"/>
    <s v="Evening"/>
    <s v="Sunday"/>
    <x v="614"/>
  </r>
  <r>
    <x v="457"/>
    <s v="18:55"/>
    <s v="S5"/>
    <x v="2"/>
    <x v="4"/>
    <x v="1"/>
    <x v="612"/>
    <x v="4"/>
    <s v="TX300618"/>
    <s v="C1"/>
    <x v="2"/>
    <s v="Evening"/>
    <s v="Saturday"/>
    <x v="615"/>
  </r>
  <r>
    <x v="173"/>
    <s v="21:51"/>
    <s v="S5"/>
    <x v="2"/>
    <x v="4"/>
    <x v="5"/>
    <x v="613"/>
    <x v="0"/>
    <s v="TX300619"/>
    <s v="C5"/>
    <x v="0"/>
    <s v="Evening"/>
    <s v="Tuesday"/>
    <x v="616"/>
  </r>
  <r>
    <x v="249"/>
    <s v="19:29"/>
    <s v="S1"/>
    <x v="3"/>
    <x v="1"/>
    <x v="6"/>
    <x v="614"/>
    <x v="4"/>
    <s v="TX300620"/>
    <s v="C3"/>
    <x v="3"/>
    <s v="Evening"/>
    <s v="Thursday"/>
    <x v="617"/>
  </r>
  <r>
    <x v="458"/>
    <s v="14:14"/>
    <s v="S2"/>
    <x v="3"/>
    <x v="5"/>
    <x v="0"/>
    <x v="615"/>
    <x v="3"/>
    <s v="TX300621"/>
    <s v="C5"/>
    <x v="3"/>
    <s v="Afternoon"/>
    <s v="Monday"/>
    <x v="618"/>
  </r>
  <r>
    <x v="280"/>
    <s v="18:39"/>
    <s v="S3"/>
    <x v="1"/>
    <x v="0"/>
    <x v="0"/>
    <x v="616"/>
    <x v="3"/>
    <s v="TX300622"/>
    <s v="C4"/>
    <x v="2"/>
    <s v="Evening"/>
    <s v="Friday"/>
    <x v="619"/>
  </r>
  <r>
    <x v="269"/>
    <s v="12:10"/>
    <s v="S5"/>
    <x v="2"/>
    <x v="6"/>
    <x v="4"/>
    <x v="617"/>
    <x v="2"/>
    <s v="TX300623"/>
    <s v="C4"/>
    <x v="2"/>
    <s v="Afternoon"/>
    <s v="Monday"/>
    <x v="620"/>
  </r>
  <r>
    <x v="459"/>
    <s v="17:26"/>
    <s v="S4"/>
    <x v="2"/>
    <x v="0"/>
    <x v="0"/>
    <x v="618"/>
    <x v="2"/>
    <s v="TX300624"/>
    <s v="C3"/>
    <x v="1"/>
    <s v="Evening"/>
    <s v="Friday"/>
    <x v="621"/>
  </r>
  <r>
    <x v="460"/>
    <s v="14:46"/>
    <s v="S3"/>
    <x v="3"/>
    <x v="3"/>
    <x v="0"/>
    <x v="619"/>
    <x v="1"/>
    <s v="TX300625"/>
    <s v="C5"/>
    <x v="0"/>
    <s v="Afternoon"/>
    <s v="Thursday"/>
    <x v="622"/>
  </r>
  <r>
    <x v="461"/>
    <s v="12:33"/>
    <s v="S6"/>
    <x v="0"/>
    <x v="3"/>
    <x v="8"/>
    <x v="620"/>
    <x v="4"/>
    <s v="TX300626"/>
    <s v="C5"/>
    <x v="1"/>
    <s v="Afternoon"/>
    <s v="Wednesday"/>
    <x v="623"/>
  </r>
  <r>
    <x v="185"/>
    <s v="17:37"/>
    <s v="S4"/>
    <x v="3"/>
    <x v="6"/>
    <x v="5"/>
    <x v="621"/>
    <x v="3"/>
    <s v="TX300627"/>
    <s v="C3"/>
    <x v="0"/>
    <s v="Evening"/>
    <s v="Friday"/>
    <x v="624"/>
  </r>
  <r>
    <x v="462"/>
    <s v="17:59"/>
    <s v="S7"/>
    <x v="2"/>
    <x v="6"/>
    <x v="4"/>
    <x v="622"/>
    <x v="4"/>
    <s v="TX300628"/>
    <s v="C4"/>
    <x v="2"/>
    <s v="Evening"/>
    <s v="Tuesday"/>
    <x v="625"/>
  </r>
  <r>
    <x v="463"/>
    <s v="12:36"/>
    <s v="S4"/>
    <x v="0"/>
    <x v="6"/>
    <x v="4"/>
    <x v="623"/>
    <x v="0"/>
    <s v="TX300629"/>
    <s v="C3"/>
    <x v="0"/>
    <s v="Afternoon"/>
    <s v="Monday"/>
    <x v="626"/>
  </r>
  <r>
    <x v="464"/>
    <s v="19:17"/>
    <s v="S9"/>
    <x v="1"/>
    <x v="0"/>
    <x v="6"/>
    <x v="624"/>
    <x v="2"/>
    <s v="TX300630"/>
    <s v="C3"/>
    <x v="3"/>
    <s v="Evening"/>
    <s v="Thursday"/>
    <x v="627"/>
  </r>
  <r>
    <x v="465"/>
    <s v="16:58"/>
    <s v="S9"/>
    <x v="0"/>
    <x v="5"/>
    <x v="9"/>
    <x v="625"/>
    <x v="4"/>
    <s v="TX300631"/>
    <s v="C4"/>
    <x v="2"/>
    <s v="Afternoon"/>
    <s v="Tuesday"/>
    <x v="628"/>
  </r>
  <r>
    <x v="466"/>
    <s v="12:33"/>
    <s v="S7"/>
    <x v="3"/>
    <x v="6"/>
    <x v="1"/>
    <x v="626"/>
    <x v="4"/>
    <s v="TX300632"/>
    <s v="C3"/>
    <x v="0"/>
    <s v="Afternoon"/>
    <s v="Wednesday"/>
    <x v="629"/>
  </r>
  <r>
    <x v="467"/>
    <s v="11:33"/>
    <s v="S4"/>
    <x v="0"/>
    <x v="4"/>
    <x v="2"/>
    <x v="627"/>
    <x v="0"/>
    <s v="TX300633"/>
    <s v="C5"/>
    <x v="2"/>
    <s v="Morning"/>
    <s v="Saturday"/>
    <x v="630"/>
  </r>
  <r>
    <x v="222"/>
    <s v="11:30"/>
    <s v="S3"/>
    <x v="3"/>
    <x v="0"/>
    <x v="8"/>
    <x v="628"/>
    <x v="0"/>
    <s v="TX300634"/>
    <s v="C2"/>
    <x v="0"/>
    <s v="Morning"/>
    <s v="Wednesday"/>
    <x v="631"/>
  </r>
  <r>
    <x v="30"/>
    <s v="21:11"/>
    <s v="S2"/>
    <x v="1"/>
    <x v="6"/>
    <x v="1"/>
    <x v="629"/>
    <x v="4"/>
    <s v="TX300635"/>
    <s v="C4"/>
    <x v="2"/>
    <s v="Evening"/>
    <s v="Wednesday"/>
    <x v="632"/>
  </r>
  <r>
    <x v="468"/>
    <s v="21:49"/>
    <s v="S3"/>
    <x v="2"/>
    <x v="3"/>
    <x v="6"/>
    <x v="630"/>
    <x v="0"/>
    <s v="TX300636"/>
    <s v="C2"/>
    <x v="2"/>
    <s v="Evening"/>
    <s v="Sunday"/>
    <x v="633"/>
  </r>
  <r>
    <x v="109"/>
    <s v="12:49"/>
    <s v="S2"/>
    <x v="3"/>
    <x v="2"/>
    <x v="8"/>
    <x v="631"/>
    <x v="0"/>
    <s v="TX300637"/>
    <s v="C2"/>
    <x v="1"/>
    <s v="Afternoon"/>
    <s v="Wednesday"/>
    <x v="634"/>
  </r>
  <r>
    <x v="469"/>
    <s v="21:23"/>
    <s v="S4"/>
    <x v="1"/>
    <x v="4"/>
    <x v="2"/>
    <x v="632"/>
    <x v="0"/>
    <s v="TX300638"/>
    <s v="C1"/>
    <x v="2"/>
    <s v="Evening"/>
    <s v="Monday"/>
    <x v="635"/>
  </r>
  <r>
    <x v="62"/>
    <s v="15:31"/>
    <s v="S1"/>
    <x v="0"/>
    <x v="5"/>
    <x v="5"/>
    <x v="633"/>
    <x v="3"/>
    <s v="TX300639"/>
    <s v="C2"/>
    <x v="3"/>
    <s v="Afternoon"/>
    <s v="Thursday"/>
    <x v="636"/>
  </r>
  <r>
    <x v="51"/>
    <s v="21:34"/>
    <s v="S1"/>
    <x v="1"/>
    <x v="6"/>
    <x v="4"/>
    <x v="634"/>
    <x v="2"/>
    <s v="TX300640"/>
    <s v="C1"/>
    <x v="2"/>
    <s v="Evening"/>
    <s v="Wednesday"/>
    <x v="637"/>
  </r>
  <r>
    <x v="409"/>
    <s v="14:48"/>
    <s v="S8"/>
    <x v="2"/>
    <x v="4"/>
    <x v="7"/>
    <x v="635"/>
    <x v="0"/>
    <s v="TX300641"/>
    <s v="C4"/>
    <x v="1"/>
    <s v="Afternoon"/>
    <s v="Friday"/>
    <x v="638"/>
  </r>
  <r>
    <x v="343"/>
    <s v="21:33"/>
    <s v="S6"/>
    <x v="2"/>
    <x v="5"/>
    <x v="9"/>
    <x v="636"/>
    <x v="0"/>
    <s v="TX300642"/>
    <s v="C4"/>
    <x v="1"/>
    <s v="Evening"/>
    <s v="Saturday"/>
    <x v="639"/>
  </r>
  <r>
    <x v="189"/>
    <s v="9:45"/>
    <s v="S8"/>
    <x v="0"/>
    <x v="5"/>
    <x v="1"/>
    <x v="637"/>
    <x v="2"/>
    <s v="TX300643"/>
    <s v="C5"/>
    <x v="3"/>
    <s v="Morning"/>
    <s v="Sunday"/>
    <x v="640"/>
  </r>
  <r>
    <x v="330"/>
    <s v="19:06"/>
    <s v="S1"/>
    <x v="0"/>
    <x v="2"/>
    <x v="1"/>
    <x v="638"/>
    <x v="0"/>
    <s v="TX300644"/>
    <s v="C3"/>
    <x v="2"/>
    <s v="Evening"/>
    <s v="Wednesday"/>
    <x v="641"/>
  </r>
  <r>
    <x v="292"/>
    <s v="21:03"/>
    <s v="S6"/>
    <x v="0"/>
    <x v="3"/>
    <x v="3"/>
    <x v="639"/>
    <x v="0"/>
    <s v="TX300645"/>
    <s v="C1"/>
    <x v="1"/>
    <s v="Evening"/>
    <s v="Thursday"/>
    <x v="642"/>
  </r>
  <r>
    <x v="413"/>
    <s v="11:09"/>
    <s v="S3"/>
    <x v="2"/>
    <x v="1"/>
    <x v="2"/>
    <x v="640"/>
    <x v="2"/>
    <s v="TX300646"/>
    <s v="C4"/>
    <x v="0"/>
    <s v="Morning"/>
    <s v="Sunday"/>
    <x v="643"/>
  </r>
  <r>
    <x v="211"/>
    <s v="12:32"/>
    <s v="S5"/>
    <x v="0"/>
    <x v="4"/>
    <x v="9"/>
    <x v="641"/>
    <x v="2"/>
    <s v="TX300647"/>
    <s v="C4"/>
    <x v="3"/>
    <s v="Afternoon"/>
    <s v="Tuesday"/>
    <x v="644"/>
  </r>
  <r>
    <x v="470"/>
    <s v="15:05"/>
    <s v="S3"/>
    <x v="0"/>
    <x v="4"/>
    <x v="1"/>
    <x v="642"/>
    <x v="1"/>
    <s v="TX300648"/>
    <s v="C4"/>
    <x v="0"/>
    <s v="Afternoon"/>
    <s v="Saturday"/>
    <x v="645"/>
  </r>
  <r>
    <x v="91"/>
    <s v="16:03"/>
    <s v="S6"/>
    <x v="1"/>
    <x v="4"/>
    <x v="3"/>
    <x v="643"/>
    <x v="4"/>
    <s v="TX300649"/>
    <s v="C1"/>
    <x v="1"/>
    <s v="Afternoon"/>
    <s v="Friday"/>
    <x v="646"/>
  </r>
  <r>
    <x v="471"/>
    <s v="16:34"/>
    <s v="S1"/>
    <x v="1"/>
    <x v="3"/>
    <x v="3"/>
    <x v="644"/>
    <x v="1"/>
    <s v="TX300650"/>
    <s v="C1"/>
    <x v="3"/>
    <s v="Afternoon"/>
    <s v="Saturday"/>
    <x v="647"/>
  </r>
  <r>
    <x v="178"/>
    <s v="15:36"/>
    <s v="S10"/>
    <x v="0"/>
    <x v="6"/>
    <x v="2"/>
    <x v="645"/>
    <x v="1"/>
    <s v="TX300651"/>
    <s v="C5"/>
    <x v="3"/>
    <s v="Afternoon"/>
    <s v="Sunday"/>
    <x v="648"/>
  </r>
  <r>
    <x v="398"/>
    <s v="21:13"/>
    <s v="S6"/>
    <x v="3"/>
    <x v="0"/>
    <x v="0"/>
    <x v="646"/>
    <x v="4"/>
    <s v="TX300652"/>
    <s v="C4"/>
    <x v="3"/>
    <s v="Evening"/>
    <s v="Saturday"/>
    <x v="649"/>
  </r>
  <r>
    <x v="114"/>
    <s v="18:41"/>
    <s v="S8"/>
    <x v="1"/>
    <x v="6"/>
    <x v="7"/>
    <x v="647"/>
    <x v="1"/>
    <s v="TX300653"/>
    <s v="C5"/>
    <x v="0"/>
    <s v="Evening"/>
    <s v="Sunday"/>
    <x v="650"/>
  </r>
  <r>
    <x v="223"/>
    <s v="11:34"/>
    <s v="S7"/>
    <x v="3"/>
    <x v="3"/>
    <x v="0"/>
    <x v="648"/>
    <x v="2"/>
    <s v="TX300654"/>
    <s v="C2"/>
    <x v="3"/>
    <s v="Morning"/>
    <s v="Monday"/>
    <x v="651"/>
  </r>
  <r>
    <x v="472"/>
    <s v="14:20"/>
    <s v="S3"/>
    <x v="0"/>
    <x v="0"/>
    <x v="0"/>
    <x v="649"/>
    <x v="1"/>
    <s v="TX300655"/>
    <s v="C4"/>
    <x v="1"/>
    <s v="Afternoon"/>
    <s v="Saturday"/>
    <x v="652"/>
  </r>
  <r>
    <x v="368"/>
    <s v="20:04"/>
    <s v="S3"/>
    <x v="3"/>
    <x v="0"/>
    <x v="0"/>
    <x v="650"/>
    <x v="4"/>
    <s v="TX300656"/>
    <s v="C1"/>
    <x v="0"/>
    <s v="Evening"/>
    <s v="Wednesday"/>
    <x v="653"/>
  </r>
  <r>
    <x v="473"/>
    <s v="14:57"/>
    <s v="S8"/>
    <x v="1"/>
    <x v="2"/>
    <x v="1"/>
    <x v="651"/>
    <x v="2"/>
    <s v="TX300657"/>
    <s v="C4"/>
    <x v="2"/>
    <s v="Afternoon"/>
    <s v="Monday"/>
    <x v="654"/>
  </r>
  <r>
    <x v="324"/>
    <s v="14:40"/>
    <s v="S1"/>
    <x v="0"/>
    <x v="3"/>
    <x v="0"/>
    <x v="652"/>
    <x v="1"/>
    <s v="TX300658"/>
    <s v="C1"/>
    <x v="3"/>
    <s v="Afternoon"/>
    <s v="Monday"/>
    <x v="655"/>
  </r>
  <r>
    <x v="474"/>
    <s v="16:22"/>
    <s v="S9"/>
    <x v="1"/>
    <x v="1"/>
    <x v="0"/>
    <x v="653"/>
    <x v="2"/>
    <s v="TX300659"/>
    <s v="C3"/>
    <x v="2"/>
    <s v="Afternoon"/>
    <s v="Wednesday"/>
    <x v="656"/>
  </r>
  <r>
    <x v="71"/>
    <s v="21:41"/>
    <s v="S5"/>
    <x v="2"/>
    <x v="5"/>
    <x v="5"/>
    <x v="488"/>
    <x v="3"/>
    <s v="TX300660"/>
    <s v="C3"/>
    <x v="1"/>
    <s v="Evening"/>
    <s v="Wednesday"/>
    <x v="657"/>
  </r>
  <r>
    <x v="106"/>
    <s v="21:32"/>
    <s v="S9"/>
    <x v="1"/>
    <x v="0"/>
    <x v="7"/>
    <x v="654"/>
    <x v="0"/>
    <s v="TX300661"/>
    <s v="C2"/>
    <x v="0"/>
    <s v="Evening"/>
    <s v="Thursday"/>
    <x v="658"/>
  </r>
  <r>
    <x v="475"/>
    <s v="11:20"/>
    <s v="S2"/>
    <x v="2"/>
    <x v="3"/>
    <x v="9"/>
    <x v="655"/>
    <x v="4"/>
    <s v="TX300662"/>
    <s v="C2"/>
    <x v="3"/>
    <s v="Morning"/>
    <s v="Friday"/>
    <x v="659"/>
  </r>
  <r>
    <x v="476"/>
    <s v="20:50"/>
    <s v="S9"/>
    <x v="3"/>
    <x v="4"/>
    <x v="4"/>
    <x v="656"/>
    <x v="4"/>
    <s v="TX300663"/>
    <s v="C2"/>
    <x v="0"/>
    <s v="Evening"/>
    <s v="Friday"/>
    <x v="660"/>
  </r>
  <r>
    <x v="215"/>
    <s v="17:00"/>
    <s v="S3"/>
    <x v="2"/>
    <x v="2"/>
    <x v="2"/>
    <x v="657"/>
    <x v="0"/>
    <s v="TX300664"/>
    <s v="C4"/>
    <x v="3"/>
    <s v="Evening"/>
    <s v="Friday"/>
    <x v="661"/>
  </r>
  <r>
    <x v="477"/>
    <s v="10:06"/>
    <s v="S9"/>
    <x v="1"/>
    <x v="2"/>
    <x v="7"/>
    <x v="658"/>
    <x v="3"/>
    <s v="TX300665"/>
    <s v="C3"/>
    <x v="1"/>
    <s v="Morning"/>
    <s v="Friday"/>
    <x v="662"/>
  </r>
  <r>
    <x v="128"/>
    <s v="18:42"/>
    <s v="S3"/>
    <x v="2"/>
    <x v="3"/>
    <x v="1"/>
    <x v="659"/>
    <x v="1"/>
    <s v="TX300666"/>
    <s v="C1"/>
    <x v="1"/>
    <s v="Evening"/>
    <s v="Monday"/>
    <x v="663"/>
  </r>
  <r>
    <x v="478"/>
    <s v="14:22"/>
    <s v="S10"/>
    <x v="1"/>
    <x v="6"/>
    <x v="9"/>
    <x v="660"/>
    <x v="4"/>
    <s v="TX300667"/>
    <s v="C1"/>
    <x v="2"/>
    <s v="Afternoon"/>
    <s v="Tuesday"/>
    <x v="664"/>
  </r>
  <r>
    <x v="48"/>
    <s v="20:57"/>
    <s v="S6"/>
    <x v="1"/>
    <x v="2"/>
    <x v="8"/>
    <x v="661"/>
    <x v="0"/>
    <s v="TX300668"/>
    <s v="C4"/>
    <x v="3"/>
    <s v="Evening"/>
    <s v="Friday"/>
    <x v="665"/>
  </r>
  <r>
    <x v="479"/>
    <s v="17:20"/>
    <s v="S8"/>
    <x v="0"/>
    <x v="5"/>
    <x v="7"/>
    <x v="662"/>
    <x v="2"/>
    <s v="TX300669"/>
    <s v="C2"/>
    <x v="0"/>
    <s v="Evening"/>
    <s v="Sunday"/>
    <x v="666"/>
  </r>
  <r>
    <x v="480"/>
    <s v="17:21"/>
    <s v="S4"/>
    <x v="3"/>
    <x v="0"/>
    <x v="3"/>
    <x v="663"/>
    <x v="2"/>
    <s v="TX300670"/>
    <s v="C1"/>
    <x v="1"/>
    <s v="Evening"/>
    <s v="Friday"/>
    <x v="667"/>
  </r>
  <r>
    <x v="481"/>
    <s v="17:11"/>
    <s v="S4"/>
    <x v="3"/>
    <x v="2"/>
    <x v="4"/>
    <x v="664"/>
    <x v="1"/>
    <s v="TX300671"/>
    <s v="C4"/>
    <x v="3"/>
    <s v="Evening"/>
    <s v="Thursday"/>
    <x v="668"/>
  </r>
  <r>
    <x v="142"/>
    <s v="10:11"/>
    <s v="S7"/>
    <x v="3"/>
    <x v="4"/>
    <x v="0"/>
    <x v="665"/>
    <x v="2"/>
    <s v="TX300672"/>
    <s v="C3"/>
    <x v="3"/>
    <s v="Morning"/>
    <s v="Wednesday"/>
    <x v="669"/>
  </r>
  <r>
    <x v="482"/>
    <s v="20:05"/>
    <s v="S7"/>
    <x v="0"/>
    <x v="3"/>
    <x v="4"/>
    <x v="666"/>
    <x v="3"/>
    <s v="TX300673"/>
    <s v="C2"/>
    <x v="0"/>
    <s v="Evening"/>
    <s v="Wednesday"/>
    <x v="670"/>
  </r>
  <r>
    <x v="442"/>
    <s v="12:39"/>
    <s v="S8"/>
    <x v="2"/>
    <x v="4"/>
    <x v="9"/>
    <x v="667"/>
    <x v="0"/>
    <s v="TX300674"/>
    <s v="C3"/>
    <x v="3"/>
    <s v="Afternoon"/>
    <s v="Tuesday"/>
    <x v="671"/>
  </r>
  <r>
    <x v="84"/>
    <s v="9:43"/>
    <s v="S10"/>
    <x v="0"/>
    <x v="3"/>
    <x v="1"/>
    <x v="668"/>
    <x v="4"/>
    <s v="TX300675"/>
    <s v="C5"/>
    <x v="0"/>
    <s v="Morning"/>
    <s v="Tuesday"/>
    <x v="672"/>
  </r>
  <r>
    <x v="268"/>
    <s v="19:10"/>
    <s v="S8"/>
    <x v="2"/>
    <x v="6"/>
    <x v="1"/>
    <x v="669"/>
    <x v="0"/>
    <s v="TX300676"/>
    <s v="C1"/>
    <x v="1"/>
    <s v="Evening"/>
    <s v="Sunday"/>
    <x v="673"/>
  </r>
  <r>
    <x v="483"/>
    <s v="12:19"/>
    <s v="S8"/>
    <x v="3"/>
    <x v="6"/>
    <x v="3"/>
    <x v="670"/>
    <x v="1"/>
    <s v="TX300677"/>
    <s v="C4"/>
    <x v="0"/>
    <s v="Afternoon"/>
    <s v="Saturday"/>
    <x v="674"/>
  </r>
  <r>
    <x v="484"/>
    <s v="12:16"/>
    <s v="S1"/>
    <x v="0"/>
    <x v="1"/>
    <x v="3"/>
    <x v="671"/>
    <x v="4"/>
    <s v="TX300678"/>
    <s v="C2"/>
    <x v="3"/>
    <s v="Afternoon"/>
    <s v="Sunday"/>
    <x v="675"/>
  </r>
  <r>
    <x v="153"/>
    <s v="16:37"/>
    <s v="S10"/>
    <x v="1"/>
    <x v="5"/>
    <x v="0"/>
    <x v="672"/>
    <x v="0"/>
    <s v="TX300679"/>
    <s v="C3"/>
    <x v="0"/>
    <s v="Afternoon"/>
    <s v="Friday"/>
    <x v="676"/>
  </r>
  <r>
    <x v="375"/>
    <s v="17:34"/>
    <s v="S10"/>
    <x v="1"/>
    <x v="1"/>
    <x v="2"/>
    <x v="673"/>
    <x v="3"/>
    <s v="TX300680"/>
    <s v="C2"/>
    <x v="3"/>
    <s v="Evening"/>
    <s v="Friday"/>
    <x v="677"/>
  </r>
  <r>
    <x v="350"/>
    <s v="16:14"/>
    <s v="S6"/>
    <x v="0"/>
    <x v="5"/>
    <x v="1"/>
    <x v="674"/>
    <x v="3"/>
    <s v="TX300681"/>
    <s v="C5"/>
    <x v="2"/>
    <s v="Afternoon"/>
    <s v="Thursday"/>
    <x v="678"/>
  </r>
  <r>
    <x v="485"/>
    <s v="16:36"/>
    <s v="S2"/>
    <x v="1"/>
    <x v="0"/>
    <x v="4"/>
    <x v="675"/>
    <x v="3"/>
    <s v="TX300682"/>
    <s v="C1"/>
    <x v="1"/>
    <s v="Afternoon"/>
    <s v="Monday"/>
    <x v="679"/>
  </r>
  <r>
    <x v="486"/>
    <s v="14:26"/>
    <s v="S3"/>
    <x v="0"/>
    <x v="3"/>
    <x v="1"/>
    <x v="676"/>
    <x v="0"/>
    <s v="TX300683"/>
    <s v="C3"/>
    <x v="1"/>
    <s v="Afternoon"/>
    <s v="Friday"/>
    <x v="680"/>
  </r>
  <r>
    <x v="465"/>
    <s v="10:30"/>
    <s v="S2"/>
    <x v="2"/>
    <x v="4"/>
    <x v="4"/>
    <x v="677"/>
    <x v="2"/>
    <s v="TX300684"/>
    <s v="C5"/>
    <x v="2"/>
    <s v="Morning"/>
    <s v="Tuesday"/>
    <x v="681"/>
  </r>
  <r>
    <x v="51"/>
    <s v="16:39"/>
    <s v="S5"/>
    <x v="1"/>
    <x v="6"/>
    <x v="0"/>
    <x v="678"/>
    <x v="0"/>
    <s v="TX300685"/>
    <s v="C5"/>
    <x v="2"/>
    <s v="Afternoon"/>
    <s v="Wednesday"/>
    <x v="682"/>
  </r>
  <r>
    <x v="386"/>
    <s v="10:30"/>
    <s v="S5"/>
    <x v="0"/>
    <x v="3"/>
    <x v="2"/>
    <x v="679"/>
    <x v="0"/>
    <s v="TX300686"/>
    <s v="C1"/>
    <x v="1"/>
    <s v="Morning"/>
    <s v="Wednesday"/>
    <x v="683"/>
  </r>
  <r>
    <x v="192"/>
    <s v="15:13"/>
    <s v="S4"/>
    <x v="0"/>
    <x v="6"/>
    <x v="8"/>
    <x v="680"/>
    <x v="0"/>
    <s v="TX300687"/>
    <s v="C3"/>
    <x v="1"/>
    <s v="Afternoon"/>
    <s v="Wednesday"/>
    <x v="684"/>
  </r>
  <r>
    <x v="367"/>
    <s v="10:30"/>
    <s v="S5"/>
    <x v="1"/>
    <x v="4"/>
    <x v="7"/>
    <x v="681"/>
    <x v="2"/>
    <s v="TX300688"/>
    <s v="C3"/>
    <x v="3"/>
    <s v="Morning"/>
    <s v="Tuesday"/>
    <x v="685"/>
  </r>
  <r>
    <x v="487"/>
    <s v="19:35"/>
    <s v="S1"/>
    <x v="3"/>
    <x v="5"/>
    <x v="9"/>
    <x v="682"/>
    <x v="3"/>
    <s v="TX300689"/>
    <s v="C1"/>
    <x v="1"/>
    <s v="Evening"/>
    <s v="Saturday"/>
    <x v="686"/>
  </r>
  <r>
    <x v="488"/>
    <s v="18:35"/>
    <s v="S2"/>
    <x v="2"/>
    <x v="1"/>
    <x v="6"/>
    <x v="683"/>
    <x v="3"/>
    <s v="TX300690"/>
    <s v="C1"/>
    <x v="2"/>
    <s v="Evening"/>
    <s v="Tuesday"/>
    <x v="687"/>
  </r>
  <r>
    <x v="489"/>
    <s v="9:30"/>
    <s v="S2"/>
    <x v="0"/>
    <x v="0"/>
    <x v="6"/>
    <x v="684"/>
    <x v="3"/>
    <s v="TX300691"/>
    <s v="C2"/>
    <x v="3"/>
    <s v="Morning"/>
    <s v="Wednesday"/>
    <x v="688"/>
  </r>
  <r>
    <x v="490"/>
    <s v="19:43"/>
    <s v="S3"/>
    <x v="1"/>
    <x v="2"/>
    <x v="3"/>
    <x v="685"/>
    <x v="0"/>
    <s v="TX300692"/>
    <s v="C2"/>
    <x v="2"/>
    <s v="Evening"/>
    <s v="Tuesday"/>
    <x v="689"/>
  </r>
  <r>
    <x v="296"/>
    <s v="11:38"/>
    <s v="S1"/>
    <x v="1"/>
    <x v="4"/>
    <x v="6"/>
    <x v="686"/>
    <x v="4"/>
    <s v="TX300693"/>
    <s v="C1"/>
    <x v="1"/>
    <s v="Morning"/>
    <s v="Wednesday"/>
    <x v="690"/>
  </r>
  <r>
    <x v="491"/>
    <s v="21:45"/>
    <s v="S8"/>
    <x v="1"/>
    <x v="6"/>
    <x v="3"/>
    <x v="687"/>
    <x v="2"/>
    <s v="TX300694"/>
    <s v="C1"/>
    <x v="0"/>
    <s v="Evening"/>
    <s v="Wednesday"/>
    <x v="691"/>
  </r>
  <r>
    <x v="291"/>
    <s v="18:56"/>
    <s v="S7"/>
    <x v="1"/>
    <x v="2"/>
    <x v="7"/>
    <x v="688"/>
    <x v="0"/>
    <s v="TX300695"/>
    <s v="C1"/>
    <x v="0"/>
    <s v="Evening"/>
    <s v="Wednesday"/>
    <x v="692"/>
  </r>
  <r>
    <x v="95"/>
    <s v="21:18"/>
    <s v="S5"/>
    <x v="0"/>
    <x v="4"/>
    <x v="6"/>
    <x v="689"/>
    <x v="3"/>
    <s v="TX300696"/>
    <s v="C5"/>
    <x v="1"/>
    <s v="Evening"/>
    <s v="Tuesday"/>
    <x v="693"/>
  </r>
  <r>
    <x v="202"/>
    <s v="14:27"/>
    <s v="S9"/>
    <x v="0"/>
    <x v="2"/>
    <x v="0"/>
    <x v="690"/>
    <x v="1"/>
    <s v="TX300697"/>
    <s v="C2"/>
    <x v="0"/>
    <s v="Afternoon"/>
    <s v="Saturday"/>
    <x v="694"/>
  </r>
  <r>
    <x v="492"/>
    <s v="19:11"/>
    <s v="S9"/>
    <x v="2"/>
    <x v="3"/>
    <x v="2"/>
    <x v="691"/>
    <x v="1"/>
    <s v="TX300698"/>
    <s v="C5"/>
    <x v="3"/>
    <s v="Evening"/>
    <s v="Wednesday"/>
    <x v="695"/>
  </r>
  <r>
    <x v="493"/>
    <s v="16:13"/>
    <s v="S8"/>
    <x v="2"/>
    <x v="5"/>
    <x v="5"/>
    <x v="692"/>
    <x v="2"/>
    <s v="TX300699"/>
    <s v="C5"/>
    <x v="1"/>
    <s v="Afternoon"/>
    <s v="Monday"/>
    <x v="696"/>
  </r>
  <r>
    <x v="494"/>
    <s v="17:37"/>
    <s v="S5"/>
    <x v="1"/>
    <x v="2"/>
    <x v="7"/>
    <x v="693"/>
    <x v="2"/>
    <s v="TX300700"/>
    <s v="C2"/>
    <x v="0"/>
    <s v="Evening"/>
    <s v="Sunday"/>
    <x v="697"/>
  </r>
  <r>
    <x v="495"/>
    <s v="12:08"/>
    <s v="S8"/>
    <x v="3"/>
    <x v="4"/>
    <x v="5"/>
    <x v="694"/>
    <x v="2"/>
    <s v="TX300701"/>
    <s v="C5"/>
    <x v="3"/>
    <s v="Afternoon"/>
    <s v="Tuesday"/>
    <x v="698"/>
  </r>
  <r>
    <x v="467"/>
    <s v="13:00"/>
    <s v="S10"/>
    <x v="0"/>
    <x v="2"/>
    <x v="7"/>
    <x v="695"/>
    <x v="4"/>
    <s v="TX300702"/>
    <s v="C5"/>
    <x v="1"/>
    <s v="Afternoon"/>
    <s v="Saturday"/>
    <x v="699"/>
  </r>
  <r>
    <x v="140"/>
    <s v="15:10"/>
    <s v="S10"/>
    <x v="3"/>
    <x v="2"/>
    <x v="9"/>
    <x v="696"/>
    <x v="0"/>
    <s v="TX300703"/>
    <s v="C2"/>
    <x v="1"/>
    <s v="Afternoon"/>
    <s v="Friday"/>
    <x v="700"/>
  </r>
  <r>
    <x v="478"/>
    <s v="14:13"/>
    <s v="S7"/>
    <x v="2"/>
    <x v="2"/>
    <x v="7"/>
    <x v="697"/>
    <x v="1"/>
    <s v="TX300704"/>
    <s v="C2"/>
    <x v="3"/>
    <s v="Afternoon"/>
    <s v="Tuesday"/>
    <x v="701"/>
  </r>
  <r>
    <x v="496"/>
    <s v="21:56"/>
    <s v="S7"/>
    <x v="1"/>
    <x v="6"/>
    <x v="4"/>
    <x v="698"/>
    <x v="0"/>
    <s v="TX300705"/>
    <s v="C1"/>
    <x v="2"/>
    <s v="Evening"/>
    <s v="Saturday"/>
    <x v="702"/>
  </r>
  <r>
    <x v="145"/>
    <s v="11:03"/>
    <s v="S7"/>
    <x v="0"/>
    <x v="5"/>
    <x v="3"/>
    <x v="699"/>
    <x v="4"/>
    <s v="TX300706"/>
    <s v="C1"/>
    <x v="3"/>
    <s v="Morning"/>
    <s v="Monday"/>
    <x v="703"/>
  </r>
  <r>
    <x v="497"/>
    <s v="19:24"/>
    <s v="S2"/>
    <x v="2"/>
    <x v="2"/>
    <x v="1"/>
    <x v="700"/>
    <x v="0"/>
    <s v="TX300707"/>
    <s v="C2"/>
    <x v="3"/>
    <s v="Evening"/>
    <s v="Thursday"/>
    <x v="704"/>
  </r>
  <r>
    <x v="246"/>
    <s v="9:43"/>
    <s v="S7"/>
    <x v="3"/>
    <x v="4"/>
    <x v="4"/>
    <x v="701"/>
    <x v="3"/>
    <s v="TX300708"/>
    <s v="C4"/>
    <x v="2"/>
    <s v="Morning"/>
    <s v="Monday"/>
    <x v="705"/>
  </r>
  <r>
    <x v="498"/>
    <s v="11:35"/>
    <s v="S2"/>
    <x v="0"/>
    <x v="5"/>
    <x v="6"/>
    <x v="702"/>
    <x v="2"/>
    <s v="TX300709"/>
    <s v="C3"/>
    <x v="3"/>
    <s v="Morning"/>
    <s v="Tuesday"/>
    <x v="706"/>
  </r>
  <r>
    <x v="499"/>
    <s v="15:45"/>
    <s v="S10"/>
    <x v="3"/>
    <x v="1"/>
    <x v="7"/>
    <x v="703"/>
    <x v="2"/>
    <s v="TX300710"/>
    <s v="C1"/>
    <x v="2"/>
    <s v="Afternoon"/>
    <s v="Thursday"/>
    <x v="707"/>
  </r>
  <r>
    <x v="500"/>
    <s v="19:26"/>
    <s v="S2"/>
    <x v="3"/>
    <x v="5"/>
    <x v="5"/>
    <x v="704"/>
    <x v="0"/>
    <s v="TX300711"/>
    <s v="C1"/>
    <x v="1"/>
    <s v="Evening"/>
    <s v="Wednesday"/>
    <x v="708"/>
  </r>
  <r>
    <x v="501"/>
    <s v="17:11"/>
    <s v="S7"/>
    <x v="1"/>
    <x v="0"/>
    <x v="4"/>
    <x v="705"/>
    <x v="3"/>
    <s v="TX300712"/>
    <s v="C2"/>
    <x v="0"/>
    <s v="Evening"/>
    <s v="Sunday"/>
    <x v="709"/>
  </r>
  <r>
    <x v="433"/>
    <s v="18:14"/>
    <s v="S2"/>
    <x v="0"/>
    <x v="2"/>
    <x v="7"/>
    <x v="706"/>
    <x v="2"/>
    <s v="TX300713"/>
    <s v="C1"/>
    <x v="3"/>
    <s v="Evening"/>
    <s v="Friday"/>
    <x v="710"/>
  </r>
  <r>
    <x v="458"/>
    <s v="17:01"/>
    <s v="S8"/>
    <x v="1"/>
    <x v="1"/>
    <x v="3"/>
    <x v="707"/>
    <x v="2"/>
    <s v="TX300714"/>
    <s v="C4"/>
    <x v="1"/>
    <s v="Evening"/>
    <s v="Monday"/>
    <x v="711"/>
  </r>
  <r>
    <x v="202"/>
    <s v="14:45"/>
    <s v="S5"/>
    <x v="0"/>
    <x v="3"/>
    <x v="5"/>
    <x v="708"/>
    <x v="0"/>
    <s v="TX300715"/>
    <s v="C4"/>
    <x v="1"/>
    <s v="Afternoon"/>
    <s v="Saturday"/>
    <x v="712"/>
  </r>
  <r>
    <x v="502"/>
    <s v="9:39"/>
    <s v="S9"/>
    <x v="3"/>
    <x v="5"/>
    <x v="8"/>
    <x v="709"/>
    <x v="1"/>
    <s v="TX300716"/>
    <s v="C3"/>
    <x v="0"/>
    <s v="Morning"/>
    <s v="Tuesday"/>
    <x v="713"/>
  </r>
  <r>
    <x v="503"/>
    <s v="21:54"/>
    <s v="S10"/>
    <x v="2"/>
    <x v="3"/>
    <x v="0"/>
    <x v="710"/>
    <x v="1"/>
    <s v="TX300717"/>
    <s v="C2"/>
    <x v="3"/>
    <s v="Evening"/>
    <s v="Friday"/>
    <x v="714"/>
  </r>
  <r>
    <x v="10"/>
    <s v="13:38"/>
    <s v="S3"/>
    <x v="1"/>
    <x v="2"/>
    <x v="0"/>
    <x v="711"/>
    <x v="4"/>
    <s v="TX300718"/>
    <s v="C3"/>
    <x v="1"/>
    <s v="Afternoon"/>
    <s v="Wednesday"/>
    <x v="715"/>
  </r>
  <r>
    <x v="504"/>
    <s v="13:29"/>
    <s v="S10"/>
    <x v="1"/>
    <x v="1"/>
    <x v="2"/>
    <x v="712"/>
    <x v="3"/>
    <s v="TX300719"/>
    <s v="C2"/>
    <x v="0"/>
    <s v="Afternoon"/>
    <s v="Sunday"/>
    <x v="716"/>
  </r>
  <r>
    <x v="467"/>
    <s v="18:34"/>
    <s v="S8"/>
    <x v="1"/>
    <x v="6"/>
    <x v="3"/>
    <x v="713"/>
    <x v="1"/>
    <s v="TX300720"/>
    <s v="C3"/>
    <x v="0"/>
    <s v="Evening"/>
    <s v="Saturday"/>
    <x v="717"/>
  </r>
  <r>
    <x v="505"/>
    <s v="20:59"/>
    <s v="S7"/>
    <x v="3"/>
    <x v="1"/>
    <x v="9"/>
    <x v="714"/>
    <x v="2"/>
    <s v="TX300721"/>
    <s v="C2"/>
    <x v="3"/>
    <s v="Evening"/>
    <s v="Wednesday"/>
    <x v="718"/>
  </r>
  <r>
    <x v="60"/>
    <s v="13:53"/>
    <s v="S10"/>
    <x v="0"/>
    <x v="0"/>
    <x v="9"/>
    <x v="715"/>
    <x v="1"/>
    <s v="TX300722"/>
    <s v="C4"/>
    <x v="3"/>
    <s v="Afternoon"/>
    <s v="Wednesday"/>
    <x v="719"/>
  </r>
  <r>
    <x v="506"/>
    <s v="16:04"/>
    <s v="S9"/>
    <x v="2"/>
    <x v="3"/>
    <x v="6"/>
    <x v="716"/>
    <x v="0"/>
    <s v="TX300723"/>
    <s v="C4"/>
    <x v="1"/>
    <s v="Afternoon"/>
    <s v="Thursday"/>
    <x v="720"/>
  </r>
  <r>
    <x v="406"/>
    <s v="12:04"/>
    <s v="S5"/>
    <x v="1"/>
    <x v="4"/>
    <x v="2"/>
    <x v="717"/>
    <x v="3"/>
    <s v="TX300724"/>
    <s v="C2"/>
    <x v="0"/>
    <s v="Afternoon"/>
    <s v="Monday"/>
    <x v="721"/>
  </r>
  <r>
    <x v="507"/>
    <s v="12:09"/>
    <s v="S9"/>
    <x v="0"/>
    <x v="0"/>
    <x v="9"/>
    <x v="718"/>
    <x v="3"/>
    <s v="TX300725"/>
    <s v="C1"/>
    <x v="0"/>
    <s v="Afternoon"/>
    <s v="Sunday"/>
    <x v="722"/>
  </r>
  <r>
    <x v="63"/>
    <s v="21:42"/>
    <s v="S6"/>
    <x v="2"/>
    <x v="3"/>
    <x v="8"/>
    <x v="719"/>
    <x v="4"/>
    <s v="TX300726"/>
    <s v="C5"/>
    <x v="2"/>
    <s v="Evening"/>
    <s v="Tuesday"/>
    <x v="723"/>
  </r>
  <r>
    <x v="388"/>
    <s v="17:47"/>
    <s v="S6"/>
    <x v="0"/>
    <x v="0"/>
    <x v="1"/>
    <x v="720"/>
    <x v="0"/>
    <s v="TX300727"/>
    <s v="C4"/>
    <x v="3"/>
    <s v="Evening"/>
    <s v="Saturday"/>
    <x v="724"/>
  </r>
  <r>
    <x v="380"/>
    <s v="21:37"/>
    <s v="S7"/>
    <x v="0"/>
    <x v="6"/>
    <x v="5"/>
    <x v="721"/>
    <x v="2"/>
    <s v="TX300728"/>
    <s v="C5"/>
    <x v="1"/>
    <s v="Evening"/>
    <s v="Thursday"/>
    <x v="725"/>
  </r>
  <r>
    <x v="439"/>
    <s v="10:07"/>
    <s v="S3"/>
    <x v="0"/>
    <x v="6"/>
    <x v="0"/>
    <x v="722"/>
    <x v="2"/>
    <s v="TX300729"/>
    <s v="C3"/>
    <x v="0"/>
    <s v="Morning"/>
    <s v="Tuesday"/>
    <x v="726"/>
  </r>
  <r>
    <x v="379"/>
    <s v="16:38"/>
    <s v="S6"/>
    <x v="0"/>
    <x v="6"/>
    <x v="4"/>
    <x v="723"/>
    <x v="2"/>
    <s v="TX300730"/>
    <s v="C4"/>
    <x v="3"/>
    <s v="Afternoon"/>
    <s v="Wednesday"/>
    <x v="727"/>
  </r>
  <r>
    <x v="508"/>
    <s v="17:47"/>
    <s v="S3"/>
    <x v="2"/>
    <x v="2"/>
    <x v="5"/>
    <x v="724"/>
    <x v="1"/>
    <s v="TX300731"/>
    <s v="C4"/>
    <x v="3"/>
    <s v="Evening"/>
    <s v="Monday"/>
    <x v="728"/>
  </r>
  <r>
    <x v="509"/>
    <s v="15:10"/>
    <s v="S10"/>
    <x v="3"/>
    <x v="0"/>
    <x v="3"/>
    <x v="725"/>
    <x v="0"/>
    <s v="TX300732"/>
    <s v="C5"/>
    <x v="3"/>
    <s v="Afternoon"/>
    <s v="Wednesday"/>
    <x v="729"/>
  </r>
  <r>
    <x v="315"/>
    <s v="14:51"/>
    <s v="S5"/>
    <x v="2"/>
    <x v="3"/>
    <x v="1"/>
    <x v="726"/>
    <x v="4"/>
    <s v="TX300733"/>
    <s v="C1"/>
    <x v="1"/>
    <s v="Afternoon"/>
    <s v="Sunday"/>
    <x v="730"/>
  </r>
  <r>
    <x v="42"/>
    <s v="15:20"/>
    <s v="S6"/>
    <x v="1"/>
    <x v="4"/>
    <x v="0"/>
    <x v="727"/>
    <x v="2"/>
    <s v="TX300734"/>
    <s v="C5"/>
    <x v="0"/>
    <s v="Afternoon"/>
    <s v="Wednesday"/>
    <x v="731"/>
  </r>
  <r>
    <x v="345"/>
    <s v="13:40"/>
    <s v="S3"/>
    <x v="1"/>
    <x v="1"/>
    <x v="2"/>
    <x v="728"/>
    <x v="0"/>
    <s v="TX300735"/>
    <s v="C5"/>
    <x v="2"/>
    <s v="Afternoon"/>
    <s v="Monday"/>
    <x v="732"/>
  </r>
  <r>
    <x v="184"/>
    <s v="12:26"/>
    <s v="S3"/>
    <x v="1"/>
    <x v="6"/>
    <x v="7"/>
    <x v="729"/>
    <x v="4"/>
    <s v="TX300736"/>
    <s v="C2"/>
    <x v="0"/>
    <s v="Afternoon"/>
    <s v="Saturday"/>
    <x v="733"/>
  </r>
  <r>
    <x v="510"/>
    <s v="10:25"/>
    <s v="S5"/>
    <x v="1"/>
    <x v="5"/>
    <x v="4"/>
    <x v="730"/>
    <x v="2"/>
    <s v="TX300737"/>
    <s v="C3"/>
    <x v="3"/>
    <s v="Morning"/>
    <s v="Wednesday"/>
    <x v="734"/>
  </r>
  <r>
    <x v="391"/>
    <s v="12:59"/>
    <s v="S8"/>
    <x v="2"/>
    <x v="0"/>
    <x v="9"/>
    <x v="731"/>
    <x v="2"/>
    <s v="TX300738"/>
    <s v="C4"/>
    <x v="0"/>
    <s v="Afternoon"/>
    <s v="Saturday"/>
    <x v="735"/>
  </r>
  <r>
    <x v="116"/>
    <s v="18:47"/>
    <s v="S4"/>
    <x v="3"/>
    <x v="5"/>
    <x v="1"/>
    <x v="732"/>
    <x v="0"/>
    <s v="TX300739"/>
    <s v="C1"/>
    <x v="3"/>
    <s v="Evening"/>
    <s v="Tuesday"/>
    <x v="736"/>
  </r>
  <r>
    <x v="347"/>
    <s v="12:25"/>
    <s v="S3"/>
    <x v="3"/>
    <x v="2"/>
    <x v="5"/>
    <x v="733"/>
    <x v="2"/>
    <s v="TX300740"/>
    <s v="C5"/>
    <x v="1"/>
    <s v="Afternoon"/>
    <s v="Sunday"/>
    <x v="737"/>
  </r>
  <r>
    <x v="329"/>
    <s v="11:50"/>
    <s v="S8"/>
    <x v="3"/>
    <x v="4"/>
    <x v="4"/>
    <x v="734"/>
    <x v="1"/>
    <s v="TX300741"/>
    <s v="C4"/>
    <x v="0"/>
    <s v="Morning"/>
    <s v="Sunday"/>
    <x v="738"/>
  </r>
  <r>
    <x v="489"/>
    <s v="18:36"/>
    <s v="S6"/>
    <x v="2"/>
    <x v="1"/>
    <x v="5"/>
    <x v="735"/>
    <x v="0"/>
    <s v="TX300742"/>
    <s v="C5"/>
    <x v="0"/>
    <s v="Evening"/>
    <s v="Wednesday"/>
    <x v="739"/>
  </r>
  <r>
    <x v="511"/>
    <s v="17:23"/>
    <s v="S7"/>
    <x v="0"/>
    <x v="0"/>
    <x v="9"/>
    <x v="736"/>
    <x v="0"/>
    <s v="TX300743"/>
    <s v="C1"/>
    <x v="2"/>
    <s v="Evening"/>
    <s v="Tuesday"/>
    <x v="740"/>
  </r>
  <r>
    <x v="512"/>
    <s v="20:04"/>
    <s v="S9"/>
    <x v="3"/>
    <x v="6"/>
    <x v="6"/>
    <x v="737"/>
    <x v="4"/>
    <s v="TX300744"/>
    <s v="C5"/>
    <x v="1"/>
    <s v="Evening"/>
    <s v="Sunday"/>
    <x v="741"/>
  </r>
  <r>
    <x v="513"/>
    <s v="18:30"/>
    <s v="S1"/>
    <x v="0"/>
    <x v="4"/>
    <x v="7"/>
    <x v="738"/>
    <x v="1"/>
    <s v="TX300745"/>
    <s v="C4"/>
    <x v="2"/>
    <s v="Evening"/>
    <s v="Sunday"/>
    <x v="742"/>
  </r>
  <r>
    <x v="514"/>
    <s v="21:54"/>
    <s v="S2"/>
    <x v="2"/>
    <x v="1"/>
    <x v="9"/>
    <x v="739"/>
    <x v="4"/>
    <s v="TX300746"/>
    <s v="C4"/>
    <x v="1"/>
    <s v="Evening"/>
    <s v="Thursday"/>
    <x v="743"/>
  </r>
  <r>
    <x v="259"/>
    <s v="13:16"/>
    <s v="S6"/>
    <x v="3"/>
    <x v="0"/>
    <x v="8"/>
    <x v="740"/>
    <x v="1"/>
    <s v="TX300747"/>
    <s v="C5"/>
    <x v="2"/>
    <s v="Afternoon"/>
    <s v="Thursday"/>
    <x v="744"/>
  </r>
  <r>
    <x v="515"/>
    <s v="9:17"/>
    <s v="S5"/>
    <x v="3"/>
    <x v="3"/>
    <x v="2"/>
    <x v="741"/>
    <x v="1"/>
    <s v="TX300748"/>
    <s v="C1"/>
    <x v="3"/>
    <s v="Morning"/>
    <s v="Wednesday"/>
    <x v="745"/>
  </r>
  <r>
    <x v="516"/>
    <s v="13:14"/>
    <s v="S9"/>
    <x v="3"/>
    <x v="0"/>
    <x v="2"/>
    <x v="742"/>
    <x v="3"/>
    <s v="TX300749"/>
    <s v="C3"/>
    <x v="0"/>
    <s v="Afternoon"/>
    <s v="Wednesday"/>
    <x v="746"/>
  </r>
  <r>
    <x v="517"/>
    <s v="18:29"/>
    <s v="S3"/>
    <x v="3"/>
    <x v="0"/>
    <x v="8"/>
    <x v="743"/>
    <x v="3"/>
    <s v="TX300750"/>
    <s v="C4"/>
    <x v="0"/>
    <s v="Evening"/>
    <s v="Thursday"/>
    <x v="747"/>
  </r>
  <r>
    <x v="35"/>
    <s v="20:13"/>
    <s v="S4"/>
    <x v="0"/>
    <x v="3"/>
    <x v="3"/>
    <x v="744"/>
    <x v="2"/>
    <s v="TX300751"/>
    <s v="C3"/>
    <x v="2"/>
    <s v="Evening"/>
    <s v="Sunday"/>
    <x v="748"/>
  </r>
  <r>
    <x v="518"/>
    <s v="13:31"/>
    <s v="S10"/>
    <x v="3"/>
    <x v="2"/>
    <x v="2"/>
    <x v="745"/>
    <x v="2"/>
    <s v="TX300752"/>
    <s v="C4"/>
    <x v="3"/>
    <s v="Afternoon"/>
    <s v="Monday"/>
    <x v="749"/>
  </r>
  <r>
    <x v="519"/>
    <s v="18:19"/>
    <s v="S7"/>
    <x v="0"/>
    <x v="0"/>
    <x v="8"/>
    <x v="415"/>
    <x v="2"/>
    <s v="TX300753"/>
    <s v="C2"/>
    <x v="1"/>
    <s v="Evening"/>
    <s v="Sunday"/>
    <x v="750"/>
  </r>
  <r>
    <x v="483"/>
    <s v="16:34"/>
    <s v="S10"/>
    <x v="0"/>
    <x v="6"/>
    <x v="2"/>
    <x v="746"/>
    <x v="2"/>
    <s v="TX300754"/>
    <s v="C1"/>
    <x v="2"/>
    <s v="Afternoon"/>
    <s v="Saturday"/>
    <x v="751"/>
  </r>
  <r>
    <x v="520"/>
    <s v="18:48"/>
    <s v="S3"/>
    <x v="2"/>
    <x v="0"/>
    <x v="5"/>
    <x v="747"/>
    <x v="0"/>
    <s v="TX300755"/>
    <s v="C2"/>
    <x v="3"/>
    <s v="Evening"/>
    <s v="Wednesday"/>
    <x v="752"/>
  </r>
  <r>
    <x v="521"/>
    <s v="16:17"/>
    <s v="S4"/>
    <x v="0"/>
    <x v="3"/>
    <x v="3"/>
    <x v="748"/>
    <x v="0"/>
    <s v="TX300756"/>
    <s v="C1"/>
    <x v="1"/>
    <s v="Afternoon"/>
    <s v="Sunday"/>
    <x v="753"/>
  </r>
  <r>
    <x v="522"/>
    <s v="11:28"/>
    <s v="S2"/>
    <x v="2"/>
    <x v="6"/>
    <x v="8"/>
    <x v="749"/>
    <x v="3"/>
    <s v="TX300757"/>
    <s v="C1"/>
    <x v="0"/>
    <s v="Morning"/>
    <s v="Monday"/>
    <x v="754"/>
  </r>
  <r>
    <x v="207"/>
    <s v="16:49"/>
    <s v="S7"/>
    <x v="2"/>
    <x v="6"/>
    <x v="5"/>
    <x v="750"/>
    <x v="4"/>
    <s v="TX300758"/>
    <s v="C5"/>
    <x v="0"/>
    <s v="Afternoon"/>
    <s v="Sunday"/>
    <x v="755"/>
  </r>
  <r>
    <x v="9"/>
    <s v="21:38"/>
    <s v="S8"/>
    <x v="3"/>
    <x v="3"/>
    <x v="0"/>
    <x v="751"/>
    <x v="1"/>
    <s v="TX300759"/>
    <s v="C2"/>
    <x v="0"/>
    <s v="Evening"/>
    <s v="Friday"/>
    <x v="756"/>
  </r>
  <r>
    <x v="467"/>
    <s v="16:34"/>
    <s v="S4"/>
    <x v="3"/>
    <x v="2"/>
    <x v="7"/>
    <x v="752"/>
    <x v="4"/>
    <s v="TX300760"/>
    <s v="C4"/>
    <x v="3"/>
    <s v="Afternoon"/>
    <s v="Saturday"/>
    <x v="757"/>
  </r>
  <r>
    <x v="175"/>
    <s v="10:27"/>
    <s v="S6"/>
    <x v="1"/>
    <x v="5"/>
    <x v="7"/>
    <x v="753"/>
    <x v="2"/>
    <s v="TX300761"/>
    <s v="C4"/>
    <x v="0"/>
    <s v="Morning"/>
    <s v="Wednesday"/>
    <x v="758"/>
  </r>
  <r>
    <x v="238"/>
    <s v="14:18"/>
    <s v="S1"/>
    <x v="3"/>
    <x v="3"/>
    <x v="6"/>
    <x v="754"/>
    <x v="4"/>
    <s v="TX300762"/>
    <s v="C3"/>
    <x v="0"/>
    <s v="Afternoon"/>
    <s v="Saturday"/>
    <x v="759"/>
  </r>
  <r>
    <x v="523"/>
    <s v="10:51"/>
    <s v="S8"/>
    <x v="0"/>
    <x v="3"/>
    <x v="5"/>
    <x v="755"/>
    <x v="3"/>
    <s v="TX300763"/>
    <s v="C1"/>
    <x v="1"/>
    <s v="Morning"/>
    <s v="Thursday"/>
    <x v="760"/>
  </r>
  <r>
    <x v="491"/>
    <s v="17:48"/>
    <s v="S3"/>
    <x v="0"/>
    <x v="0"/>
    <x v="7"/>
    <x v="756"/>
    <x v="0"/>
    <s v="TX300764"/>
    <s v="C1"/>
    <x v="2"/>
    <s v="Evening"/>
    <s v="Wednesday"/>
    <x v="761"/>
  </r>
  <r>
    <x v="266"/>
    <s v="21:10"/>
    <s v="S4"/>
    <x v="1"/>
    <x v="1"/>
    <x v="1"/>
    <x v="757"/>
    <x v="4"/>
    <s v="TX300765"/>
    <s v="C5"/>
    <x v="1"/>
    <s v="Evening"/>
    <s v="Friday"/>
    <x v="762"/>
  </r>
  <r>
    <x v="524"/>
    <s v="16:55"/>
    <s v="S2"/>
    <x v="2"/>
    <x v="1"/>
    <x v="5"/>
    <x v="758"/>
    <x v="2"/>
    <s v="TX300766"/>
    <s v="C5"/>
    <x v="2"/>
    <s v="Afternoon"/>
    <s v="Tuesday"/>
    <x v="763"/>
  </r>
  <r>
    <x v="525"/>
    <s v="19:12"/>
    <s v="S9"/>
    <x v="1"/>
    <x v="1"/>
    <x v="8"/>
    <x v="759"/>
    <x v="1"/>
    <s v="TX300767"/>
    <s v="C5"/>
    <x v="3"/>
    <s v="Evening"/>
    <s v="Monday"/>
    <x v="764"/>
  </r>
  <r>
    <x v="18"/>
    <s v="19:08"/>
    <s v="S2"/>
    <x v="0"/>
    <x v="1"/>
    <x v="8"/>
    <x v="760"/>
    <x v="3"/>
    <s v="TX300768"/>
    <s v="C4"/>
    <x v="2"/>
    <s v="Evening"/>
    <s v="Friday"/>
    <x v="765"/>
  </r>
  <r>
    <x v="32"/>
    <s v="17:41"/>
    <s v="S9"/>
    <x v="1"/>
    <x v="1"/>
    <x v="3"/>
    <x v="761"/>
    <x v="1"/>
    <s v="TX300769"/>
    <s v="C3"/>
    <x v="3"/>
    <s v="Evening"/>
    <s v="Tuesday"/>
    <x v="766"/>
  </r>
  <r>
    <x v="526"/>
    <s v="16:20"/>
    <s v="S4"/>
    <x v="3"/>
    <x v="5"/>
    <x v="0"/>
    <x v="762"/>
    <x v="2"/>
    <s v="TX300770"/>
    <s v="C4"/>
    <x v="1"/>
    <s v="Afternoon"/>
    <s v="Saturday"/>
    <x v="767"/>
  </r>
  <r>
    <x v="452"/>
    <s v="21:08"/>
    <s v="S10"/>
    <x v="0"/>
    <x v="0"/>
    <x v="9"/>
    <x v="763"/>
    <x v="3"/>
    <s v="TX300771"/>
    <s v="C4"/>
    <x v="2"/>
    <s v="Evening"/>
    <s v="Tuesday"/>
    <x v="768"/>
  </r>
  <r>
    <x v="27"/>
    <s v="10:48"/>
    <s v="S6"/>
    <x v="2"/>
    <x v="6"/>
    <x v="9"/>
    <x v="764"/>
    <x v="3"/>
    <s v="TX300772"/>
    <s v="C5"/>
    <x v="0"/>
    <s v="Morning"/>
    <s v="Monday"/>
    <x v="769"/>
  </r>
  <r>
    <x v="430"/>
    <s v="19:41"/>
    <s v="S1"/>
    <x v="1"/>
    <x v="2"/>
    <x v="4"/>
    <x v="765"/>
    <x v="2"/>
    <s v="TX300773"/>
    <s v="C5"/>
    <x v="3"/>
    <s v="Evening"/>
    <s v="Friday"/>
    <x v="770"/>
  </r>
  <r>
    <x v="527"/>
    <s v="13:22"/>
    <s v="S4"/>
    <x v="2"/>
    <x v="6"/>
    <x v="8"/>
    <x v="766"/>
    <x v="4"/>
    <s v="TX300774"/>
    <s v="C5"/>
    <x v="0"/>
    <s v="Afternoon"/>
    <s v="Saturday"/>
    <x v="771"/>
  </r>
  <r>
    <x v="246"/>
    <s v="17:11"/>
    <s v="S3"/>
    <x v="0"/>
    <x v="1"/>
    <x v="8"/>
    <x v="767"/>
    <x v="1"/>
    <s v="TX300775"/>
    <s v="C4"/>
    <x v="3"/>
    <s v="Evening"/>
    <s v="Monday"/>
    <x v="772"/>
  </r>
  <r>
    <x v="278"/>
    <s v="19:01"/>
    <s v="S3"/>
    <x v="1"/>
    <x v="3"/>
    <x v="0"/>
    <x v="768"/>
    <x v="4"/>
    <s v="TX300776"/>
    <s v="C2"/>
    <x v="2"/>
    <s v="Evening"/>
    <s v="Monday"/>
    <x v="773"/>
  </r>
  <r>
    <x v="16"/>
    <s v="15:56"/>
    <s v="S7"/>
    <x v="1"/>
    <x v="6"/>
    <x v="6"/>
    <x v="769"/>
    <x v="4"/>
    <s v="TX300777"/>
    <s v="C3"/>
    <x v="2"/>
    <s v="Afternoon"/>
    <s v="Sunday"/>
    <x v="774"/>
  </r>
  <r>
    <x v="442"/>
    <s v="13:01"/>
    <s v="S10"/>
    <x v="0"/>
    <x v="2"/>
    <x v="8"/>
    <x v="770"/>
    <x v="3"/>
    <s v="TX300778"/>
    <s v="C1"/>
    <x v="3"/>
    <s v="Afternoon"/>
    <s v="Tuesday"/>
    <x v="775"/>
  </r>
  <r>
    <x v="528"/>
    <s v="13:38"/>
    <s v="S3"/>
    <x v="1"/>
    <x v="0"/>
    <x v="5"/>
    <x v="771"/>
    <x v="2"/>
    <s v="TX300779"/>
    <s v="C2"/>
    <x v="1"/>
    <s v="Afternoon"/>
    <s v="Saturday"/>
    <x v="776"/>
  </r>
  <r>
    <x v="529"/>
    <s v="10:51"/>
    <s v="S7"/>
    <x v="1"/>
    <x v="3"/>
    <x v="8"/>
    <x v="772"/>
    <x v="4"/>
    <s v="TX300780"/>
    <s v="C1"/>
    <x v="2"/>
    <s v="Morning"/>
    <s v="Saturday"/>
    <x v="777"/>
  </r>
  <r>
    <x v="329"/>
    <s v="20:19"/>
    <s v="S8"/>
    <x v="2"/>
    <x v="4"/>
    <x v="3"/>
    <x v="773"/>
    <x v="4"/>
    <s v="TX300781"/>
    <s v="C5"/>
    <x v="0"/>
    <s v="Evening"/>
    <s v="Sunday"/>
    <x v="778"/>
  </r>
  <r>
    <x v="488"/>
    <s v="9:38"/>
    <s v="S9"/>
    <x v="2"/>
    <x v="5"/>
    <x v="4"/>
    <x v="738"/>
    <x v="2"/>
    <s v="TX300782"/>
    <s v="C2"/>
    <x v="2"/>
    <s v="Morning"/>
    <s v="Tuesday"/>
    <x v="779"/>
  </r>
  <r>
    <x v="150"/>
    <s v="21:41"/>
    <s v="S9"/>
    <x v="3"/>
    <x v="0"/>
    <x v="7"/>
    <x v="774"/>
    <x v="4"/>
    <s v="TX300783"/>
    <s v="C2"/>
    <x v="1"/>
    <s v="Evening"/>
    <s v="Monday"/>
    <x v="780"/>
  </r>
  <r>
    <x v="530"/>
    <s v="10:15"/>
    <s v="S9"/>
    <x v="2"/>
    <x v="1"/>
    <x v="9"/>
    <x v="775"/>
    <x v="3"/>
    <s v="TX300784"/>
    <s v="C1"/>
    <x v="1"/>
    <s v="Morning"/>
    <s v="Monday"/>
    <x v="781"/>
  </r>
  <r>
    <x v="531"/>
    <s v="11:55"/>
    <s v="S6"/>
    <x v="1"/>
    <x v="2"/>
    <x v="4"/>
    <x v="776"/>
    <x v="0"/>
    <s v="TX300785"/>
    <s v="C5"/>
    <x v="3"/>
    <s v="Morning"/>
    <s v="Saturday"/>
    <x v="782"/>
  </r>
  <r>
    <x v="304"/>
    <s v="10:55"/>
    <s v="S3"/>
    <x v="0"/>
    <x v="4"/>
    <x v="4"/>
    <x v="777"/>
    <x v="4"/>
    <s v="TX300786"/>
    <s v="C4"/>
    <x v="3"/>
    <s v="Morning"/>
    <s v="Thursday"/>
    <x v="783"/>
  </r>
  <r>
    <x v="532"/>
    <s v="9:11"/>
    <s v="S5"/>
    <x v="0"/>
    <x v="4"/>
    <x v="8"/>
    <x v="778"/>
    <x v="4"/>
    <s v="TX300787"/>
    <s v="C3"/>
    <x v="0"/>
    <s v="Morning"/>
    <s v="Tuesday"/>
    <x v="784"/>
  </r>
  <r>
    <x v="533"/>
    <s v="16:47"/>
    <s v="S2"/>
    <x v="2"/>
    <x v="3"/>
    <x v="0"/>
    <x v="779"/>
    <x v="0"/>
    <s v="TX300788"/>
    <s v="C3"/>
    <x v="2"/>
    <s v="Afternoon"/>
    <s v="Friday"/>
    <x v="785"/>
  </r>
  <r>
    <x v="17"/>
    <s v="17:06"/>
    <s v="S8"/>
    <x v="1"/>
    <x v="2"/>
    <x v="7"/>
    <x v="780"/>
    <x v="3"/>
    <s v="TX300789"/>
    <s v="C3"/>
    <x v="2"/>
    <s v="Evening"/>
    <s v="Saturday"/>
    <x v="786"/>
  </r>
  <r>
    <x v="534"/>
    <s v="9:02"/>
    <s v="S8"/>
    <x v="2"/>
    <x v="4"/>
    <x v="6"/>
    <x v="781"/>
    <x v="2"/>
    <s v="TX300790"/>
    <s v="C3"/>
    <x v="0"/>
    <s v="Morning"/>
    <s v="Wednesday"/>
    <x v="787"/>
  </r>
  <r>
    <x v="535"/>
    <s v="11:39"/>
    <s v="S2"/>
    <x v="3"/>
    <x v="5"/>
    <x v="4"/>
    <x v="782"/>
    <x v="4"/>
    <s v="TX300791"/>
    <s v="C5"/>
    <x v="1"/>
    <s v="Morning"/>
    <s v="Tuesday"/>
    <x v="788"/>
  </r>
  <r>
    <x v="6"/>
    <s v="9:57"/>
    <s v="S6"/>
    <x v="1"/>
    <x v="6"/>
    <x v="1"/>
    <x v="783"/>
    <x v="0"/>
    <s v="TX300792"/>
    <s v="C5"/>
    <x v="1"/>
    <s v="Morning"/>
    <s v="Sunday"/>
    <x v="789"/>
  </r>
  <r>
    <x v="536"/>
    <s v="16:37"/>
    <s v="S6"/>
    <x v="3"/>
    <x v="2"/>
    <x v="2"/>
    <x v="784"/>
    <x v="4"/>
    <s v="TX300793"/>
    <s v="C1"/>
    <x v="0"/>
    <s v="Afternoon"/>
    <s v="Friday"/>
    <x v="790"/>
  </r>
  <r>
    <x v="537"/>
    <s v="21:19"/>
    <s v="S8"/>
    <x v="1"/>
    <x v="0"/>
    <x v="0"/>
    <x v="785"/>
    <x v="1"/>
    <s v="TX300794"/>
    <s v="C5"/>
    <x v="2"/>
    <s v="Evening"/>
    <s v="Thursday"/>
    <x v="791"/>
  </r>
  <r>
    <x v="268"/>
    <s v="10:55"/>
    <s v="S8"/>
    <x v="0"/>
    <x v="1"/>
    <x v="8"/>
    <x v="786"/>
    <x v="2"/>
    <s v="TX300795"/>
    <s v="C3"/>
    <x v="0"/>
    <s v="Morning"/>
    <s v="Sunday"/>
    <x v="792"/>
  </r>
  <r>
    <x v="256"/>
    <s v="12:03"/>
    <s v="S2"/>
    <x v="1"/>
    <x v="0"/>
    <x v="9"/>
    <x v="787"/>
    <x v="2"/>
    <s v="TX300796"/>
    <s v="C3"/>
    <x v="3"/>
    <s v="Afternoon"/>
    <s v="Wednesday"/>
    <x v="793"/>
  </r>
  <r>
    <x v="412"/>
    <s v="20:47"/>
    <s v="S6"/>
    <x v="2"/>
    <x v="2"/>
    <x v="7"/>
    <x v="788"/>
    <x v="3"/>
    <s v="TX300797"/>
    <s v="C1"/>
    <x v="2"/>
    <s v="Evening"/>
    <s v="Monday"/>
    <x v="794"/>
  </r>
  <r>
    <x v="538"/>
    <s v="10:35"/>
    <s v="S9"/>
    <x v="3"/>
    <x v="5"/>
    <x v="3"/>
    <x v="789"/>
    <x v="1"/>
    <s v="TX300798"/>
    <s v="C1"/>
    <x v="1"/>
    <s v="Morning"/>
    <s v="Sunday"/>
    <x v="795"/>
  </r>
  <r>
    <x v="539"/>
    <s v="16:01"/>
    <s v="S1"/>
    <x v="0"/>
    <x v="6"/>
    <x v="7"/>
    <x v="790"/>
    <x v="3"/>
    <s v="TX300799"/>
    <s v="C3"/>
    <x v="1"/>
    <s v="Afternoon"/>
    <s v="Tuesday"/>
    <x v="796"/>
  </r>
  <r>
    <x v="160"/>
    <s v="14:53"/>
    <s v="S2"/>
    <x v="2"/>
    <x v="5"/>
    <x v="0"/>
    <x v="791"/>
    <x v="1"/>
    <s v="TX300800"/>
    <s v="C4"/>
    <x v="3"/>
    <s v="Afternoon"/>
    <s v="Tuesday"/>
    <x v="797"/>
  </r>
  <r>
    <x v="540"/>
    <s v="16:10"/>
    <s v="S5"/>
    <x v="2"/>
    <x v="3"/>
    <x v="8"/>
    <x v="792"/>
    <x v="1"/>
    <s v="TX300801"/>
    <s v="C1"/>
    <x v="2"/>
    <s v="Afternoon"/>
    <s v="Saturday"/>
    <x v="798"/>
  </r>
  <r>
    <x v="541"/>
    <s v="15:47"/>
    <s v="S4"/>
    <x v="2"/>
    <x v="1"/>
    <x v="2"/>
    <x v="793"/>
    <x v="2"/>
    <s v="TX300802"/>
    <s v="C3"/>
    <x v="3"/>
    <s v="Afternoon"/>
    <s v="Tuesday"/>
    <x v="799"/>
  </r>
  <r>
    <x v="542"/>
    <s v="20:55"/>
    <s v="S1"/>
    <x v="1"/>
    <x v="0"/>
    <x v="6"/>
    <x v="794"/>
    <x v="3"/>
    <s v="TX300803"/>
    <s v="C4"/>
    <x v="2"/>
    <s v="Evening"/>
    <s v="Wednesday"/>
    <x v="800"/>
  </r>
  <r>
    <x v="487"/>
    <s v="18:18"/>
    <s v="S5"/>
    <x v="0"/>
    <x v="1"/>
    <x v="1"/>
    <x v="795"/>
    <x v="1"/>
    <s v="TX300804"/>
    <s v="C3"/>
    <x v="2"/>
    <s v="Evening"/>
    <s v="Saturday"/>
    <x v="801"/>
  </r>
  <r>
    <x v="543"/>
    <s v="10:46"/>
    <s v="S4"/>
    <x v="1"/>
    <x v="5"/>
    <x v="5"/>
    <x v="796"/>
    <x v="4"/>
    <s v="TX300805"/>
    <s v="C4"/>
    <x v="2"/>
    <s v="Morning"/>
    <s v="Monday"/>
    <x v="802"/>
  </r>
  <r>
    <x v="123"/>
    <s v="17:20"/>
    <s v="S3"/>
    <x v="0"/>
    <x v="3"/>
    <x v="9"/>
    <x v="797"/>
    <x v="3"/>
    <s v="TX300806"/>
    <s v="C1"/>
    <x v="1"/>
    <s v="Evening"/>
    <s v="Saturday"/>
    <x v="803"/>
  </r>
  <r>
    <x v="119"/>
    <s v="9:16"/>
    <s v="S4"/>
    <x v="2"/>
    <x v="4"/>
    <x v="0"/>
    <x v="798"/>
    <x v="0"/>
    <s v="TX300807"/>
    <s v="C3"/>
    <x v="2"/>
    <s v="Morning"/>
    <s v="Thursday"/>
    <x v="804"/>
  </r>
  <r>
    <x v="544"/>
    <s v="11:05"/>
    <s v="S9"/>
    <x v="3"/>
    <x v="5"/>
    <x v="3"/>
    <x v="799"/>
    <x v="4"/>
    <s v="TX300808"/>
    <s v="C5"/>
    <x v="2"/>
    <s v="Morning"/>
    <s v="Thursday"/>
    <x v="805"/>
  </r>
  <r>
    <x v="545"/>
    <s v="16:55"/>
    <s v="S1"/>
    <x v="0"/>
    <x v="5"/>
    <x v="3"/>
    <x v="800"/>
    <x v="3"/>
    <s v="TX300809"/>
    <s v="C4"/>
    <x v="0"/>
    <s v="Afternoon"/>
    <s v="Wednesday"/>
    <x v="806"/>
  </r>
  <r>
    <x v="217"/>
    <s v="16:08"/>
    <s v="S2"/>
    <x v="3"/>
    <x v="6"/>
    <x v="0"/>
    <x v="801"/>
    <x v="3"/>
    <s v="TX300810"/>
    <s v="C1"/>
    <x v="0"/>
    <s v="Afternoon"/>
    <s v="Thursday"/>
    <x v="807"/>
  </r>
  <r>
    <x v="546"/>
    <s v="21:05"/>
    <s v="S6"/>
    <x v="3"/>
    <x v="3"/>
    <x v="3"/>
    <x v="802"/>
    <x v="1"/>
    <s v="TX300811"/>
    <s v="C3"/>
    <x v="3"/>
    <s v="Evening"/>
    <s v="Thursday"/>
    <x v="808"/>
  </r>
  <r>
    <x v="301"/>
    <s v="16:45"/>
    <s v="S9"/>
    <x v="3"/>
    <x v="3"/>
    <x v="8"/>
    <x v="803"/>
    <x v="1"/>
    <s v="TX300812"/>
    <s v="C1"/>
    <x v="0"/>
    <s v="Afternoon"/>
    <s v="Tuesday"/>
    <x v="809"/>
  </r>
  <r>
    <x v="168"/>
    <s v="17:20"/>
    <s v="S10"/>
    <x v="0"/>
    <x v="3"/>
    <x v="8"/>
    <x v="804"/>
    <x v="3"/>
    <s v="TX300813"/>
    <s v="C3"/>
    <x v="1"/>
    <s v="Evening"/>
    <s v="Sunday"/>
    <x v="810"/>
  </r>
  <r>
    <x v="89"/>
    <s v="17:15"/>
    <s v="S3"/>
    <x v="0"/>
    <x v="2"/>
    <x v="4"/>
    <x v="805"/>
    <x v="4"/>
    <s v="TX300814"/>
    <s v="C2"/>
    <x v="1"/>
    <s v="Evening"/>
    <s v="Friday"/>
    <x v="811"/>
  </r>
  <r>
    <x v="547"/>
    <s v="19:43"/>
    <s v="S8"/>
    <x v="0"/>
    <x v="3"/>
    <x v="8"/>
    <x v="806"/>
    <x v="4"/>
    <s v="TX300815"/>
    <s v="C2"/>
    <x v="1"/>
    <s v="Evening"/>
    <s v="Tuesday"/>
    <x v="812"/>
  </r>
  <r>
    <x v="548"/>
    <s v="21:56"/>
    <s v="S3"/>
    <x v="3"/>
    <x v="3"/>
    <x v="0"/>
    <x v="807"/>
    <x v="4"/>
    <s v="TX300816"/>
    <s v="C1"/>
    <x v="0"/>
    <s v="Evening"/>
    <s v="Friday"/>
    <x v="813"/>
  </r>
  <r>
    <x v="549"/>
    <s v="16:15"/>
    <s v="S3"/>
    <x v="0"/>
    <x v="2"/>
    <x v="7"/>
    <x v="808"/>
    <x v="1"/>
    <s v="TX300817"/>
    <s v="C3"/>
    <x v="0"/>
    <s v="Afternoon"/>
    <s v="Tuesday"/>
    <x v="814"/>
  </r>
  <r>
    <x v="550"/>
    <s v="9:10"/>
    <s v="S8"/>
    <x v="1"/>
    <x v="6"/>
    <x v="2"/>
    <x v="809"/>
    <x v="0"/>
    <s v="TX300818"/>
    <s v="C4"/>
    <x v="3"/>
    <s v="Morning"/>
    <s v="Tuesday"/>
    <x v="815"/>
  </r>
  <r>
    <x v="127"/>
    <s v="15:15"/>
    <s v="S6"/>
    <x v="2"/>
    <x v="0"/>
    <x v="8"/>
    <x v="810"/>
    <x v="4"/>
    <s v="TX300819"/>
    <s v="C3"/>
    <x v="2"/>
    <s v="Afternoon"/>
    <s v="Saturday"/>
    <x v="816"/>
  </r>
  <r>
    <x v="307"/>
    <s v="13:53"/>
    <s v="S3"/>
    <x v="1"/>
    <x v="4"/>
    <x v="3"/>
    <x v="811"/>
    <x v="3"/>
    <s v="TX300820"/>
    <s v="C5"/>
    <x v="0"/>
    <s v="Afternoon"/>
    <s v="Thursday"/>
    <x v="817"/>
  </r>
  <r>
    <x v="13"/>
    <s v="21:12"/>
    <s v="S4"/>
    <x v="1"/>
    <x v="5"/>
    <x v="5"/>
    <x v="812"/>
    <x v="0"/>
    <s v="TX300821"/>
    <s v="C2"/>
    <x v="1"/>
    <s v="Evening"/>
    <s v="Tuesday"/>
    <x v="818"/>
  </r>
  <r>
    <x v="551"/>
    <s v="21:10"/>
    <s v="S3"/>
    <x v="0"/>
    <x v="2"/>
    <x v="9"/>
    <x v="813"/>
    <x v="1"/>
    <s v="TX300822"/>
    <s v="C4"/>
    <x v="3"/>
    <s v="Evening"/>
    <s v="Wednesday"/>
    <x v="819"/>
  </r>
  <r>
    <x v="374"/>
    <s v="17:51"/>
    <s v="S3"/>
    <x v="1"/>
    <x v="1"/>
    <x v="0"/>
    <x v="814"/>
    <x v="1"/>
    <s v="TX300823"/>
    <s v="C4"/>
    <x v="0"/>
    <s v="Evening"/>
    <s v="Wednesday"/>
    <x v="820"/>
  </r>
  <r>
    <x v="552"/>
    <s v="9:10"/>
    <s v="S10"/>
    <x v="0"/>
    <x v="1"/>
    <x v="6"/>
    <x v="815"/>
    <x v="3"/>
    <s v="TX300824"/>
    <s v="C5"/>
    <x v="0"/>
    <s v="Morning"/>
    <s v="Friday"/>
    <x v="821"/>
  </r>
  <r>
    <x v="553"/>
    <s v="14:28"/>
    <s v="S1"/>
    <x v="3"/>
    <x v="5"/>
    <x v="0"/>
    <x v="816"/>
    <x v="1"/>
    <s v="TX300825"/>
    <s v="C1"/>
    <x v="2"/>
    <s v="Afternoon"/>
    <s v="Tuesday"/>
    <x v="822"/>
  </r>
  <r>
    <x v="554"/>
    <s v="10:10"/>
    <s v="S6"/>
    <x v="2"/>
    <x v="1"/>
    <x v="7"/>
    <x v="817"/>
    <x v="0"/>
    <s v="TX300826"/>
    <s v="C4"/>
    <x v="1"/>
    <s v="Morning"/>
    <s v="Thursday"/>
    <x v="823"/>
  </r>
  <r>
    <x v="555"/>
    <s v="14:43"/>
    <s v="S2"/>
    <x v="3"/>
    <x v="3"/>
    <x v="2"/>
    <x v="219"/>
    <x v="0"/>
    <s v="TX300827"/>
    <s v="C2"/>
    <x v="2"/>
    <s v="Afternoon"/>
    <s v="Friday"/>
    <x v="824"/>
  </r>
  <r>
    <x v="65"/>
    <s v="16:14"/>
    <s v="S4"/>
    <x v="3"/>
    <x v="6"/>
    <x v="3"/>
    <x v="818"/>
    <x v="3"/>
    <s v="TX300828"/>
    <s v="C3"/>
    <x v="2"/>
    <s v="Afternoon"/>
    <s v="Tuesday"/>
    <x v="825"/>
  </r>
  <r>
    <x v="337"/>
    <s v="10:26"/>
    <s v="S6"/>
    <x v="2"/>
    <x v="4"/>
    <x v="1"/>
    <x v="819"/>
    <x v="1"/>
    <s v="TX300829"/>
    <s v="C5"/>
    <x v="1"/>
    <s v="Morning"/>
    <s v="Thursday"/>
    <x v="826"/>
  </r>
  <r>
    <x v="284"/>
    <s v="11:34"/>
    <s v="S7"/>
    <x v="0"/>
    <x v="5"/>
    <x v="1"/>
    <x v="820"/>
    <x v="4"/>
    <s v="TX300830"/>
    <s v="C5"/>
    <x v="1"/>
    <s v="Morning"/>
    <s v="Tuesday"/>
    <x v="827"/>
  </r>
  <r>
    <x v="556"/>
    <s v="17:35"/>
    <s v="S1"/>
    <x v="0"/>
    <x v="1"/>
    <x v="9"/>
    <x v="821"/>
    <x v="0"/>
    <s v="TX300831"/>
    <s v="C2"/>
    <x v="1"/>
    <s v="Evening"/>
    <s v="Wednesday"/>
    <x v="828"/>
  </r>
  <r>
    <x v="557"/>
    <s v="14:04"/>
    <s v="S9"/>
    <x v="3"/>
    <x v="6"/>
    <x v="7"/>
    <x v="822"/>
    <x v="1"/>
    <s v="TX300832"/>
    <s v="C5"/>
    <x v="1"/>
    <s v="Afternoon"/>
    <s v="Sunday"/>
    <x v="829"/>
  </r>
  <r>
    <x v="558"/>
    <s v="16:50"/>
    <s v="S6"/>
    <x v="1"/>
    <x v="2"/>
    <x v="5"/>
    <x v="823"/>
    <x v="3"/>
    <s v="TX300833"/>
    <s v="C5"/>
    <x v="2"/>
    <s v="Afternoon"/>
    <s v="Thursday"/>
    <x v="830"/>
  </r>
  <r>
    <x v="559"/>
    <s v="16:22"/>
    <s v="S8"/>
    <x v="3"/>
    <x v="3"/>
    <x v="3"/>
    <x v="824"/>
    <x v="0"/>
    <s v="TX300834"/>
    <s v="C1"/>
    <x v="2"/>
    <s v="Afternoon"/>
    <s v="Wednesday"/>
    <x v="831"/>
  </r>
  <r>
    <x v="334"/>
    <s v="12:51"/>
    <s v="S10"/>
    <x v="0"/>
    <x v="3"/>
    <x v="4"/>
    <x v="825"/>
    <x v="3"/>
    <s v="TX300835"/>
    <s v="C5"/>
    <x v="0"/>
    <s v="Afternoon"/>
    <s v="Monday"/>
    <x v="832"/>
  </r>
  <r>
    <x v="24"/>
    <s v="10:59"/>
    <s v="S4"/>
    <x v="3"/>
    <x v="0"/>
    <x v="2"/>
    <x v="826"/>
    <x v="3"/>
    <s v="TX300836"/>
    <s v="C2"/>
    <x v="2"/>
    <s v="Morning"/>
    <s v="Tuesday"/>
    <x v="833"/>
  </r>
  <r>
    <x v="216"/>
    <s v="11:14"/>
    <s v="S6"/>
    <x v="0"/>
    <x v="3"/>
    <x v="8"/>
    <x v="827"/>
    <x v="3"/>
    <s v="TX300837"/>
    <s v="C4"/>
    <x v="0"/>
    <s v="Morning"/>
    <s v="Monday"/>
    <x v="834"/>
  </r>
  <r>
    <x v="560"/>
    <s v="20:11"/>
    <s v="S1"/>
    <x v="2"/>
    <x v="5"/>
    <x v="3"/>
    <x v="828"/>
    <x v="3"/>
    <s v="TX300838"/>
    <s v="C5"/>
    <x v="1"/>
    <s v="Evening"/>
    <s v="Thursday"/>
    <x v="835"/>
  </r>
  <r>
    <x v="352"/>
    <s v="21:05"/>
    <s v="S6"/>
    <x v="2"/>
    <x v="2"/>
    <x v="7"/>
    <x v="829"/>
    <x v="4"/>
    <s v="TX300839"/>
    <s v="C1"/>
    <x v="0"/>
    <s v="Evening"/>
    <s v="Monday"/>
    <x v="836"/>
  </r>
  <r>
    <x v="289"/>
    <s v="13:12"/>
    <s v="S9"/>
    <x v="3"/>
    <x v="3"/>
    <x v="7"/>
    <x v="830"/>
    <x v="4"/>
    <s v="TX300840"/>
    <s v="C3"/>
    <x v="3"/>
    <s v="Afternoon"/>
    <s v="Tuesday"/>
    <x v="837"/>
  </r>
  <r>
    <x v="561"/>
    <s v="17:43"/>
    <s v="S4"/>
    <x v="1"/>
    <x v="2"/>
    <x v="7"/>
    <x v="831"/>
    <x v="0"/>
    <s v="TX300841"/>
    <s v="C4"/>
    <x v="2"/>
    <s v="Evening"/>
    <s v="Friday"/>
    <x v="838"/>
  </r>
  <r>
    <x v="85"/>
    <s v="17:27"/>
    <s v="S1"/>
    <x v="2"/>
    <x v="3"/>
    <x v="1"/>
    <x v="832"/>
    <x v="0"/>
    <s v="TX300842"/>
    <s v="C3"/>
    <x v="2"/>
    <s v="Evening"/>
    <s v="Wednesday"/>
    <x v="839"/>
  </r>
  <r>
    <x v="278"/>
    <s v="13:53"/>
    <s v="S8"/>
    <x v="0"/>
    <x v="5"/>
    <x v="4"/>
    <x v="833"/>
    <x v="3"/>
    <s v="TX300843"/>
    <s v="C3"/>
    <x v="0"/>
    <s v="Afternoon"/>
    <s v="Monday"/>
    <x v="840"/>
  </r>
  <r>
    <x v="562"/>
    <s v="18:38"/>
    <s v="S5"/>
    <x v="1"/>
    <x v="2"/>
    <x v="5"/>
    <x v="834"/>
    <x v="4"/>
    <s v="TX300844"/>
    <s v="C4"/>
    <x v="2"/>
    <s v="Evening"/>
    <s v="Thursday"/>
    <x v="841"/>
  </r>
  <r>
    <x v="35"/>
    <s v="12:17"/>
    <s v="S1"/>
    <x v="0"/>
    <x v="6"/>
    <x v="9"/>
    <x v="835"/>
    <x v="1"/>
    <s v="TX300845"/>
    <s v="C5"/>
    <x v="3"/>
    <s v="Afternoon"/>
    <s v="Sunday"/>
    <x v="842"/>
  </r>
  <r>
    <x v="563"/>
    <s v="16:03"/>
    <s v="S7"/>
    <x v="3"/>
    <x v="3"/>
    <x v="8"/>
    <x v="836"/>
    <x v="1"/>
    <s v="TX300846"/>
    <s v="C2"/>
    <x v="3"/>
    <s v="Afternoon"/>
    <s v="Friday"/>
    <x v="843"/>
  </r>
  <r>
    <x v="564"/>
    <s v="20:28"/>
    <s v="S6"/>
    <x v="2"/>
    <x v="2"/>
    <x v="9"/>
    <x v="837"/>
    <x v="3"/>
    <s v="TX300847"/>
    <s v="C2"/>
    <x v="0"/>
    <s v="Evening"/>
    <s v="Sunday"/>
    <x v="844"/>
  </r>
  <r>
    <x v="171"/>
    <s v="13:30"/>
    <s v="S10"/>
    <x v="3"/>
    <x v="5"/>
    <x v="8"/>
    <x v="838"/>
    <x v="4"/>
    <s v="TX300848"/>
    <s v="C3"/>
    <x v="2"/>
    <s v="Afternoon"/>
    <s v="Wednesday"/>
    <x v="845"/>
  </r>
  <r>
    <x v="350"/>
    <s v="20:05"/>
    <s v="S5"/>
    <x v="3"/>
    <x v="3"/>
    <x v="0"/>
    <x v="839"/>
    <x v="4"/>
    <s v="TX300849"/>
    <s v="C1"/>
    <x v="0"/>
    <s v="Evening"/>
    <s v="Thursday"/>
    <x v="846"/>
  </r>
  <r>
    <x v="496"/>
    <s v="21:18"/>
    <s v="S3"/>
    <x v="2"/>
    <x v="5"/>
    <x v="4"/>
    <x v="840"/>
    <x v="2"/>
    <s v="TX300850"/>
    <s v="C1"/>
    <x v="0"/>
    <s v="Evening"/>
    <s v="Saturday"/>
    <x v="847"/>
  </r>
  <r>
    <x v="225"/>
    <s v="9:13"/>
    <s v="S4"/>
    <x v="3"/>
    <x v="6"/>
    <x v="8"/>
    <x v="841"/>
    <x v="3"/>
    <s v="TX300851"/>
    <s v="C4"/>
    <x v="3"/>
    <s v="Morning"/>
    <s v="Sunday"/>
    <x v="848"/>
  </r>
  <r>
    <x v="403"/>
    <s v="12:17"/>
    <s v="S5"/>
    <x v="1"/>
    <x v="3"/>
    <x v="4"/>
    <x v="842"/>
    <x v="3"/>
    <s v="TX300852"/>
    <s v="C4"/>
    <x v="0"/>
    <s v="Afternoon"/>
    <s v="Wednesday"/>
    <x v="849"/>
  </r>
  <r>
    <x v="565"/>
    <s v="10:33"/>
    <s v="S6"/>
    <x v="1"/>
    <x v="3"/>
    <x v="3"/>
    <x v="843"/>
    <x v="0"/>
    <s v="TX300853"/>
    <s v="C1"/>
    <x v="0"/>
    <s v="Morning"/>
    <s v="Monday"/>
    <x v="850"/>
  </r>
  <r>
    <x v="216"/>
    <s v="18:40"/>
    <s v="S1"/>
    <x v="0"/>
    <x v="3"/>
    <x v="0"/>
    <x v="844"/>
    <x v="3"/>
    <s v="TX300854"/>
    <s v="C4"/>
    <x v="0"/>
    <s v="Evening"/>
    <s v="Monday"/>
    <x v="851"/>
  </r>
  <r>
    <x v="566"/>
    <s v="9:33"/>
    <s v="S1"/>
    <x v="0"/>
    <x v="5"/>
    <x v="2"/>
    <x v="845"/>
    <x v="3"/>
    <s v="TX300855"/>
    <s v="C4"/>
    <x v="2"/>
    <s v="Morning"/>
    <s v="Wednesday"/>
    <x v="852"/>
  </r>
  <r>
    <x v="187"/>
    <s v="14:28"/>
    <s v="S9"/>
    <x v="1"/>
    <x v="0"/>
    <x v="6"/>
    <x v="846"/>
    <x v="1"/>
    <s v="TX300856"/>
    <s v="C4"/>
    <x v="1"/>
    <s v="Afternoon"/>
    <s v="Sunday"/>
    <x v="853"/>
  </r>
  <r>
    <x v="234"/>
    <s v="10:23"/>
    <s v="S1"/>
    <x v="2"/>
    <x v="2"/>
    <x v="2"/>
    <x v="847"/>
    <x v="3"/>
    <s v="TX300857"/>
    <s v="C2"/>
    <x v="3"/>
    <s v="Morning"/>
    <s v="Monday"/>
    <x v="854"/>
  </r>
  <r>
    <x v="567"/>
    <s v="15:09"/>
    <s v="S8"/>
    <x v="3"/>
    <x v="5"/>
    <x v="5"/>
    <x v="848"/>
    <x v="0"/>
    <s v="TX300858"/>
    <s v="C3"/>
    <x v="2"/>
    <s v="Afternoon"/>
    <s v="Thursday"/>
    <x v="855"/>
  </r>
  <r>
    <x v="568"/>
    <s v="11:01"/>
    <s v="S5"/>
    <x v="2"/>
    <x v="6"/>
    <x v="0"/>
    <x v="849"/>
    <x v="1"/>
    <s v="TX300859"/>
    <s v="C2"/>
    <x v="0"/>
    <s v="Morning"/>
    <s v="Saturday"/>
    <x v="856"/>
  </r>
  <r>
    <x v="569"/>
    <s v="19:35"/>
    <s v="S6"/>
    <x v="2"/>
    <x v="4"/>
    <x v="0"/>
    <x v="850"/>
    <x v="3"/>
    <s v="TX300860"/>
    <s v="C1"/>
    <x v="0"/>
    <s v="Evening"/>
    <s v="Thursday"/>
    <x v="857"/>
  </r>
  <r>
    <x v="570"/>
    <s v="10:17"/>
    <s v="S3"/>
    <x v="0"/>
    <x v="5"/>
    <x v="6"/>
    <x v="851"/>
    <x v="2"/>
    <s v="TX300861"/>
    <s v="C1"/>
    <x v="3"/>
    <s v="Morning"/>
    <s v="Tuesday"/>
    <x v="858"/>
  </r>
  <r>
    <x v="571"/>
    <s v="11:46"/>
    <s v="S8"/>
    <x v="3"/>
    <x v="1"/>
    <x v="2"/>
    <x v="852"/>
    <x v="3"/>
    <s v="TX300862"/>
    <s v="C5"/>
    <x v="2"/>
    <s v="Morning"/>
    <s v="Thursday"/>
    <x v="859"/>
  </r>
  <r>
    <x v="97"/>
    <s v="9:55"/>
    <s v="S1"/>
    <x v="1"/>
    <x v="2"/>
    <x v="1"/>
    <x v="853"/>
    <x v="1"/>
    <s v="TX300863"/>
    <s v="C1"/>
    <x v="2"/>
    <s v="Morning"/>
    <s v="Monday"/>
    <x v="860"/>
  </r>
  <r>
    <x v="84"/>
    <s v="9:22"/>
    <s v="S7"/>
    <x v="2"/>
    <x v="0"/>
    <x v="9"/>
    <x v="854"/>
    <x v="0"/>
    <s v="TX300864"/>
    <s v="C2"/>
    <x v="0"/>
    <s v="Morning"/>
    <s v="Tuesday"/>
    <x v="861"/>
  </r>
  <r>
    <x v="100"/>
    <s v="20:17"/>
    <s v="S10"/>
    <x v="3"/>
    <x v="1"/>
    <x v="4"/>
    <x v="855"/>
    <x v="0"/>
    <s v="TX300865"/>
    <s v="C3"/>
    <x v="0"/>
    <s v="Evening"/>
    <s v="Saturday"/>
    <x v="862"/>
  </r>
  <r>
    <x v="572"/>
    <s v="18:06"/>
    <s v="S6"/>
    <x v="1"/>
    <x v="0"/>
    <x v="8"/>
    <x v="856"/>
    <x v="2"/>
    <s v="TX300866"/>
    <s v="C1"/>
    <x v="0"/>
    <s v="Evening"/>
    <s v="Saturday"/>
    <x v="863"/>
  </r>
  <r>
    <x v="143"/>
    <s v="13:29"/>
    <s v="S1"/>
    <x v="1"/>
    <x v="5"/>
    <x v="5"/>
    <x v="857"/>
    <x v="3"/>
    <s v="TX300867"/>
    <s v="C1"/>
    <x v="2"/>
    <s v="Afternoon"/>
    <s v="Sunday"/>
    <x v="864"/>
  </r>
  <r>
    <x v="361"/>
    <s v="14:59"/>
    <s v="S4"/>
    <x v="3"/>
    <x v="6"/>
    <x v="4"/>
    <x v="858"/>
    <x v="1"/>
    <s v="TX300868"/>
    <s v="C4"/>
    <x v="0"/>
    <s v="Afternoon"/>
    <s v="Saturday"/>
    <x v="865"/>
  </r>
  <r>
    <x v="560"/>
    <s v="14:57"/>
    <s v="S1"/>
    <x v="3"/>
    <x v="2"/>
    <x v="5"/>
    <x v="859"/>
    <x v="1"/>
    <s v="TX300869"/>
    <s v="C2"/>
    <x v="0"/>
    <s v="Afternoon"/>
    <s v="Thursday"/>
    <x v="866"/>
  </r>
  <r>
    <x v="104"/>
    <s v="20:23"/>
    <s v="S9"/>
    <x v="3"/>
    <x v="3"/>
    <x v="3"/>
    <x v="860"/>
    <x v="3"/>
    <s v="TX300870"/>
    <s v="C1"/>
    <x v="0"/>
    <s v="Evening"/>
    <s v="Thursday"/>
    <x v="867"/>
  </r>
  <r>
    <x v="212"/>
    <s v="18:53"/>
    <s v="S7"/>
    <x v="0"/>
    <x v="4"/>
    <x v="9"/>
    <x v="861"/>
    <x v="0"/>
    <s v="TX300871"/>
    <s v="C2"/>
    <x v="1"/>
    <s v="Evening"/>
    <s v="Thursday"/>
    <x v="868"/>
  </r>
  <r>
    <x v="240"/>
    <s v="12:18"/>
    <s v="S3"/>
    <x v="0"/>
    <x v="2"/>
    <x v="8"/>
    <x v="862"/>
    <x v="2"/>
    <s v="TX300872"/>
    <s v="C4"/>
    <x v="0"/>
    <s v="Afternoon"/>
    <s v="Saturday"/>
    <x v="869"/>
  </r>
  <r>
    <x v="273"/>
    <s v="16:34"/>
    <s v="S2"/>
    <x v="0"/>
    <x v="3"/>
    <x v="7"/>
    <x v="863"/>
    <x v="0"/>
    <s v="TX300873"/>
    <s v="C2"/>
    <x v="2"/>
    <s v="Afternoon"/>
    <s v="Monday"/>
    <x v="870"/>
  </r>
  <r>
    <x v="158"/>
    <s v="20:31"/>
    <s v="S7"/>
    <x v="2"/>
    <x v="4"/>
    <x v="3"/>
    <x v="864"/>
    <x v="1"/>
    <s v="TX300874"/>
    <s v="C1"/>
    <x v="3"/>
    <s v="Evening"/>
    <s v="Tuesday"/>
    <x v="871"/>
  </r>
  <r>
    <x v="573"/>
    <s v="11:15"/>
    <s v="S7"/>
    <x v="0"/>
    <x v="4"/>
    <x v="3"/>
    <x v="865"/>
    <x v="1"/>
    <s v="TX300875"/>
    <s v="C1"/>
    <x v="0"/>
    <s v="Morning"/>
    <s v="Monday"/>
    <x v="872"/>
  </r>
  <r>
    <x v="83"/>
    <s v="14:16"/>
    <s v="S9"/>
    <x v="1"/>
    <x v="4"/>
    <x v="5"/>
    <x v="866"/>
    <x v="0"/>
    <s v="TX300876"/>
    <s v="C5"/>
    <x v="2"/>
    <s v="Afternoon"/>
    <s v="Tuesday"/>
    <x v="873"/>
  </r>
  <r>
    <x v="574"/>
    <s v="20:29"/>
    <s v="S6"/>
    <x v="0"/>
    <x v="3"/>
    <x v="2"/>
    <x v="867"/>
    <x v="4"/>
    <s v="TX300877"/>
    <s v="C5"/>
    <x v="1"/>
    <s v="Evening"/>
    <s v="Tuesday"/>
    <x v="874"/>
  </r>
  <r>
    <x v="575"/>
    <s v="13:09"/>
    <s v="S1"/>
    <x v="2"/>
    <x v="1"/>
    <x v="9"/>
    <x v="868"/>
    <x v="3"/>
    <s v="TX300878"/>
    <s v="C5"/>
    <x v="3"/>
    <s v="Afternoon"/>
    <s v="Sunday"/>
    <x v="875"/>
  </r>
  <r>
    <x v="163"/>
    <s v="16:36"/>
    <s v="S5"/>
    <x v="3"/>
    <x v="6"/>
    <x v="4"/>
    <x v="869"/>
    <x v="0"/>
    <s v="TX300879"/>
    <s v="C5"/>
    <x v="1"/>
    <s v="Afternoon"/>
    <s v="Tuesday"/>
    <x v="876"/>
  </r>
  <r>
    <x v="576"/>
    <s v="17:53"/>
    <s v="S5"/>
    <x v="0"/>
    <x v="6"/>
    <x v="3"/>
    <x v="870"/>
    <x v="1"/>
    <s v="TX300880"/>
    <s v="C1"/>
    <x v="0"/>
    <s v="Evening"/>
    <s v="Sunday"/>
    <x v="877"/>
  </r>
  <r>
    <x v="116"/>
    <s v="17:43"/>
    <s v="S10"/>
    <x v="0"/>
    <x v="3"/>
    <x v="3"/>
    <x v="871"/>
    <x v="3"/>
    <s v="TX300881"/>
    <s v="C5"/>
    <x v="2"/>
    <s v="Evening"/>
    <s v="Tuesday"/>
    <x v="878"/>
  </r>
  <r>
    <x v="577"/>
    <s v="9:04"/>
    <s v="S10"/>
    <x v="3"/>
    <x v="3"/>
    <x v="2"/>
    <x v="872"/>
    <x v="1"/>
    <s v="TX300882"/>
    <s v="C2"/>
    <x v="0"/>
    <s v="Morning"/>
    <s v="Friday"/>
    <x v="879"/>
  </r>
  <r>
    <x v="527"/>
    <s v="18:56"/>
    <s v="S4"/>
    <x v="0"/>
    <x v="6"/>
    <x v="5"/>
    <x v="873"/>
    <x v="0"/>
    <s v="TX300883"/>
    <s v="C3"/>
    <x v="0"/>
    <s v="Evening"/>
    <s v="Saturday"/>
    <x v="880"/>
  </r>
  <r>
    <x v="578"/>
    <s v="11:50"/>
    <s v="S10"/>
    <x v="2"/>
    <x v="2"/>
    <x v="9"/>
    <x v="874"/>
    <x v="4"/>
    <s v="TX300884"/>
    <s v="C3"/>
    <x v="0"/>
    <s v="Morning"/>
    <s v="Friday"/>
    <x v="881"/>
  </r>
  <r>
    <x v="579"/>
    <s v="20:15"/>
    <s v="S3"/>
    <x v="3"/>
    <x v="2"/>
    <x v="8"/>
    <x v="875"/>
    <x v="1"/>
    <s v="TX300885"/>
    <s v="C3"/>
    <x v="3"/>
    <s v="Evening"/>
    <s v="Monday"/>
    <x v="882"/>
  </r>
  <r>
    <x v="331"/>
    <s v="15:38"/>
    <s v="S7"/>
    <x v="2"/>
    <x v="1"/>
    <x v="4"/>
    <x v="876"/>
    <x v="1"/>
    <s v="TX300886"/>
    <s v="C3"/>
    <x v="1"/>
    <s v="Afternoon"/>
    <s v="Tuesday"/>
    <x v="883"/>
  </r>
  <r>
    <x v="134"/>
    <s v="9:10"/>
    <s v="S5"/>
    <x v="1"/>
    <x v="1"/>
    <x v="9"/>
    <x v="877"/>
    <x v="3"/>
    <s v="TX300887"/>
    <s v="C3"/>
    <x v="3"/>
    <s v="Morning"/>
    <s v="Monday"/>
    <x v="884"/>
  </r>
  <r>
    <x v="580"/>
    <s v="14:34"/>
    <s v="S6"/>
    <x v="2"/>
    <x v="4"/>
    <x v="5"/>
    <x v="878"/>
    <x v="4"/>
    <s v="TX300888"/>
    <s v="C3"/>
    <x v="2"/>
    <s v="Afternoon"/>
    <s v="Saturday"/>
    <x v="885"/>
  </r>
  <r>
    <x v="318"/>
    <s v="10:23"/>
    <s v="S9"/>
    <x v="3"/>
    <x v="0"/>
    <x v="9"/>
    <x v="879"/>
    <x v="2"/>
    <s v="TX300889"/>
    <s v="C2"/>
    <x v="0"/>
    <s v="Morning"/>
    <s v="Sunday"/>
    <x v="886"/>
  </r>
  <r>
    <x v="5"/>
    <s v="12:29"/>
    <s v="S6"/>
    <x v="2"/>
    <x v="5"/>
    <x v="7"/>
    <x v="880"/>
    <x v="0"/>
    <s v="TX300890"/>
    <s v="C4"/>
    <x v="1"/>
    <s v="Afternoon"/>
    <s v="Thursday"/>
    <x v="887"/>
  </r>
  <r>
    <x v="581"/>
    <s v="15:52"/>
    <s v="S5"/>
    <x v="0"/>
    <x v="5"/>
    <x v="8"/>
    <x v="881"/>
    <x v="0"/>
    <s v="TX300891"/>
    <s v="C2"/>
    <x v="0"/>
    <s v="Afternoon"/>
    <s v="Saturday"/>
    <x v="888"/>
  </r>
  <r>
    <x v="582"/>
    <s v="13:53"/>
    <s v="S10"/>
    <x v="2"/>
    <x v="6"/>
    <x v="9"/>
    <x v="882"/>
    <x v="2"/>
    <s v="TX300892"/>
    <s v="C3"/>
    <x v="2"/>
    <s v="Afternoon"/>
    <s v="Wednesday"/>
    <x v="889"/>
  </r>
  <r>
    <x v="583"/>
    <s v="13:37"/>
    <s v="S1"/>
    <x v="3"/>
    <x v="0"/>
    <x v="7"/>
    <x v="883"/>
    <x v="1"/>
    <s v="TX300893"/>
    <s v="C3"/>
    <x v="2"/>
    <s v="Afternoon"/>
    <s v="Thursday"/>
    <x v="890"/>
  </r>
  <r>
    <x v="154"/>
    <s v="11:16"/>
    <s v="S6"/>
    <x v="3"/>
    <x v="4"/>
    <x v="4"/>
    <x v="884"/>
    <x v="2"/>
    <s v="TX300894"/>
    <s v="C1"/>
    <x v="3"/>
    <s v="Morning"/>
    <s v="Sunday"/>
    <x v="891"/>
  </r>
  <r>
    <x v="584"/>
    <s v="14:45"/>
    <s v="S5"/>
    <x v="3"/>
    <x v="0"/>
    <x v="8"/>
    <x v="885"/>
    <x v="3"/>
    <s v="TX300895"/>
    <s v="C2"/>
    <x v="2"/>
    <s v="Afternoon"/>
    <s v="Friday"/>
    <x v="892"/>
  </r>
  <r>
    <x v="221"/>
    <s v="18:40"/>
    <s v="S10"/>
    <x v="2"/>
    <x v="0"/>
    <x v="1"/>
    <x v="396"/>
    <x v="4"/>
    <s v="TX300896"/>
    <s v="C1"/>
    <x v="0"/>
    <s v="Evening"/>
    <s v="Friday"/>
    <x v="893"/>
  </r>
  <r>
    <x v="515"/>
    <s v="16:24"/>
    <s v="S10"/>
    <x v="0"/>
    <x v="6"/>
    <x v="0"/>
    <x v="886"/>
    <x v="2"/>
    <s v="TX300897"/>
    <s v="C1"/>
    <x v="3"/>
    <s v="Afternoon"/>
    <s v="Wednesday"/>
    <x v="894"/>
  </r>
  <r>
    <x v="585"/>
    <s v="17:29"/>
    <s v="S7"/>
    <x v="0"/>
    <x v="1"/>
    <x v="2"/>
    <x v="887"/>
    <x v="2"/>
    <s v="TX300898"/>
    <s v="C4"/>
    <x v="0"/>
    <s v="Evening"/>
    <s v="Friday"/>
    <x v="895"/>
  </r>
  <r>
    <x v="16"/>
    <s v="12:38"/>
    <s v="S4"/>
    <x v="2"/>
    <x v="5"/>
    <x v="7"/>
    <x v="888"/>
    <x v="3"/>
    <s v="TX300899"/>
    <s v="C5"/>
    <x v="3"/>
    <s v="Afternoon"/>
    <s v="Sunday"/>
    <x v="896"/>
  </r>
  <r>
    <x v="271"/>
    <s v="11:43"/>
    <s v="S6"/>
    <x v="3"/>
    <x v="2"/>
    <x v="9"/>
    <x v="889"/>
    <x v="1"/>
    <s v="TX300900"/>
    <s v="C5"/>
    <x v="1"/>
    <s v="Morning"/>
    <s v="Friday"/>
    <x v="897"/>
  </r>
  <r>
    <x v="169"/>
    <s v="11:49"/>
    <s v="S4"/>
    <x v="1"/>
    <x v="0"/>
    <x v="9"/>
    <x v="890"/>
    <x v="4"/>
    <s v="TX300901"/>
    <s v="C4"/>
    <x v="3"/>
    <s v="Morning"/>
    <s v="Friday"/>
    <x v="898"/>
  </r>
  <r>
    <x v="34"/>
    <s v="17:07"/>
    <s v="S5"/>
    <x v="1"/>
    <x v="2"/>
    <x v="5"/>
    <x v="891"/>
    <x v="3"/>
    <s v="TX300902"/>
    <s v="C2"/>
    <x v="1"/>
    <s v="Evening"/>
    <s v="Tuesday"/>
    <x v="899"/>
  </r>
  <r>
    <x v="44"/>
    <s v="12:43"/>
    <s v="S3"/>
    <x v="2"/>
    <x v="1"/>
    <x v="4"/>
    <x v="892"/>
    <x v="0"/>
    <s v="TX300903"/>
    <s v="C4"/>
    <x v="2"/>
    <s v="Afternoon"/>
    <s v="Monday"/>
    <x v="900"/>
  </r>
  <r>
    <x v="231"/>
    <s v="18:13"/>
    <s v="S4"/>
    <x v="3"/>
    <x v="4"/>
    <x v="6"/>
    <x v="346"/>
    <x v="4"/>
    <s v="TX300904"/>
    <s v="C5"/>
    <x v="0"/>
    <s v="Evening"/>
    <s v="Monday"/>
    <x v="901"/>
  </r>
  <r>
    <x v="108"/>
    <s v="12:17"/>
    <s v="S9"/>
    <x v="0"/>
    <x v="4"/>
    <x v="8"/>
    <x v="893"/>
    <x v="3"/>
    <s v="TX300905"/>
    <s v="C2"/>
    <x v="2"/>
    <s v="Afternoon"/>
    <s v="Wednesday"/>
    <x v="902"/>
  </r>
  <r>
    <x v="21"/>
    <s v="20:25"/>
    <s v="S2"/>
    <x v="3"/>
    <x v="0"/>
    <x v="3"/>
    <x v="894"/>
    <x v="4"/>
    <s v="TX300906"/>
    <s v="C4"/>
    <x v="0"/>
    <s v="Evening"/>
    <s v="Sunday"/>
    <x v="903"/>
  </r>
  <r>
    <x v="586"/>
    <s v="17:39"/>
    <s v="S10"/>
    <x v="0"/>
    <x v="6"/>
    <x v="8"/>
    <x v="895"/>
    <x v="1"/>
    <s v="TX300907"/>
    <s v="C3"/>
    <x v="2"/>
    <s v="Evening"/>
    <s v="Thursday"/>
    <x v="904"/>
  </r>
  <r>
    <x v="16"/>
    <s v="12:21"/>
    <s v="S6"/>
    <x v="0"/>
    <x v="1"/>
    <x v="3"/>
    <x v="896"/>
    <x v="4"/>
    <s v="TX300908"/>
    <s v="C5"/>
    <x v="0"/>
    <s v="Afternoon"/>
    <s v="Sunday"/>
    <x v="905"/>
  </r>
  <r>
    <x v="165"/>
    <s v="10:01"/>
    <s v="S5"/>
    <x v="2"/>
    <x v="4"/>
    <x v="8"/>
    <x v="897"/>
    <x v="1"/>
    <s v="TX300909"/>
    <s v="C1"/>
    <x v="2"/>
    <s v="Morning"/>
    <s v="Saturday"/>
    <x v="906"/>
  </r>
  <r>
    <x v="429"/>
    <s v="14:56"/>
    <s v="S5"/>
    <x v="0"/>
    <x v="4"/>
    <x v="6"/>
    <x v="898"/>
    <x v="0"/>
    <s v="TX300910"/>
    <s v="C1"/>
    <x v="3"/>
    <s v="Afternoon"/>
    <s v="Monday"/>
    <x v="907"/>
  </r>
  <r>
    <x v="587"/>
    <s v="19:23"/>
    <s v="S7"/>
    <x v="1"/>
    <x v="2"/>
    <x v="6"/>
    <x v="899"/>
    <x v="4"/>
    <s v="TX300911"/>
    <s v="C5"/>
    <x v="3"/>
    <s v="Evening"/>
    <s v="Monday"/>
    <x v="908"/>
  </r>
  <r>
    <x v="588"/>
    <s v="17:46"/>
    <s v="S3"/>
    <x v="2"/>
    <x v="0"/>
    <x v="0"/>
    <x v="900"/>
    <x v="0"/>
    <s v="TX300912"/>
    <s v="C2"/>
    <x v="0"/>
    <s v="Evening"/>
    <s v="Friday"/>
    <x v="909"/>
  </r>
  <r>
    <x v="589"/>
    <s v="17:56"/>
    <s v="S5"/>
    <x v="2"/>
    <x v="0"/>
    <x v="0"/>
    <x v="901"/>
    <x v="1"/>
    <s v="TX300913"/>
    <s v="C3"/>
    <x v="0"/>
    <s v="Evening"/>
    <s v="Monday"/>
    <x v="910"/>
  </r>
  <r>
    <x v="276"/>
    <s v="15:13"/>
    <s v="S4"/>
    <x v="1"/>
    <x v="4"/>
    <x v="5"/>
    <x v="902"/>
    <x v="1"/>
    <s v="TX300914"/>
    <s v="C4"/>
    <x v="3"/>
    <s v="Afternoon"/>
    <s v="Monday"/>
    <x v="911"/>
  </r>
  <r>
    <x v="188"/>
    <s v="15:01"/>
    <s v="S3"/>
    <x v="0"/>
    <x v="5"/>
    <x v="5"/>
    <x v="903"/>
    <x v="1"/>
    <s v="TX300915"/>
    <s v="C1"/>
    <x v="3"/>
    <s v="Afternoon"/>
    <s v="Thursday"/>
    <x v="912"/>
  </r>
  <r>
    <x v="590"/>
    <s v="10:53"/>
    <s v="S8"/>
    <x v="3"/>
    <x v="1"/>
    <x v="4"/>
    <x v="904"/>
    <x v="2"/>
    <s v="TX300916"/>
    <s v="C1"/>
    <x v="0"/>
    <s v="Morning"/>
    <s v="Thursday"/>
    <x v="913"/>
  </r>
  <r>
    <x v="56"/>
    <s v="18:46"/>
    <s v="S9"/>
    <x v="0"/>
    <x v="1"/>
    <x v="3"/>
    <x v="905"/>
    <x v="4"/>
    <s v="TX300917"/>
    <s v="C5"/>
    <x v="2"/>
    <s v="Evening"/>
    <s v="Monday"/>
    <x v="914"/>
  </r>
  <r>
    <x v="51"/>
    <s v="14:53"/>
    <s v="S2"/>
    <x v="3"/>
    <x v="3"/>
    <x v="0"/>
    <x v="906"/>
    <x v="0"/>
    <s v="TX300918"/>
    <s v="C5"/>
    <x v="3"/>
    <s v="Afternoon"/>
    <s v="Wednesday"/>
    <x v="915"/>
  </r>
  <r>
    <x v="65"/>
    <s v="17:23"/>
    <s v="S5"/>
    <x v="1"/>
    <x v="5"/>
    <x v="9"/>
    <x v="907"/>
    <x v="2"/>
    <s v="TX300919"/>
    <s v="C3"/>
    <x v="0"/>
    <s v="Evening"/>
    <s v="Tuesday"/>
    <x v="916"/>
  </r>
  <r>
    <x v="76"/>
    <s v="18:48"/>
    <s v="S10"/>
    <x v="2"/>
    <x v="0"/>
    <x v="8"/>
    <x v="908"/>
    <x v="0"/>
    <s v="TX300920"/>
    <s v="C5"/>
    <x v="3"/>
    <s v="Evening"/>
    <s v="Thursday"/>
    <x v="917"/>
  </r>
  <r>
    <x v="591"/>
    <s v="14:42"/>
    <s v="S10"/>
    <x v="2"/>
    <x v="3"/>
    <x v="0"/>
    <x v="909"/>
    <x v="3"/>
    <s v="TX300921"/>
    <s v="C5"/>
    <x v="2"/>
    <s v="Afternoon"/>
    <s v="Thursday"/>
    <x v="918"/>
  </r>
  <r>
    <x v="592"/>
    <s v="12:42"/>
    <s v="S6"/>
    <x v="1"/>
    <x v="3"/>
    <x v="8"/>
    <x v="910"/>
    <x v="2"/>
    <s v="TX300922"/>
    <s v="C5"/>
    <x v="0"/>
    <s v="Afternoon"/>
    <s v="Sunday"/>
    <x v="919"/>
  </r>
  <r>
    <x v="169"/>
    <s v="9:44"/>
    <s v="S9"/>
    <x v="0"/>
    <x v="3"/>
    <x v="9"/>
    <x v="911"/>
    <x v="4"/>
    <s v="TX300923"/>
    <s v="C2"/>
    <x v="1"/>
    <s v="Morning"/>
    <s v="Friday"/>
    <x v="920"/>
  </r>
  <r>
    <x v="593"/>
    <s v="16:40"/>
    <s v="S3"/>
    <x v="1"/>
    <x v="1"/>
    <x v="3"/>
    <x v="912"/>
    <x v="4"/>
    <s v="TX300924"/>
    <s v="C5"/>
    <x v="3"/>
    <s v="Afternoon"/>
    <s v="Friday"/>
    <x v="921"/>
  </r>
  <r>
    <x v="594"/>
    <s v="13:27"/>
    <s v="S5"/>
    <x v="0"/>
    <x v="2"/>
    <x v="4"/>
    <x v="913"/>
    <x v="0"/>
    <s v="TX300925"/>
    <s v="C1"/>
    <x v="3"/>
    <s v="Afternoon"/>
    <s v="Tuesday"/>
    <x v="922"/>
  </r>
  <r>
    <x v="595"/>
    <s v="15:39"/>
    <s v="S10"/>
    <x v="2"/>
    <x v="5"/>
    <x v="2"/>
    <x v="914"/>
    <x v="3"/>
    <s v="TX300926"/>
    <s v="C2"/>
    <x v="0"/>
    <s v="Afternoon"/>
    <s v="Thursday"/>
    <x v="923"/>
  </r>
  <r>
    <x v="322"/>
    <s v="19:04"/>
    <s v="S4"/>
    <x v="1"/>
    <x v="2"/>
    <x v="0"/>
    <x v="915"/>
    <x v="1"/>
    <s v="TX300927"/>
    <s v="C4"/>
    <x v="3"/>
    <s v="Evening"/>
    <s v="Tuesday"/>
    <x v="924"/>
  </r>
  <r>
    <x v="387"/>
    <s v="18:09"/>
    <s v="S1"/>
    <x v="3"/>
    <x v="3"/>
    <x v="2"/>
    <x v="916"/>
    <x v="3"/>
    <s v="TX300928"/>
    <s v="C3"/>
    <x v="3"/>
    <s v="Evening"/>
    <s v="Thursday"/>
    <x v="925"/>
  </r>
  <r>
    <x v="572"/>
    <s v="20:03"/>
    <s v="S2"/>
    <x v="3"/>
    <x v="0"/>
    <x v="2"/>
    <x v="917"/>
    <x v="1"/>
    <s v="TX300929"/>
    <s v="C4"/>
    <x v="1"/>
    <s v="Evening"/>
    <s v="Saturday"/>
    <x v="926"/>
  </r>
  <r>
    <x v="110"/>
    <s v="9:55"/>
    <s v="S10"/>
    <x v="3"/>
    <x v="1"/>
    <x v="0"/>
    <x v="918"/>
    <x v="2"/>
    <s v="TX300930"/>
    <s v="C2"/>
    <x v="1"/>
    <s v="Morning"/>
    <s v="Tuesday"/>
    <x v="927"/>
  </r>
  <r>
    <x v="596"/>
    <s v="20:13"/>
    <s v="S9"/>
    <x v="0"/>
    <x v="5"/>
    <x v="6"/>
    <x v="919"/>
    <x v="3"/>
    <s v="TX300931"/>
    <s v="C5"/>
    <x v="0"/>
    <s v="Evening"/>
    <s v="Monday"/>
    <x v="928"/>
  </r>
  <r>
    <x v="597"/>
    <s v="19:48"/>
    <s v="S8"/>
    <x v="2"/>
    <x v="5"/>
    <x v="4"/>
    <x v="920"/>
    <x v="1"/>
    <s v="TX300932"/>
    <s v="C5"/>
    <x v="0"/>
    <s v="Evening"/>
    <s v="Thursday"/>
    <x v="214"/>
  </r>
  <r>
    <x v="530"/>
    <s v="18:04"/>
    <s v="S5"/>
    <x v="2"/>
    <x v="5"/>
    <x v="7"/>
    <x v="921"/>
    <x v="3"/>
    <s v="TX300933"/>
    <s v="C4"/>
    <x v="1"/>
    <s v="Evening"/>
    <s v="Monday"/>
    <x v="929"/>
  </r>
  <r>
    <x v="408"/>
    <s v="13:28"/>
    <s v="S1"/>
    <x v="2"/>
    <x v="4"/>
    <x v="5"/>
    <x v="922"/>
    <x v="4"/>
    <s v="TX300934"/>
    <s v="C3"/>
    <x v="3"/>
    <s v="Afternoon"/>
    <s v="Monday"/>
    <x v="930"/>
  </r>
  <r>
    <x v="418"/>
    <s v="14:12"/>
    <s v="S8"/>
    <x v="0"/>
    <x v="5"/>
    <x v="4"/>
    <x v="923"/>
    <x v="2"/>
    <s v="TX300935"/>
    <s v="C3"/>
    <x v="0"/>
    <s v="Afternoon"/>
    <s v="Thursday"/>
    <x v="931"/>
  </r>
  <r>
    <x v="44"/>
    <s v="16:16"/>
    <s v="S4"/>
    <x v="2"/>
    <x v="4"/>
    <x v="7"/>
    <x v="924"/>
    <x v="3"/>
    <s v="TX300936"/>
    <s v="C4"/>
    <x v="2"/>
    <s v="Afternoon"/>
    <s v="Monday"/>
    <x v="424"/>
  </r>
  <r>
    <x v="92"/>
    <s v="13:42"/>
    <s v="S8"/>
    <x v="2"/>
    <x v="2"/>
    <x v="2"/>
    <x v="925"/>
    <x v="2"/>
    <s v="TX300937"/>
    <s v="C2"/>
    <x v="2"/>
    <s v="Afternoon"/>
    <s v="Thursday"/>
    <x v="932"/>
  </r>
  <r>
    <x v="598"/>
    <s v="9:10"/>
    <s v="S2"/>
    <x v="2"/>
    <x v="1"/>
    <x v="5"/>
    <x v="926"/>
    <x v="1"/>
    <s v="TX300938"/>
    <s v="C1"/>
    <x v="0"/>
    <s v="Morning"/>
    <s v="Saturday"/>
    <x v="933"/>
  </r>
  <r>
    <x v="599"/>
    <s v="16:26"/>
    <s v="S10"/>
    <x v="3"/>
    <x v="0"/>
    <x v="5"/>
    <x v="927"/>
    <x v="2"/>
    <s v="TX300939"/>
    <s v="C1"/>
    <x v="3"/>
    <s v="Afternoon"/>
    <s v="Saturday"/>
    <x v="934"/>
  </r>
  <r>
    <x v="385"/>
    <s v="18:39"/>
    <s v="S5"/>
    <x v="2"/>
    <x v="5"/>
    <x v="1"/>
    <x v="928"/>
    <x v="3"/>
    <s v="TX300940"/>
    <s v="C2"/>
    <x v="3"/>
    <s v="Evening"/>
    <s v="Wednesday"/>
    <x v="935"/>
  </r>
  <r>
    <x v="139"/>
    <s v="13:33"/>
    <s v="S1"/>
    <x v="1"/>
    <x v="6"/>
    <x v="8"/>
    <x v="929"/>
    <x v="0"/>
    <s v="TX300941"/>
    <s v="C1"/>
    <x v="1"/>
    <s v="Afternoon"/>
    <s v="Sunday"/>
    <x v="936"/>
  </r>
  <r>
    <x v="41"/>
    <s v="14:35"/>
    <s v="S3"/>
    <x v="2"/>
    <x v="0"/>
    <x v="2"/>
    <x v="930"/>
    <x v="4"/>
    <s v="TX300942"/>
    <s v="C1"/>
    <x v="2"/>
    <s v="Afternoon"/>
    <s v="Sunday"/>
    <x v="937"/>
  </r>
  <r>
    <x v="509"/>
    <s v="10:04"/>
    <s v="S3"/>
    <x v="1"/>
    <x v="5"/>
    <x v="3"/>
    <x v="931"/>
    <x v="0"/>
    <s v="TX300943"/>
    <s v="C1"/>
    <x v="2"/>
    <s v="Morning"/>
    <s v="Wednesday"/>
    <x v="938"/>
  </r>
  <r>
    <x v="252"/>
    <s v="9:44"/>
    <s v="S2"/>
    <x v="1"/>
    <x v="5"/>
    <x v="3"/>
    <x v="932"/>
    <x v="0"/>
    <s v="TX300944"/>
    <s v="C1"/>
    <x v="2"/>
    <s v="Morning"/>
    <s v="Saturday"/>
    <x v="939"/>
  </r>
  <r>
    <x v="439"/>
    <s v="15:05"/>
    <s v="S8"/>
    <x v="1"/>
    <x v="0"/>
    <x v="9"/>
    <x v="654"/>
    <x v="4"/>
    <s v="TX300945"/>
    <s v="C4"/>
    <x v="2"/>
    <s v="Afternoon"/>
    <s v="Tuesday"/>
    <x v="940"/>
  </r>
  <r>
    <x v="416"/>
    <s v="16:16"/>
    <s v="S10"/>
    <x v="2"/>
    <x v="6"/>
    <x v="6"/>
    <x v="933"/>
    <x v="1"/>
    <s v="TX300946"/>
    <s v="C4"/>
    <x v="0"/>
    <s v="Afternoon"/>
    <s v="Thursday"/>
    <x v="941"/>
  </r>
  <r>
    <x v="600"/>
    <s v="15:17"/>
    <s v="S4"/>
    <x v="3"/>
    <x v="0"/>
    <x v="7"/>
    <x v="934"/>
    <x v="3"/>
    <s v="TX300947"/>
    <s v="C1"/>
    <x v="3"/>
    <s v="Afternoon"/>
    <s v="Saturday"/>
    <x v="942"/>
  </r>
  <r>
    <x v="601"/>
    <s v="14:34"/>
    <s v="S1"/>
    <x v="1"/>
    <x v="2"/>
    <x v="6"/>
    <x v="935"/>
    <x v="1"/>
    <s v="TX300948"/>
    <s v="C3"/>
    <x v="1"/>
    <s v="Afternoon"/>
    <s v="Thursday"/>
    <x v="943"/>
  </r>
  <r>
    <x v="39"/>
    <s v="9:18"/>
    <s v="S1"/>
    <x v="1"/>
    <x v="2"/>
    <x v="7"/>
    <x v="936"/>
    <x v="0"/>
    <s v="TX300949"/>
    <s v="C5"/>
    <x v="1"/>
    <s v="Morning"/>
    <s v="Thursday"/>
    <x v="944"/>
  </r>
  <r>
    <x v="3"/>
    <s v="18:31"/>
    <s v="S10"/>
    <x v="3"/>
    <x v="4"/>
    <x v="0"/>
    <x v="937"/>
    <x v="4"/>
    <s v="TX300950"/>
    <s v="C4"/>
    <x v="0"/>
    <s v="Evening"/>
    <s v="Saturday"/>
    <x v="945"/>
  </r>
  <r>
    <x v="602"/>
    <s v="14:13"/>
    <s v="S4"/>
    <x v="2"/>
    <x v="6"/>
    <x v="5"/>
    <x v="938"/>
    <x v="1"/>
    <s v="TX300951"/>
    <s v="C2"/>
    <x v="2"/>
    <s v="Afternoon"/>
    <s v="Wednesday"/>
    <x v="946"/>
  </r>
  <r>
    <x v="358"/>
    <s v="20:30"/>
    <s v="S10"/>
    <x v="3"/>
    <x v="0"/>
    <x v="9"/>
    <x v="939"/>
    <x v="4"/>
    <s v="TX300952"/>
    <s v="C5"/>
    <x v="0"/>
    <s v="Evening"/>
    <s v="Sunday"/>
    <x v="947"/>
  </r>
  <r>
    <x v="603"/>
    <s v="11:28"/>
    <s v="S3"/>
    <x v="1"/>
    <x v="1"/>
    <x v="4"/>
    <x v="940"/>
    <x v="3"/>
    <s v="TX300953"/>
    <s v="C4"/>
    <x v="1"/>
    <s v="Morning"/>
    <s v="Wednesday"/>
    <x v="948"/>
  </r>
  <r>
    <x v="19"/>
    <s v="20:50"/>
    <s v="S6"/>
    <x v="0"/>
    <x v="2"/>
    <x v="2"/>
    <x v="941"/>
    <x v="3"/>
    <s v="TX300954"/>
    <s v="C2"/>
    <x v="1"/>
    <s v="Evening"/>
    <s v="Wednesday"/>
    <x v="949"/>
  </r>
  <r>
    <x v="604"/>
    <s v="18:33"/>
    <s v="S5"/>
    <x v="3"/>
    <x v="2"/>
    <x v="9"/>
    <x v="942"/>
    <x v="4"/>
    <s v="TX300955"/>
    <s v="C1"/>
    <x v="1"/>
    <s v="Evening"/>
    <s v="Monday"/>
    <x v="950"/>
  </r>
  <r>
    <x v="223"/>
    <s v="15:18"/>
    <s v="S1"/>
    <x v="0"/>
    <x v="5"/>
    <x v="6"/>
    <x v="943"/>
    <x v="2"/>
    <s v="TX300956"/>
    <s v="C3"/>
    <x v="2"/>
    <s v="Afternoon"/>
    <s v="Monday"/>
    <x v="951"/>
  </r>
  <r>
    <x v="188"/>
    <s v="10:31"/>
    <s v="S2"/>
    <x v="2"/>
    <x v="3"/>
    <x v="6"/>
    <x v="944"/>
    <x v="1"/>
    <s v="TX300957"/>
    <s v="C2"/>
    <x v="2"/>
    <s v="Morning"/>
    <s v="Thursday"/>
    <x v="952"/>
  </r>
  <r>
    <x v="605"/>
    <s v="20:43"/>
    <s v="S4"/>
    <x v="1"/>
    <x v="3"/>
    <x v="3"/>
    <x v="945"/>
    <x v="4"/>
    <s v="TX300958"/>
    <s v="C3"/>
    <x v="0"/>
    <s v="Evening"/>
    <s v="Friday"/>
    <x v="953"/>
  </r>
  <r>
    <x v="96"/>
    <s v="18:13"/>
    <s v="S8"/>
    <x v="1"/>
    <x v="0"/>
    <x v="1"/>
    <x v="946"/>
    <x v="1"/>
    <s v="TX300959"/>
    <s v="C3"/>
    <x v="2"/>
    <s v="Evening"/>
    <s v="Thursday"/>
    <x v="954"/>
  </r>
  <r>
    <x v="302"/>
    <s v="16:50"/>
    <s v="S1"/>
    <x v="2"/>
    <x v="5"/>
    <x v="3"/>
    <x v="947"/>
    <x v="4"/>
    <s v="TX300960"/>
    <s v="C5"/>
    <x v="2"/>
    <s v="Afternoon"/>
    <s v="Sunday"/>
    <x v="955"/>
  </r>
  <r>
    <x v="493"/>
    <s v="16:42"/>
    <s v="S4"/>
    <x v="2"/>
    <x v="2"/>
    <x v="0"/>
    <x v="948"/>
    <x v="4"/>
    <s v="TX300961"/>
    <s v="C1"/>
    <x v="2"/>
    <s v="Afternoon"/>
    <s v="Monday"/>
    <x v="956"/>
  </r>
  <r>
    <x v="270"/>
    <s v="15:20"/>
    <s v="S2"/>
    <x v="0"/>
    <x v="3"/>
    <x v="7"/>
    <x v="949"/>
    <x v="4"/>
    <s v="TX300962"/>
    <s v="C1"/>
    <x v="2"/>
    <s v="Afternoon"/>
    <s v="Tuesday"/>
    <x v="957"/>
  </r>
  <r>
    <x v="606"/>
    <s v="9:43"/>
    <s v="S9"/>
    <x v="2"/>
    <x v="0"/>
    <x v="7"/>
    <x v="950"/>
    <x v="1"/>
    <s v="TX300963"/>
    <s v="C2"/>
    <x v="1"/>
    <s v="Morning"/>
    <s v="Thursday"/>
    <x v="958"/>
  </r>
  <r>
    <x v="607"/>
    <s v="21:25"/>
    <s v="S1"/>
    <x v="0"/>
    <x v="6"/>
    <x v="6"/>
    <x v="951"/>
    <x v="3"/>
    <s v="TX300964"/>
    <s v="C5"/>
    <x v="1"/>
    <s v="Evening"/>
    <s v="Wednesday"/>
    <x v="959"/>
  </r>
  <r>
    <x v="491"/>
    <s v="16:06"/>
    <s v="S10"/>
    <x v="2"/>
    <x v="0"/>
    <x v="8"/>
    <x v="952"/>
    <x v="4"/>
    <s v="TX300965"/>
    <s v="C2"/>
    <x v="2"/>
    <s v="Afternoon"/>
    <s v="Wednesday"/>
    <x v="960"/>
  </r>
  <r>
    <x v="324"/>
    <s v="10:13"/>
    <s v="S9"/>
    <x v="1"/>
    <x v="4"/>
    <x v="8"/>
    <x v="953"/>
    <x v="3"/>
    <s v="TX300966"/>
    <s v="C3"/>
    <x v="0"/>
    <s v="Morning"/>
    <s v="Monday"/>
    <x v="961"/>
  </r>
  <r>
    <x v="28"/>
    <s v="17:06"/>
    <s v="S1"/>
    <x v="2"/>
    <x v="6"/>
    <x v="8"/>
    <x v="954"/>
    <x v="4"/>
    <s v="TX300967"/>
    <s v="C5"/>
    <x v="3"/>
    <s v="Evening"/>
    <s v="Thursday"/>
    <x v="962"/>
  </r>
  <r>
    <x v="589"/>
    <s v="18:53"/>
    <s v="S4"/>
    <x v="2"/>
    <x v="6"/>
    <x v="9"/>
    <x v="955"/>
    <x v="2"/>
    <s v="TX300968"/>
    <s v="C3"/>
    <x v="2"/>
    <s v="Evening"/>
    <s v="Monday"/>
    <x v="963"/>
  </r>
  <r>
    <x v="476"/>
    <s v="14:00"/>
    <s v="S8"/>
    <x v="2"/>
    <x v="2"/>
    <x v="0"/>
    <x v="956"/>
    <x v="4"/>
    <s v="TX300969"/>
    <s v="C2"/>
    <x v="0"/>
    <s v="Afternoon"/>
    <s v="Friday"/>
    <x v="964"/>
  </r>
  <r>
    <x v="379"/>
    <s v="13:57"/>
    <s v="S5"/>
    <x v="2"/>
    <x v="3"/>
    <x v="3"/>
    <x v="957"/>
    <x v="3"/>
    <s v="TX300970"/>
    <s v="C3"/>
    <x v="0"/>
    <s v="Afternoon"/>
    <s v="Wednesday"/>
    <x v="965"/>
  </r>
  <r>
    <x v="280"/>
    <s v="12:45"/>
    <s v="S2"/>
    <x v="1"/>
    <x v="4"/>
    <x v="7"/>
    <x v="958"/>
    <x v="1"/>
    <s v="TX300971"/>
    <s v="C3"/>
    <x v="2"/>
    <s v="Afternoon"/>
    <s v="Friday"/>
    <x v="966"/>
  </r>
  <r>
    <x v="515"/>
    <s v="11:54"/>
    <s v="S9"/>
    <x v="3"/>
    <x v="2"/>
    <x v="5"/>
    <x v="959"/>
    <x v="0"/>
    <s v="TX300972"/>
    <s v="C4"/>
    <x v="3"/>
    <s v="Morning"/>
    <s v="Wednesday"/>
    <x v="967"/>
  </r>
  <r>
    <x v="574"/>
    <s v="16:04"/>
    <s v="S10"/>
    <x v="1"/>
    <x v="4"/>
    <x v="3"/>
    <x v="758"/>
    <x v="2"/>
    <s v="TX300973"/>
    <s v="C1"/>
    <x v="2"/>
    <s v="Afternoon"/>
    <s v="Tuesday"/>
    <x v="968"/>
  </r>
  <r>
    <x v="136"/>
    <s v="9:46"/>
    <s v="S2"/>
    <x v="3"/>
    <x v="3"/>
    <x v="5"/>
    <x v="960"/>
    <x v="0"/>
    <s v="TX300974"/>
    <s v="C3"/>
    <x v="2"/>
    <s v="Morning"/>
    <s v="Sunday"/>
    <x v="969"/>
  </r>
  <r>
    <x v="286"/>
    <s v="9:15"/>
    <s v="S2"/>
    <x v="3"/>
    <x v="2"/>
    <x v="3"/>
    <x v="961"/>
    <x v="4"/>
    <s v="TX300975"/>
    <s v="C3"/>
    <x v="2"/>
    <s v="Morning"/>
    <s v="Monday"/>
    <x v="201"/>
  </r>
  <r>
    <x v="457"/>
    <s v="18:22"/>
    <s v="S2"/>
    <x v="1"/>
    <x v="3"/>
    <x v="9"/>
    <x v="962"/>
    <x v="1"/>
    <s v="TX300976"/>
    <s v="C1"/>
    <x v="0"/>
    <s v="Evening"/>
    <s v="Saturday"/>
    <x v="970"/>
  </r>
  <r>
    <x v="314"/>
    <s v="13:06"/>
    <s v="S9"/>
    <x v="1"/>
    <x v="4"/>
    <x v="0"/>
    <x v="963"/>
    <x v="2"/>
    <s v="TX300977"/>
    <s v="C1"/>
    <x v="1"/>
    <s v="Afternoon"/>
    <s v="Saturday"/>
    <x v="971"/>
  </r>
  <r>
    <x v="351"/>
    <s v="20:53"/>
    <s v="S10"/>
    <x v="0"/>
    <x v="4"/>
    <x v="2"/>
    <x v="964"/>
    <x v="2"/>
    <s v="TX300978"/>
    <s v="C3"/>
    <x v="2"/>
    <s v="Evening"/>
    <s v="Wednesday"/>
    <x v="972"/>
  </r>
  <r>
    <x v="235"/>
    <s v="10:28"/>
    <s v="S10"/>
    <x v="0"/>
    <x v="5"/>
    <x v="5"/>
    <x v="965"/>
    <x v="4"/>
    <s v="TX300979"/>
    <s v="C4"/>
    <x v="1"/>
    <s v="Morning"/>
    <s v="Tuesday"/>
    <x v="973"/>
  </r>
  <r>
    <x v="440"/>
    <s v="16:26"/>
    <s v="S3"/>
    <x v="1"/>
    <x v="5"/>
    <x v="7"/>
    <x v="966"/>
    <x v="4"/>
    <s v="TX300980"/>
    <s v="C1"/>
    <x v="0"/>
    <s v="Afternoon"/>
    <s v="Friday"/>
    <x v="974"/>
  </r>
  <r>
    <x v="119"/>
    <s v="9:25"/>
    <s v="S4"/>
    <x v="0"/>
    <x v="4"/>
    <x v="3"/>
    <x v="967"/>
    <x v="3"/>
    <s v="TX300981"/>
    <s v="C5"/>
    <x v="0"/>
    <s v="Morning"/>
    <s v="Thursday"/>
    <x v="975"/>
  </r>
  <r>
    <x v="420"/>
    <s v="18:11"/>
    <s v="S9"/>
    <x v="2"/>
    <x v="6"/>
    <x v="0"/>
    <x v="968"/>
    <x v="3"/>
    <s v="TX300982"/>
    <s v="C1"/>
    <x v="2"/>
    <s v="Evening"/>
    <s v="Wednesday"/>
    <x v="976"/>
  </r>
  <r>
    <x v="608"/>
    <s v="13:17"/>
    <s v="S9"/>
    <x v="3"/>
    <x v="3"/>
    <x v="9"/>
    <x v="969"/>
    <x v="3"/>
    <s v="TX300983"/>
    <s v="C5"/>
    <x v="1"/>
    <s v="Afternoon"/>
    <s v="Sunday"/>
    <x v="977"/>
  </r>
  <r>
    <x v="500"/>
    <s v="15:34"/>
    <s v="S4"/>
    <x v="0"/>
    <x v="0"/>
    <x v="5"/>
    <x v="970"/>
    <x v="0"/>
    <s v="TX300984"/>
    <s v="C2"/>
    <x v="3"/>
    <s v="Afternoon"/>
    <s v="Wednesday"/>
    <x v="978"/>
  </r>
  <r>
    <x v="609"/>
    <s v="11:00"/>
    <s v="S9"/>
    <x v="1"/>
    <x v="3"/>
    <x v="5"/>
    <x v="971"/>
    <x v="3"/>
    <s v="TX300985"/>
    <s v="C4"/>
    <x v="1"/>
    <s v="Morning"/>
    <s v="Friday"/>
    <x v="979"/>
  </r>
  <r>
    <x v="466"/>
    <s v="17:24"/>
    <s v="S7"/>
    <x v="0"/>
    <x v="6"/>
    <x v="1"/>
    <x v="972"/>
    <x v="4"/>
    <s v="TX300986"/>
    <s v="C2"/>
    <x v="0"/>
    <s v="Evening"/>
    <s v="Wednesday"/>
    <x v="980"/>
  </r>
  <r>
    <x v="453"/>
    <s v="15:53"/>
    <s v="S4"/>
    <x v="0"/>
    <x v="4"/>
    <x v="4"/>
    <x v="973"/>
    <x v="1"/>
    <s v="TX300987"/>
    <s v="C5"/>
    <x v="1"/>
    <s v="Afternoon"/>
    <s v="Thursday"/>
    <x v="981"/>
  </r>
  <r>
    <x v="401"/>
    <s v="9:21"/>
    <s v="S6"/>
    <x v="3"/>
    <x v="2"/>
    <x v="3"/>
    <x v="974"/>
    <x v="3"/>
    <s v="TX300988"/>
    <s v="C2"/>
    <x v="2"/>
    <s v="Morning"/>
    <s v="Thursday"/>
    <x v="982"/>
  </r>
  <r>
    <x v="610"/>
    <s v="14:37"/>
    <s v="S10"/>
    <x v="0"/>
    <x v="5"/>
    <x v="3"/>
    <x v="975"/>
    <x v="3"/>
    <s v="TX300989"/>
    <s v="C5"/>
    <x v="0"/>
    <s v="Afternoon"/>
    <s v="Monday"/>
    <x v="983"/>
  </r>
  <r>
    <x v="422"/>
    <s v="10:05"/>
    <s v="S9"/>
    <x v="1"/>
    <x v="1"/>
    <x v="8"/>
    <x v="976"/>
    <x v="1"/>
    <s v="TX300990"/>
    <s v="C5"/>
    <x v="0"/>
    <s v="Morning"/>
    <s v="Sunday"/>
    <x v="984"/>
  </r>
  <r>
    <x v="256"/>
    <s v="19:23"/>
    <s v="S6"/>
    <x v="0"/>
    <x v="1"/>
    <x v="3"/>
    <x v="977"/>
    <x v="0"/>
    <s v="TX300991"/>
    <s v="C1"/>
    <x v="1"/>
    <s v="Evening"/>
    <s v="Wednesday"/>
    <x v="985"/>
  </r>
  <r>
    <x v="96"/>
    <s v="13:39"/>
    <s v="S6"/>
    <x v="0"/>
    <x v="0"/>
    <x v="4"/>
    <x v="978"/>
    <x v="3"/>
    <s v="TX300992"/>
    <s v="C4"/>
    <x v="0"/>
    <s v="Afternoon"/>
    <s v="Thursday"/>
    <x v="986"/>
  </r>
  <r>
    <x v="159"/>
    <s v="21:03"/>
    <s v="S1"/>
    <x v="2"/>
    <x v="3"/>
    <x v="2"/>
    <x v="979"/>
    <x v="2"/>
    <s v="TX300993"/>
    <s v="C2"/>
    <x v="0"/>
    <s v="Evening"/>
    <s v="Wednesday"/>
    <x v="987"/>
  </r>
  <r>
    <x v="573"/>
    <s v="20:00"/>
    <s v="S8"/>
    <x v="1"/>
    <x v="6"/>
    <x v="4"/>
    <x v="980"/>
    <x v="3"/>
    <s v="TX300994"/>
    <s v="C5"/>
    <x v="0"/>
    <s v="Evening"/>
    <s v="Monday"/>
    <x v="988"/>
  </r>
  <r>
    <x v="611"/>
    <s v="13:22"/>
    <s v="S1"/>
    <x v="1"/>
    <x v="5"/>
    <x v="2"/>
    <x v="981"/>
    <x v="0"/>
    <s v="TX300995"/>
    <s v="C4"/>
    <x v="0"/>
    <s v="Afternoon"/>
    <s v="Monday"/>
    <x v="989"/>
  </r>
  <r>
    <x v="612"/>
    <s v="18:40"/>
    <s v="S1"/>
    <x v="2"/>
    <x v="0"/>
    <x v="6"/>
    <x v="982"/>
    <x v="1"/>
    <s v="TX300996"/>
    <s v="C3"/>
    <x v="0"/>
    <s v="Evening"/>
    <s v="Sunday"/>
    <x v="990"/>
  </r>
  <r>
    <x v="88"/>
    <s v="20:19"/>
    <s v="S6"/>
    <x v="1"/>
    <x v="3"/>
    <x v="8"/>
    <x v="983"/>
    <x v="4"/>
    <s v="TX300997"/>
    <s v="C5"/>
    <x v="2"/>
    <s v="Evening"/>
    <s v="Tuesday"/>
    <x v="991"/>
  </r>
  <r>
    <x v="359"/>
    <s v="21:30"/>
    <s v="S6"/>
    <x v="0"/>
    <x v="3"/>
    <x v="8"/>
    <x v="984"/>
    <x v="3"/>
    <s v="TX300998"/>
    <s v="C2"/>
    <x v="0"/>
    <s v="Evening"/>
    <s v="Sunday"/>
    <x v="992"/>
  </r>
  <r>
    <x v="613"/>
    <s v="21:04"/>
    <s v="S6"/>
    <x v="2"/>
    <x v="5"/>
    <x v="5"/>
    <x v="985"/>
    <x v="3"/>
    <s v="TX300999"/>
    <s v="C3"/>
    <x v="3"/>
    <s v="Evening"/>
    <s v="Sunday"/>
    <x v="993"/>
  </r>
  <r>
    <x v="614"/>
    <s v="20:08"/>
    <s v="S2"/>
    <x v="3"/>
    <x v="6"/>
    <x v="2"/>
    <x v="986"/>
    <x v="4"/>
    <s v="TX301000"/>
    <s v="C2"/>
    <x v="1"/>
    <s v="Evening"/>
    <s v="Saturday"/>
    <x v="994"/>
  </r>
  <r>
    <x v="615"/>
    <s v="10:46"/>
    <s v="S8"/>
    <x v="3"/>
    <x v="1"/>
    <x v="7"/>
    <x v="987"/>
    <x v="2"/>
    <s v="TX301001"/>
    <s v="C3"/>
    <x v="3"/>
    <s v="Morning"/>
    <s v="Sunday"/>
    <x v="995"/>
  </r>
  <r>
    <x v="546"/>
    <s v="13:54"/>
    <s v="S4"/>
    <x v="2"/>
    <x v="1"/>
    <x v="1"/>
    <x v="988"/>
    <x v="3"/>
    <s v="TX301002"/>
    <s v="C2"/>
    <x v="0"/>
    <s v="Afternoon"/>
    <s v="Thursday"/>
    <x v="996"/>
  </r>
  <r>
    <x v="172"/>
    <s v="15:00"/>
    <s v="S2"/>
    <x v="1"/>
    <x v="1"/>
    <x v="4"/>
    <x v="989"/>
    <x v="3"/>
    <s v="TX301003"/>
    <s v="C1"/>
    <x v="1"/>
    <s v="Afternoon"/>
    <s v="Sunday"/>
    <x v="997"/>
  </r>
  <r>
    <x v="70"/>
    <s v="18:00"/>
    <s v="S1"/>
    <x v="3"/>
    <x v="2"/>
    <x v="9"/>
    <x v="990"/>
    <x v="4"/>
    <s v="TX301004"/>
    <s v="C2"/>
    <x v="1"/>
    <s v="Evening"/>
    <s v="Saturday"/>
    <x v="998"/>
  </r>
  <r>
    <x v="388"/>
    <s v="14:07"/>
    <s v="S2"/>
    <x v="1"/>
    <x v="4"/>
    <x v="4"/>
    <x v="991"/>
    <x v="2"/>
    <s v="TX301005"/>
    <s v="C4"/>
    <x v="3"/>
    <s v="Afternoon"/>
    <s v="Saturday"/>
    <x v="999"/>
  </r>
  <r>
    <x v="616"/>
    <s v="16:58"/>
    <s v="S8"/>
    <x v="1"/>
    <x v="0"/>
    <x v="7"/>
    <x v="992"/>
    <x v="4"/>
    <s v="TX301006"/>
    <s v="C5"/>
    <x v="2"/>
    <s v="Afternoon"/>
    <s v="Thursday"/>
    <x v="1000"/>
  </r>
  <r>
    <x v="147"/>
    <s v="14:05"/>
    <s v="S7"/>
    <x v="1"/>
    <x v="1"/>
    <x v="4"/>
    <x v="993"/>
    <x v="2"/>
    <s v="TX301007"/>
    <s v="C5"/>
    <x v="3"/>
    <s v="Afternoon"/>
    <s v="Friday"/>
    <x v="1001"/>
  </r>
  <r>
    <x v="617"/>
    <s v="11:30"/>
    <s v="S9"/>
    <x v="3"/>
    <x v="6"/>
    <x v="6"/>
    <x v="994"/>
    <x v="0"/>
    <s v="TX301008"/>
    <s v="C1"/>
    <x v="1"/>
    <s v="Morning"/>
    <s v="Saturday"/>
    <x v="1002"/>
  </r>
  <r>
    <x v="618"/>
    <s v="10:35"/>
    <s v="S2"/>
    <x v="2"/>
    <x v="0"/>
    <x v="0"/>
    <x v="995"/>
    <x v="4"/>
    <s v="TX301009"/>
    <s v="C4"/>
    <x v="3"/>
    <s v="Morning"/>
    <s v="Tuesday"/>
    <x v="1003"/>
  </r>
  <r>
    <x v="619"/>
    <s v="20:11"/>
    <s v="S5"/>
    <x v="3"/>
    <x v="1"/>
    <x v="2"/>
    <x v="996"/>
    <x v="4"/>
    <s v="TX301010"/>
    <s v="C3"/>
    <x v="3"/>
    <s v="Evening"/>
    <s v="Monday"/>
    <x v="1004"/>
  </r>
  <r>
    <x v="620"/>
    <s v="21:55"/>
    <s v="S5"/>
    <x v="2"/>
    <x v="0"/>
    <x v="3"/>
    <x v="997"/>
    <x v="2"/>
    <s v="TX301011"/>
    <s v="C5"/>
    <x v="2"/>
    <s v="Evening"/>
    <s v="Friday"/>
    <x v="1005"/>
  </r>
  <r>
    <x v="577"/>
    <s v="16:27"/>
    <s v="S5"/>
    <x v="3"/>
    <x v="4"/>
    <x v="5"/>
    <x v="998"/>
    <x v="2"/>
    <s v="TX301012"/>
    <s v="C2"/>
    <x v="3"/>
    <s v="Afternoon"/>
    <s v="Friday"/>
    <x v="1006"/>
  </r>
  <r>
    <x v="621"/>
    <s v="15:19"/>
    <s v="S7"/>
    <x v="2"/>
    <x v="0"/>
    <x v="1"/>
    <x v="999"/>
    <x v="4"/>
    <s v="TX301013"/>
    <s v="C4"/>
    <x v="0"/>
    <s v="Afternoon"/>
    <s v="Friday"/>
    <x v="1007"/>
  </r>
  <r>
    <x v="622"/>
    <s v="21:08"/>
    <s v="S8"/>
    <x v="2"/>
    <x v="3"/>
    <x v="3"/>
    <x v="1000"/>
    <x v="1"/>
    <s v="TX301014"/>
    <s v="C4"/>
    <x v="3"/>
    <s v="Evening"/>
    <s v="Saturday"/>
    <x v="1008"/>
  </r>
  <r>
    <x v="623"/>
    <s v="9:50"/>
    <s v="S7"/>
    <x v="0"/>
    <x v="1"/>
    <x v="3"/>
    <x v="1001"/>
    <x v="1"/>
    <s v="TX301015"/>
    <s v="C4"/>
    <x v="3"/>
    <s v="Morning"/>
    <s v="Tuesday"/>
    <x v="1009"/>
  </r>
  <r>
    <x v="296"/>
    <s v="9:17"/>
    <s v="S6"/>
    <x v="0"/>
    <x v="0"/>
    <x v="9"/>
    <x v="1002"/>
    <x v="3"/>
    <s v="TX301016"/>
    <s v="C4"/>
    <x v="3"/>
    <s v="Morning"/>
    <s v="Wednesday"/>
    <x v="1010"/>
  </r>
  <r>
    <x v="272"/>
    <s v="20:47"/>
    <s v="S3"/>
    <x v="1"/>
    <x v="5"/>
    <x v="8"/>
    <x v="1003"/>
    <x v="3"/>
    <s v="TX301017"/>
    <s v="C5"/>
    <x v="2"/>
    <s v="Evening"/>
    <s v="Monday"/>
    <x v="1011"/>
  </r>
  <r>
    <x v="4"/>
    <s v="20:22"/>
    <s v="S7"/>
    <x v="3"/>
    <x v="2"/>
    <x v="7"/>
    <x v="1004"/>
    <x v="4"/>
    <s v="TX301018"/>
    <s v="C4"/>
    <x v="3"/>
    <s v="Evening"/>
    <s v="Monday"/>
    <x v="1012"/>
  </r>
  <r>
    <x v="66"/>
    <s v="19:11"/>
    <s v="S10"/>
    <x v="2"/>
    <x v="1"/>
    <x v="3"/>
    <x v="1005"/>
    <x v="0"/>
    <s v="TX301019"/>
    <s v="C1"/>
    <x v="0"/>
    <s v="Evening"/>
    <s v="Thursday"/>
    <x v="1013"/>
  </r>
  <r>
    <x v="259"/>
    <s v="20:05"/>
    <s v="S5"/>
    <x v="0"/>
    <x v="2"/>
    <x v="6"/>
    <x v="1006"/>
    <x v="0"/>
    <s v="TX301020"/>
    <s v="C4"/>
    <x v="1"/>
    <s v="Evening"/>
    <s v="Thursday"/>
    <x v="1014"/>
  </r>
  <r>
    <x v="413"/>
    <s v="9:54"/>
    <s v="S8"/>
    <x v="0"/>
    <x v="2"/>
    <x v="8"/>
    <x v="1007"/>
    <x v="2"/>
    <s v="TX301021"/>
    <s v="C2"/>
    <x v="2"/>
    <s v="Morning"/>
    <s v="Sunday"/>
    <x v="1015"/>
  </r>
  <r>
    <x v="453"/>
    <s v="12:04"/>
    <s v="S7"/>
    <x v="0"/>
    <x v="3"/>
    <x v="7"/>
    <x v="1008"/>
    <x v="4"/>
    <s v="TX301022"/>
    <s v="C3"/>
    <x v="1"/>
    <s v="Afternoon"/>
    <s v="Thursday"/>
    <x v="1016"/>
  </r>
  <r>
    <x v="624"/>
    <s v="17:23"/>
    <s v="S10"/>
    <x v="0"/>
    <x v="4"/>
    <x v="3"/>
    <x v="1009"/>
    <x v="1"/>
    <s v="TX301023"/>
    <s v="C1"/>
    <x v="0"/>
    <s v="Evening"/>
    <s v="Tuesday"/>
    <x v="1017"/>
  </r>
  <r>
    <x v="625"/>
    <s v="20:28"/>
    <s v="S9"/>
    <x v="3"/>
    <x v="3"/>
    <x v="8"/>
    <x v="1010"/>
    <x v="3"/>
    <s v="TX301024"/>
    <s v="C4"/>
    <x v="1"/>
    <s v="Evening"/>
    <s v="Sunday"/>
    <x v="1018"/>
  </r>
  <r>
    <x v="330"/>
    <s v="17:04"/>
    <s v="S6"/>
    <x v="1"/>
    <x v="4"/>
    <x v="8"/>
    <x v="1011"/>
    <x v="4"/>
    <s v="TX301025"/>
    <s v="C5"/>
    <x v="2"/>
    <s v="Evening"/>
    <s v="Wednesday"/>
    <x v="1019"/>
  </r>
  <r>
    <x v="626"/>
    <s v="19:43"/>
    <s v="S3"/>
    <x v="0"/>
    <x v="5"/>
    <x v="7"/>
    <x v="1012"/>
    <x v="0"/>
    <s v="TX301026"/>
    <s v="C5"/>
    <x v="2"/>
    <s v="Evening"/>
    <s v="Monday"/>
    <x v="1020"/>
  </r>
  <r>
    <x v="627"/>
    <s v="14:37"/>
    <s v="S5"/>
    <x v="1"/>
    <x v="5"/>
    <x v="4"/>
    <x v="1013"/>
    <x v="3"/>
    <s v="TX301027"/>
    <s v="C5"/>
    <x v="1"/>
    <s v="Afternoon"/>
    <s v="Friday"/>
    <x v="1021"/>
  </r>
  <r>
    <x v="196"/>
    <s v="19:20"/>
    <s v="S1"/>
    <x v="1"/>
    <x v="3"/>
    <x v="6"/>
    <x v="1014"/>
    <x v="4"/>
    <s v="TX301028"/>
    <s v="C3"/>
    <x v="0"/>
    <s v="Evening"/>
    <s v="Friday"/>
    <x v="1022"/>
  </r>
  <r>
    <x v="197"/>
    <s v="10:43"/>
    <s v="S7"/>
    <x v="3"/>
    <x v="0"/>
    <x v="6"/>
    <x v="1015"/>
    <x v="2"/>
    <s v="TX301029"/>
    <s v="C3"/>
    <x v="0"/>
    <s v="Morning"/>
    <s v="Friday"/>
    <x v="1023"/>
  </r>
  <r>
    <x v="628"/>
    <s v="9:50"/>
    <s v="S3"/>
    <x v="2"/>
    <x v="6"/>
    <x v="0"/>
    <x v="1016"/>
    <x v="4"/>
    <s v="TX301030"/>
    <s v="C4"/>
    <x v="3"/>
    <s v="Morning"/>
    <s v="Sunday"/>
    <x v="1024"/>
  </r>
  <r>
    <x v="239"/>
    <s v="10:59"/>
    <s v="S2"/>
    <x v="0"/>
    <x v="6"/>
    <x v="0"/>
    <x v="1017"/>
    <x v="2"/>
    <s v="TX301031"/>
    <s v="C5"/>
    <x v="1"/>
    <s v="Morning"/>
    <s v="Monday"/>
    <x v="1025"/>
  </r>
  <r>
    <x v="629"/>
    <s v="17:08"/>
    <s v="S5"/>
    <x v="3"/>
    <x v="2"/>
    <x v="8"/>
    <x v="1018"/>
    <x v="4"/>
    <s v="TX301032"/>
    <s v="C2"/>
    <x v="0"/>
    <s v="Evening"/>
    <s v="Sunday"/>
    <x v="1026"/>
  </r>
  <r>
    <x v="171"/>
    <s v="9:30"/>
    <s v="S10"/>
    <x v="3"/>
    <x v="4"/>
    <x v="3"/>
    <x v="1019"/>
    <x v="0"/>
    <s v="TX301033"/>
    <s v="C1"/>
    <x v="1"/>
    <s v="Morning"/>
    <s v="Wednesday"/>
    <x v="1027"/>
  </r>
  <r>
    <x v="11"/>
    <s v="11:08"/>
    <s v="S6"/>
    <x v="1"/>
    <x v="4"/>
    <x v="5"/>
    <x v="1020"/>
    <x v="2"/>
    <s v="TX301034"/>
    <s v="C4"/>
    <x v="1"/>
    <s v="Morning"/>
    <s v="Friday"/>
    <x v="1028"/>
  </r>
  <r>
    <x v="22"/>
    <s v="20:56"/>
    <s v="S5"/>
    <x v="2"/>
    <x v="1"/>
    <x v="5"/>
    <x v="171"/>
    <x v="2"/>
    <s v="TX301035"/>
    <s v="C2"/>
    <x v="1"/>
    <s v="Evening"/>
    <s v="Monday"/>
    <x v="1029"/>
  </r>
  <r>
    <x v="513"/>
    <s v="15:40"/>
    <s v="S1"/>
    <x v="3"/>
    <x v="2"/>
    <x v="3"/>
    <x v="1021"/>
    <x v="4"/>
    <s v="TX301036"/>
    <s v="C2"/>
    <x v="3"/>
    <s v="Afternoon"/>
    <s v="Sunday"/>
    <x v="1030"/>
  </r>
  <r>
    <x v="630"/>
    <s v="17:28"/>
    <s v="S9"/>
    <x v="2"/>
    <x v="2"/>
    <x v="8"/>
    <x v="1022"/>
    <x v="3"/>
    <s v="TX301037"/>
    <s v="C5"/>
    <x v="0"/>
    <s v="Evening"/>
    <s v="Sunday"/>
    <x v="1031"/>
  </r>
  <r>
    <x v="631"/>
    <s v="13:40"/>
    <s v="S5"/>
    <x v="3"/>
    <x v="1"/>
    <x v="9"/>
    <x v="1023"/>
    <x v="1"/>
    <s v="TX301038"/>
    <s v="C1"/>
    <x v="2"/>
    <s v="Afternoon"/>
    <s v="Tuesday"/>
    <x v="1032"/>
  </r>
  <r>
    <x v="632"/>
    <s v="20:43"/>
    <s v="S8"/>
    <x v="2"/>
    <x v="4"/>
    <x v="7"/>
    <x v="1024"/>
    <x v="0"/>
    <s v="TX301039"/>
    <s v="C1"/>
    <x v="0"/>
    <s v="Evening"/>
    <s v="Monday"/>
    <x v="1033"/>
  </r>
  <r>
    <x v="633"/>
    <s v="18:50"/>
    <s v="S4"/>
    <x v="0"/>
    <x v="2"/>
    <x v="3"/>
    <x v="1025"/>
    <x v="4"/>
    <s v="TX301040"/>
    <s v="C3"/>
    <x v="3"/>
    <s v="Evening"/>
    <s v="Tuesday"/>
    <x v="1034"/>
  </r>
  <r>
    <x v="628"/>
    <s v="11:56"/>
    <s v="S3"/>
    <x v="3"/>
    <x v="4"/>
    <x v="1"/>
    <x v="1026"/>
    <x v="3"/>
    <s v="TX301041"/>
    <s v="C4"/>
    <x v="3"/>
    <s v="Morning"/>
    <s v="Sunday"/>
    <x v="1035"/>
  </r>
  <r>
    <x v="634"/>
    <s v="15:27"/>
    <s v="S7"/>
    <x v="2"/>
    <x v="1"/>
    <x v="8"/>
    <x v="1027"/>
    <x v="0"/>
    <s v="TX301042"/>
    <s v="C5"/>
    <x v="1"/>
    <s v="Afternoon"/>
    <s v="Thursday"/>
    <x v="1036"/>
  </r>
  <r>
    <x v="110"/>
    <s v="18:18"/>
    <s v="S10"/>
    <x v="3"/>
    <x v="1"/>
    <x v="6"/>
    <x v="1028"/>
    <x v="4"/>
    <s v="TX301043"/>
    <s v="C2"/>
    <x v="0"/>
    <s v="Evening"/>
    <s v="Tuesday"/>
    <x v="1037"/>
  </r>
  <r>
    <x v="635"/>
    <s v="21:26"/>
    <s v="S8"/>
    <x v="3"/>
    <x v="5"/>
    <x v="6"/>
    <x v="1029"/>
    <x v="0"/>
    <s v="TX301044"/>
    <s v="C3"/>
    <x v="0"/>
    <s v="Evening"/>
    <s v="Saturday"/>
    <x v="1038"/>
  </r>
  <r>
    <x v="68"/>
    <s v="11:36"/>
    <s v="S4"/>
    <x v="3"/>
    <x v="2"/>
    <x v="9"/>
    <x v="998"/>
    <x v="2"/>
    <s v="TX301045"/>
    <s v="C5"/>
    <x v="2"/>
    <s v="Morning"/>
    <s v="Monday"/>
    <x v="1039"/>
  </r>
  <r>
    <x v="198"/>
    <s v="19:46"/>
    <s v="S8"/>
    <x v="3"/>
    <x v="4"/>
    <x v="8"/>
    <x v="1030"/>
    <x v="2"/>
    <s v="TX301046"/>
    <s v="C3"/>
    <x v="1"/>
    <s v="Evening"/>
    <s v="Monday"/>
    <x v="1040"/>
  </r>
  <r>
    <x v="478"/>
    <s v="18:49"/>
    <s v="S6"/>
    <x v="0"/>
    <x v="0"/>
    <x v="7"/>
    <x v="1031"/>
    <x v="4"/>
    <s v="TX301047"/>
    <s v="C1"/>
    <x v="0"/>
    <s v="Evening"/>
    <s v="Tuesday"/>
    <x v="1041"/>
  </r>
  <r>
    <x v="280"/>
    <s v="9:25"/>
    <s v="S7"/>
    <x v="3"/>
    <x v="3"/>
    <x v="5"/>
    <x v="1032"/>
    <x v="0"/>
    <s v="TX301048"/>
    <s v="C3"/>
    <x v="2"/>
    <s v="Morning"/>
    <s v="Friday"/>
    <x v="1042"/>
  </r>
  <r>
    <x v="37"/>
    <s v="15:46"/>
    <s v="S6"/>
    <x v="3"/>
    <x v="3"/>
    <x v="9"/>
    <x v="1033"/>
    <x v="1"/>
    <s v="TX301049"/>
    <s v="C2"/>
    <x v="3"/>
    <s v="Afternoon"/>
    <s v="Friday"/>
    <x v="1043"/>
  </r>
  <r>
    <x v="636"/>
    <s v="9:17"/>
    <s v="S6"/>
    <x v="2"/>
    <x v="3"/>
    <x v="3"/>
    <x v="1034"/>
    <x v="2"/>
    <s v="TX301050"/>
    <s v="C4"/>
    <x v="1"/>
    <s v="Morning"/>
    <s v="Thursday"/>
    <x v="1044"/>
  </r>
  <r>
    <x v="430"/>
    <s v="21:32"/>
    <s v="S6"/>
    <x v="3"/>
    <x v="5"/>
    <x v="8"/>
    <x v="1035"/>
    <x v="2"/>
    <s v="TX301051"/>
    <s v="C4"/>
    <x v="3"/>
    <s v="Evening"/>
    <s v="Friday"/>
    <x v="1045"/>
  </r>
  <r>
    <x v="181"/>
    <s v="11:38"/>
    <s v="S7"/>
    <x v="0"/>
    <x v="2"/>
    <x v="8"/>
    <x v="1036"/>
    <x v="2"/>
    <s v="TX301052"/>
    <s v="C5"/>
    <x v="1"/>
    <s v="Morning"/>
    <s v="Thursday"/>
    <x v="1046"/>
  </r>
  <r>
    <x v="516"/>
    <s v="20:17"/>
    <s v="S5"/>
    <x v="3"/>
    <x v="1"/>
    <x v="0"/>
    <x v="1037"/>
    <x v="1"/>
    <s v="TX301053"/>
    <s v="C5"/>
    <x v="0"/>
    <s v="Evening"/>
    <s v="Wednesday"/>
    <x v="1047"/>
  </r>
  <r>
    <x v="170"/>
    <s v="12:04"/>
    <s v="S10"/>
    <x v="3"/>
    <x v="6"/>
    <x v="6"/>
    <x v="1038"/>
    <x v="2"/>
    <s v="TX301054"/>
    <s v="C2"/>
    <x v="1"/>
    <s v="Afternoon"/>
    <s v="Tuesday"/>
    <x v="1048"/>
  </r>
  <r>
    <x v="161"/>
    <s v="17:21"/>
    <s v="S9"/>
    <x v="2"/>
    <x v="2"/>
    <x v="4"/>
    <x v="1039"/>
    <x v="2"/>
    <s v="TX301055"/>
    <s v="C3"/>
    <x v="2"/>
    <s v="Evening"/>
    <s v="Saturday"/>
    <x v="1049"/>
  </r>
  <r>
    <x v="271"/>
    <s v="11:30"/>
    <s v="S8"/>
    <x v="1"/>
    <x v="2"/>
    <x v="5"/>
    <x v="1040"/>
    <x v="1"/>
    <s v="TX301056"/>
    <s v="C2"/>
    <x v="1"/>
    <s v="Morning"/>
    <s v="Friday"/>
    <x v="1050"/>
  </r>
  <r>
    <x v="637"/>
    <s v="19:28"/>
    <s v="S8"/>
    <x v="2"/>
    <x v="4"/>
    <x v="8"/>
    <x v="1041"/>
    <x v="4"/>
    <s v="TX301057"/>
    <s v="C4"/>
    <x v="2"/>
    <s v="Evening"/>
    <s v="Wednesday"/>
    <x v="1051"/>
  </r>
  <r>
    <x v="55"/>
    <s v="16:19"/>
    <s v="S6"/>
    <x v="3"/>
    <x v="6"/>
    <x v="1"/>
    <x v="1042"/>
    <x v="3"/>
    <s v="TX301058"/>
    <s v="C5"/>
    <x v="1"/>
    <s v="Afternoon"/>
    <s v="Saturday"/>
    <x v="1052"/>
  </r>
  <r>
    <x v="124"/>
    <s v="11:18"/>
    <s v="S10"/>
    <x v="3"/>
    <x v="1"/>
    <x v="4"/>
    <x v="1043"/>
    <x v="1"/>
    <s v="TX301059"/>
    <s v="C1"/>
    <x v="3"/>
    <s v="Morning"/>
    <s v="Monday"/>
    <x v="1053"/>
  </r>
  <r>
    <x v="222"/>
    <s v="13:59"/>
    <s v="S3"/>
    <x v="0"/>
    <x v="6"/>
    <x v="7"/>
    <x v="1044"/>
    <x v="0"/>
    <s v="TX301060"/>
    <s v="C1"/>
    <x v="2"/>
    <s v="Afternoon"/>
    <s v="Wednesday"/>
    <x v="1054"/>
  </r>
  <r>
    <x v="425"/>
    <s v="19:33"/>
    <s v="S7"/>
    <x v="3"/>
    <x v="0"/>
    <x v="6"/>
    <x v="1045"/>
    <x v="1"/>
    <s v="TX301061"/>
    <s v="C5"/>
    <x v="0"/>
    <s v="Evening"/>
    <s v="Friday"/>
    <x v="1055"/>
  </r>
  <r>
    <x v="638"/>
    <s v="16:31"/>
    <s v="S5"/>
    <x v="3"/>
    <x v="4"/>
    <x v="5"/>
    <x v="1046"/>
    <x v="4"/>
    <s v="TX301062"/>
    <s v="C5"/>
    <x v="1"/>
    <s v="Afternoon"/>
    <s v="Thursday"/>
    <x v="1056"/>
  </r>
  <r>
    <x v="130"/>
    <s v="19:49"/>
    <s v="S8"/>
    <x v="2"/>
    <x v="2"/>
    <x v="7"/>
    <x v="1047"/>
    <x v="4"/>
    <s v="TX301063"/>
    <s v="C2"/>
    <x v="3"/>
    <s v="Evening"/>
    <s v="Saturday"/>
    <x v="1057"/>
  </r>
  <r>
    <x v="308"/>
    <s v="14:52"/>
    <s v="S2"/>
    <x v="1"/>
    <x v="1"/>
    <x v="7"/>
    <x v="1048"/>
    <x v="3"/>
    <s v="TX301064"/>
    <s v="C4"/>
    <x v="1"/>
    <s v="Afternoon"/>
    <s v="Monday"/>
    <x v="1058"/>
  </r>
  <r>
    <x v="320"/>
    <s v="11:02"/>
    <s v="S6"/>
    <x v="2"/>
    <x v="0"/>
    <x v="0"/>
    <x v="1049"/>
    <x v="4"/>
    <s v="TX301065"/>
    <s v="C5"/>
    <x v="3"/>
    <s v="Morning"/>
    <s v="Friday"/>
    <x v="1059"/>
  </r>
  <r>
    <x v="358"/>
    <s v="13:08"/>
    <s v="S8"/>
    <x v="3"/>
    <x v="3"/>
    <x v="1"/>
    <x v="1050"/>
    <x v="2"/>
    <s v="TX301066"/>
    <s v="C1"/>
    <x v="2"/>
    <s v="Afternoon"/>
    <s v="Sunday"/>
    <x v="1060"/>
  </r>
  <r>
    <x v="217"/>
    <s v="15:10"/>
    <s v="S4"/>
    <x v="1"/>
    <x v="3"/>
    <x v="1"/>
    <x v="1051"/>
    <x v="2"/>
    <s v="TX301067"/>
    <s v="C3"/>
    <x v="1"/>
    <s v="Afternoon"/>
    <s v="Thursday"/>
    <x v="1061"/>
  </r>
  <r>
    <x v="465"/>
    <s v="13:28"/>
    <s v="S10"/>
    <x v="0"/>
    <x v="5"/>
    <x v="8"/>
    <x v="1052"/>
    <x v="2"/>
    <s v="TX301068"/>
    <s v="C1"/>
    <x v="3"/>
    <s v="Afternoon"/>
    <s v="Tuesday"/>
    <x v="1062"/>
  </r>
  <r>
    <x v="545"/>
    <s v="16:20"/>
    <s v="S10"/>
    <x v="1"/>
    <x v="4"/>
    <x v="5"/>
    <x v="1053"/>
    <x v="1"/>
    <s v="TX301069"/>
    <s v="C4"/>
    <x v="0"/>
    <s v="Afternoon"/>
    <s v="Wednesday"/>
    <x v="1063"/>
  </r>
  <r>
    <x v="639"/>
    <s v="16:48"/>
    <s v="S1"/>
    <x v="2"/>
    <x v="3"/>
    <x v="7"/>
    <x v="1054"/>
    <x v="2"/>
    <s v="TX301070"/>
    <s v="C2"/>
    <x v="0"/>
    <s v="Afternoon"/>
    <s v="Thursday"/>
    <x v="1064"/>
  </r>
  <r>
    <x v="543"/>
    <s v="14:11"/>
    <s v="S2"/>
    <x v="1"/>
    <x v="4"/>
    <x v="1"/>
    <x v="1055"/>
    <x v="2"/>
    <s v="TX301071"/>
    <s v="C1"/>
    <x v="0"/>
    <s v="Afternoon"/>
    <s v="Monday"/>
    <x v="1065"/>
  </r>
  <r>
    <x v="409"/>
    <s v="10:25"/>
    <s v="S3"/>
    <x v="0"/>
    <x v="4"/>
    <x v="3"/>
    <x v="1056"/>
    <x v="2"/>
    <s v="TX301072"/>
    <s v="C2"/>
    <x v="0"/>
    <s v="Morning"/>
    <s v="Friday"/>
    <x v="1066"/>
  </r>
  <r>
    <x v="640"/>
    <s v="20:42"/>
    <s v="S5"/>
    <x v="3"/>
    <x v="6"/>
    <x v="5"/>
    <x v="1057"/>
    <x v="2"/>
    <s v="TX301073"/>
    <s v="C4"/>
    <x v="2"/>
    <s v="Evening"/>
    <s v="Friday"/>
    <x v="1067"/>
  </r>
  <r>
    <x v="49"/>
    <s v="19:48"/>
    <s v="S8"/>
    <x v="0"/>
    <x v="5"/>
    <x v="7"/>
    <x v="1058"/>
    <x v="2"/>
    <s v="TX301074"/>
    <s v="C2"/>
    <x v="3"/>
    <s v="Evening"/>
    <s v="Wednesday"/>
    <x v="1068"/>
  </r>
  <r>
    <x v="77"/>
    <s v="13:58"/>
    <s v="S9"/>
    <x v="1"/>
    <x v="3"/>
    <x v="8"/>
    <x v="1059"/>
    <x v="1"/>
    <s v="TX301075"/>
    <s v="C3"/>
    <x v="2"/>
    <s v="Afternoon"/>
    <s v="Tuesday"/>
    <x v="1069"/>
  </r>
  <r>
    <x v="219"/>
    <s v="14:31"/>
    <s v="S5"/>
    <x v="0"/>
    <x v="6"/>
    <x v="4"/>
    <x v="1060"/>
    <x v="0"/>
    <s v="TX301076"/>
    <s v="C5"/>
    <x v="2"/>
    <s v="Afternoon"/>
    <s v="Saturday"/>
    <x v="1070"/>
  </r>
  <r>
    <x v="625"/>
    <s v="10:00"/>
    <s v="S3"/>
    <x v="2"/>
    <x v="1"/>
    <x v="3"/>
    <x v="1061"/>
    <x v="2"/>
    <s v="TX301077"/>
    <s v="C5"/>
    <x v="1"/>
    <s v="Morning"/>
    <s v="Sunday"/>
    <x v="1071"/>
  </r>
  <r>
    <x v="641"/>
    <s v="9:56"/>
    <s v="S2"/>
    <x v="3"/>
    <x v="4"/>
    <x v="9"/>
    <x v="1062"/>
    <x v="2"/>
    <s v="TX301078"/>
    <s v="C2"/>
    <x v="3"/>
    <s v="Morning"/>
    <s v="Friday"/>
    <x v="1072"/>
  </r>
  <r>
    <x v="346"/>
    <s v="12:19"/>
    <s v="S5"/>
    <x v="0"/>
    <x v="6"/>
    <x v="7"/>
    <x v="1063"/>
    <x v="4"/>
    <s v="TX301079"/>
    <s v="C5"/>
    <x v="3"/>
    <s v="Afternoon"/>
    <s v="Wednesday"/>
    <x v="1073"/>
  </r>
  <r>
    <x v="237"/>
    <s v="11:00"/>
    <s v="S4"/>
    <x v="1"/>
    <x v="1"/>
    <x v="0"/>
    <x v="1064"/>
    <x v="0"/>
    <s v="TX301080"/>
    <s v="C5"/>
    <x v="0"/>
    <s v="Morning"/>
    <s v="Wednesday"/>
    <x v="1074"/>
  </r>
  <r>
    <x v="642"/>
    <s v="21:38"/>
    <s v="S2"/>
    <x v="0"/>
    <x v="5"/>
    <x v="5"/>
    <x v="1065"/>
    <x v="2"/>
    <s v="TX301081"/>
    <s v="C2"/>
    <x v="3"/>
    <s v="Evening"/>
    <s v="Tuesday"/>
    <x v="1075"/>
  </r>
  <r>
    <x v="188"/>
    <s v="18:59"/>
    <s v="S3"/>
    <x v="1"/>
    <x v="6"/>
    <x v="2"/>
    <x v="1066"/>
    <x v="3"/>
    <s v="TX301082"/>
    <s v="C5"/>
    <x v="0"/>
    <s v="Evening"/>
    <s v="Thursday"/>
    <x v="1076"/>
  </r>
  <r>
    <x v="643"/>
    <s v="12:10"/>
    <s v="S7"/>
    <x v="1"/>
    <x v="2"/>
    <x v="7"/>
    <x v="1067"/>
    <x v="2"/>
    <s v="TX301083"/>
    <s v="C4"/>
    <x v="3"/>
    <s v="Afternoon"/>
    <s v="Thursday"/>
    <x v="1077"/>
  </r>
  <r>
    <x v="644"/>
    <s v="12:32"/>
    <s v="S9"/>
    <x v="2"/>
    <x v="1"/>
    <x v="1"/>
    <x v="1068"/>
    <x v="0"/>
    <s v="TX301084"/>
    <s v="C5"/>
    <x v="0"/>
    <s v="Afternoon"/>
    <s v="Monday"/>
    <x v="1078"/>
  </r>
  <r>
    <x v="515"/>
    <s v="21:26"/>
    <s v="S4"/>
    <x v="1"/>
    <x v="6"/>
    <x v="7"/>
    <x v="1069"/>
    <x v="2"/>
    <s v="TX301085"/>
    <s v="C5"/>
    <x v="3"/>
    <s v="Evening"/>
    <s v="Wednesday"/>
    <x v="1079"/>
  </r>
  <r>
    <x v="549"/>
    <s v="9:58"/>
    <s v="S5"/>
    <x v="3"/>
    <x v="2"/>
    <x v="6"/>
    <x v="1070"/>
    <x v="4"/>
    <s v="TX301086"/>
    <s v="C4"/>
    <x v="2"/>
    <s v="Morning"/>
    <s v="Tuesday"/>
    <x v="638"/>
  </r>
  <r>
    <x v="645"/>
    <s v="15:21"/>
    <s v="S7"/>
    <x v="1"/>
    <x v="0"/>
    <x v="0"/>
    <x v="1071"/>
    <x v="1"/>
    <s v="TX301087"/>
    <s v="C5"/>
    <x v="0"/>
    <s v="Afternoon"/>
    <s v="Sunday"/>
    <x v="1080"/>
  </r>
  <r>
    <x v="593"/>
    <s v="14:14"/>
    <s v="S1"/>
    <x v="1"/>
    <x v="6"/>
    <x v="3"/>
    <x v="1072"/>
    <x v="1"/>
    <s v="TX301088"/>
    <s v="C3"/>
    <x v="3"/>
    <s v="Afternoon"/>
    <s v="Friday"/>
    <x v="1081"/>
  </r>
  <r>
    <x v="397"/>
    <s v="17:29"/>
    <s v="S3"/>
    <x v="1"/>
    <x v="5"/>
    <x v="6"/>
    <x v="1073"/>
    <x v="4"/>
    <s v="TX301089"/>
    <s v="C1"/>
    <x v="2"/>
    <s v="Evening"/>
    <s v="Wednesday"/>
    <x v="1082"/>
  </r>
  <r>
    <x v="383"/>
    <s v="14:26"/>
    <s v="S4"/>
    <x v="2"/>
    <x v="0"/>
    <x v="9"/>
    <x v="1074"/>
    <x v="2"/>
    <s v="TX301090"/>
    <s v="C2"/>
    <x v="3"/>
    <s v="Afternoon"/>
    <s v="Saturday"/>
    <x v="1083"/>
  </r>
  <r>
    <x v="182"/>
    <s v="14:07"/>
    <s v="S4"/>
    <x v="1"/>
    <x v="5"/>
    <x v="6"/>
    <x v="1075"/>
    <x v="1"/>
    <s v="TX301091"/>
    <s v="C4"/>
    <x v="0"/>
    <s v="Afternoon"/>
    <s v="Sunday"/>
    <x v="1084"/>
  </r>
  <r>
    <x v="646"/>
    <s v="12:43"/>
    <s v="S3"/>
    <x v="1"/>
    <x v="5"/>
    <x v="5"/>
    <x v="1076"/>
    <x v="1"/>
    <s v="TX301092"/>
    <s v="C4"/>
    <x v="1"/>
    <s v="Afternoon"/>
    <s v="Tuesday"/>
    <x v="1085"/>
  </r>
  <r>
    <x v="303"/>
    <s v="18:09"/>
    <s v="S5"/>
    <x v="3"/>
    <x v="2"/>
    <x v="3"/>
    <x v="1077"/>
    <x v="4"/>
    <s v="TX301093"/>
    <s v="C3"/>
    <x v="2"/>
    <s v="Evening"/>
    <s v="Sunday"/>
    <x v="1086"/>
  </r>
  <r>
    <x v="133"/>
    <s v="13:27"/>
    <s v="S8"/>
    <x v="3"/>
    <x v="4"/>
    <x v="8"/>
    <x v="1078"/>
    <x v="0"/>
    <s v="TX301094"/>
    <s v="C3"/>
    <x v="2"/>
    <s v="Afternoon"/>
    <s v="Tuesday"/>
    <x v="1087"/>
  </r>
  <r>
    <x v="521"/>
    <s v="21:31"/>
    <s v="S9"/>
    <x v="1"/>
    <x v="4"/>
    <x v="1"/>
    <x v="1079"/>
    <x v="4"/>
    <s v="TX301095"/>
    <s v="C3"/>
    <x v="1"/>
    <s v="Evening"/>
    <s v="Sunday"/>
    <x v="1088"/>
  </r>
  <r>
    <x v="409"/>
    <s v="20:14"/>
    <s v="S4"/>
    <x v="0"/>
    <x v="3"/>
    <x v="9"/>
    <x v="1080"/>
    <x v="4"/>
    <s v="TX301096"/>
    <s v="C5"/>
    <x v="0"/>
    <s v="Evening"/>
    <s v="Friday"/>
    <x v="1089"/>
  </r>
  <r>
    <x v="647"/>
    <s v="17:44"/>
    <s v="S5"/>
    <x v="2"/>
    <x v="6"/>
    <x v="7"/>
    <x v="1081"/>
    <x v="3"/>
    <s v="TX301097"/>
    <s v="C5"/>
    <x v="0"/>
    <s v="Evening"/>
    <s v="Sunday"/>
    <x v="1090"/>
  </r>
  <r>
    <x v="648"/>
    <s v="13:41"/>
    <s v="S10"/>
    <x v="3"/>
    <x v="3"/>
    <x v="8"/>
    <x v="1082"/>
    <x v="1"/>
    <s v="TX301098"/>
    <s v="C2"/>
    <x v="3"/>
    <s v="Afternoon"/>
    <s v="Wednesday"/>
    <x v="1091"/>
  </r>
  <r>
    <x v="649"/>
    <s v="14:36"/>
    <s v="S7"/>
    <x v="1"/>
    <x v="4"/>
    <x v="6"/>
    <x v="1083"/>
    <x v="2"/>
    <s v="TX301099"/>
    <s v="C3"/>
    <x v="2"/>
    <s v="Afternoon"/>
    <s v="Tuesday"/>
    <x v="1092"/>
  </r>
  <r>
    <x v="447"/>
    <s v="21:58"/>
    <s v="S3"/>
    <x v="1"/>
    <x v="1"/>
    <x v="7"/>
    <x v="1084"/>
    <x v="0"/>
    <s v="TX301100"/>
    <s v="C2"/>
    <x v="2"/>
    <s v="Evening"/>
    <s v="Saturday"/>
    <x v="1093"/>
  </r>
  <r>
    <x v="506"/>
    <s v="9:16"/>
    <s v="S9"/>
    <x v="1"/>
    <x v="5"/>
    <x v="7"/>
    <x v="1085"/>
    <x v="2"/>
    <s v="TX301101"/>
    <s v="C2"/>
    <x v="0"/>
    <s v="Morning"/>
    <s v="Thursday"/>
    <x v="1094"/>
  </r>
  <r>
    <x v="650"/>
    <s v="21:27"/>
    <s v="S10"/>
    <x v="0"/>
    <x v="1"/>
    <x v="6"/>
    <x v="1086"/>
    <x v="2"/>
    <s v="TX301102"/>
    <s v="C1"/>
    <x v="3"/>
    <s v="Evening"/>
    <s v="Wednesday"/>
    <x v="1095"/>
  </r>
  <r>
    <x v="651"/>
    <s v="19:16"/>
    <s v="S2"/>
    <x v="3"/>
    <x v="5"/>
    <x v="6"/>
    <x v="1087"/>
    <x v="3"/>
    <s v="TX301103"/>
    <s v="C4"/>
    <x v="0"/>
    <s v="Evening"/>
    <s v="Tuesday"/>
    <x v="1096"/>
  </r>
  <r>
    <x v="652"/>
    <s v="20:43"/>
    <s v="S3"/>
    <x v="2"/>
    <x v="2"/>
    <x v="0"/>
    <x v="1088"/>
    <x v="4"/>
    <s v="TX301104"/>
    <s v="C4"/>
    <x v="3"/>
    <s v="Evening"/>
    <s v="Friday"/>
    <x v="1097"/>
  </r>
  <r>
    <x v="27"/>
    <s v="14:15"/>
    <s v="S8"/>
    <x v="3"/>
    <x v="4"/>
    <x v="0"/>
    <x v="1089"/>
    <x v="1"/>
    <s v="TX301105"/>
    <s v="C5"/>
    <x v="1"/>
    <s v="Afternoon"/>
    <s v="Monday"/>
    <x v="1098"/>
  </r>
  <r>
    <x v="171"/>
    <s v="10:59"/>
    <s v="S8"/>
    <x v="1"/>
    <x v="5"/>
    <x v="8"/>
    <x v="1090"/>
    <x v="0"/>
    <s v="TX301106"/>
    <s v="C5"/>
    <x v="2"/>
    <s v="Morning"/>
    <s v="Wednesday"/>
    <x v="1099"/>
  </r>
  <r>
    <x v="542"/>
    <s v="14:01"/>
    <s v="S6"/>
    <x v="1"/>
    <x v="1"/>
    <x v="4"/>
    <x v="1091"/>
    <x v="3"/>
    <s v="TX301107"/>
    <s v="C1"/>
    <x v="1"/>
    <s v="Afternoon"/>
    <s v="Wednesday"/>
    <x v="1100"/>
  </r>
  <r>
    <x v="169"/>
    <s v="12:28"/>
    <s v="S10"/>
    <x v="2"/>
    <x v="1"/>
    <x v="3"/>
    <x v="1092"/>
    <x v="1"/>
    <s v="TX301108"/>
    <s v="C1"/>
    <x v="0"/>
    <s v="Afternoon"/>
    <s v="Friday"/>
    <x v="1101"/>
  </r>
  <r>
    <x v="523"/>
    <s v="11:15"/>
    <s v="S6"/>
    <x v="3"/>
    <x v="1"/>
    <x v="9"/>
    <x v="1093"/>
    <x v="1"/>
    <s v="TX301109"/>
    <s v="C5"/>
    <x v="2"/>
    <s v="Morning"/>
    <s v="Thursday"/>
    <x v="1102"/>
  </r>
  <r>
    <x v="636"/>
    <s v="16:19"/>
    <s v="S7"/>
    <x v="0"/>
    <x v="0"/>
    <x v="4"/>
    <x v="1094"/>
    <x v="0"/>
    <s v="TX301110"/>
    <s v="C2"/>
    <x v="3"/>
    <s v="Afternoon"/>
    <s v="Thursday"/>
    <x v="966"/>
  </r>
  <r>
    <x v="555"/>
    <s v="17:40"/>
    <s v="S8"/>
    <x v="0"/>
    <x v="2"/>
    <x v="7"/>
    <x v="1095"/>
    <x v="0"/>
    <s v="TX301111"/>
    <s v="C2"/>
    <x v="3"/>
    <s v="Evening"/>
    <s v="Friday"/>
    <x v="1103"/>
  </r>
  <r>
    <x v="653"/>
    <s v="12:08"/>
    <s v="S10"/>
    <x v="1"/>
    <x v="2"/>
    <x v="8"/>
    <x v="1096"/>
    <x v="1"/>
    <s v="TX301112"/>
    <s v="C3"/>
    <x v="1"/>
    <s v="Afternoon"/>
    <s v="Sunday"/>
    <x v="1104"/>
  </r>
  <r>
    <x v="432"/>
    <s v="14:50"/>
    <s v="S5"/>
    <x v="3"/>
    <x v="4"/>
    <x v="9"/>
    <x v="1097"/>
    <x v="0"/>
    <s v="TX301113"/>
    <s v="C2"/>
    <x v="3"/>
    <s v="Afternoon"/>
    <s v="Saturday"/>
    <x v="1105"/>
  </r>
  <r>
    <x v="531"/>
    <s v="21:14"/>
    <s v="S4"/>
    <x v="1"/>
    <x v="6"/>
    <x v="7"/>
    <x v="1098"/>
    <x v="2"/>
    <s v="TX301114"/>
    <s v="C2"/>
    <x v="0"/>
    <s v="Evening"/>
    <s v="Saturday"/>
    <x v="1106"/>
  </r>
  <r>
    <x v="654"/>
    <s v="20:08"/>
    <s v="S2"/>
    <x v="3"/>
    <x v="6"/>
    <x v="3"/>
    <x v="1099"/>
    <x v="3"/>
    <s v="TX301115"/>
    <s v="C5"/>
    <x v="0"/>
    <s v="Evening"/>
    <s v="Monday"/>
    <x v="1107"/>
  </r>
  <r>
    <x v="655"/>
    <s v="9:40"/>
    <s v="S4"/>
    <x v="0"/>
    <x v="1"/>
    <x v="7"/>
    <x v="1100"/>
    <x v="1"/>
    <s v="TX301116"/>
    <s v="C4"/>
    <x v="3"/>
    <s v="Morning"/>
    <s v="Saturday"/>
    <x v="1108"/>
  </r>
  <r>
    <x v="656"/>
    <s v="18:29"/>
    <s v="S8"/>
    <x v="3"/>
    <x v="2"/>
    <x v="5"/>
    <x v="1101"/>
    <x v="2"/>
    <s v="TX301117"/>
    <s v="C5"/>
    <x v="3"/>
    <s v="Evening"/>
    <s v="Wednesday"/>
    <x v="1109"/>
  </r>
  <r>
    <x v="281"/>
    <s v="17:15"/>
    <s v="S10"/>
    <x v="1"/>
    <x v="0"/>
    <x v="4"/>
    <x v="1102"/>
    <x v="4"/>
    <s v="TX301118"/>
    <s v="C5"/>
    <x v="3"/>
    <s v="Evening"/>
    <s v="Wednesday"/>
    <x v="1110"/>
  </r>
  <r>
    <x v="474"/>
    <s v="11:18"/>
    <s v="S8"/>
    <x v="0"/>
    <x v="1"/>
    <x v="8"/>
    <x v="1103"/>
    <x v="0"/>
    <s v="TX301119"/>
    <s v="C2"/>
    <x v="1"/>
    <s v="Morning"/>
    <s v="Wednesday"/>
    <x v="1111"/>
  </r>
  <r>
    <x v="528"/>
    <s v="20:54"/>
    <s v="S9"/>
    <x v="3"/>
    <x v="5"/>
    <x v="0"/>
    <x v="1104"/>
    <x v="1"/>
    <s v="TX301120"/>
    <s v="C2"/>
    <x v="1"/>
    <s v="Evening"/>
    <s v="Saturday"/>
    <x v="1112"/>
  </r>
  <r>
    <x v="375"/>
    <s v="9:57"/>
    <s v="S2"/>
    <x v="3"/>
    <x v="0"/>
    <x v="1"/>
    <x v="1105"/>
    <x v="1"/>
    <s v="TX301121"/>
    <s v="C5"/>
    <x v="3"/>
    <s v="Morning"/>
    <s v="Friday"/>
    <x v="1113"/>
  </r>
  <r>
    <x v="657"/>
    <s v="13:18"/>
    <s v="S1"/>
    <x v="1"/>
    <x v="5"/>
    <x v="6"/>
    <x v="1106"/>
    <x v="1"/>
    <s v="TX301122"/>
    <s v="C3"/>
    <x v="2"/>
    <s v="Afternoon"/>
    <s v="Sunday"/>
    <x v="1114"/>
  </r>
  <r>
    <x v="395"/>
    <s v="9:51"/>
    <s v="S5"/>
    <x v="3"/>
    <x v="0"/>
    <x v="5"/>
    <x v="1107"/>
    <x v="4"/>
    <s v="TX301123"/>
    <s v="C2"/>
    <x v="1"/>
    <s v="Morning"/>
    <s v="Monday"/>
    <x v="1115"/>
  </r>
  <r>
    <x v="104"/>
    <s v="19:08"/>
    <s v="S9"/>
    <x v="1"/>
    <x v="3"/>
    <x v="6"/>
    <x v="1108"/>
    <x v="4"/>
    <s v="TX301124"/>
    <s v="C4"/>
    <x v="2"/>
    <s v="Evening"/>
    <s v="Thursday"/>
    <x v="1116"/>
  </r>
  <r>
    <x v="658"/>
    <s v="13:54"/>
    <s v="S5"/>
    <x v="3"/>
    <x v="1"/>
    <x v="6"/>
    <x v="1109"/>
    <x v="3"/>
    <s v="TX301125"/>
    <s v="C4"/>
    <x v="2"/>
    <s v="Afternoon"/>
    <s v="Friday"/>
    <x v="1117"/>
  </r>
  <r>
    <x v="383"/>
    <s v="19:50"/>
    <s v="S9"/>
    <x v="3"/>
    <x v="6"/>
    <x v="1"/>
    <x v="184"/>
    <x v="4"/>
    <s v="TX301126"/>
    <s v="C3"/>
    <x v="0"/>
    <s v="Evening"/>
    <s v="Saturday"/>
    <x v="1118"/>
  </r>
  <r>
    <x v="192"/>
    <s v="17:33"/>
    <s v="S9"/>
    <x v="2"/>
    <x v="5"/>
    <x v="0"/>
    <x v="1110"/>
    <x v="3"/>
    <s v="TX301127"/>
    <s v="C4"/>
    <x v="2"/>
    <s v="Evening"/>
    <s v="Wednesday"/>
    <x v="1119"/>
  </r>
  <r>
    <x v="295"/>
    <s v="20:19"/>
    <s v="S9"/>
    <x v="0"/>
    <x v="0"/>
    <x v="7"/>
    <x v="1111"/>
    <x v="0"/>
    <s v="TX301128"/>
    <s v="C1"/>
    <x v="1"/>
    <s v="Evening"/>
    <s v="Monday"/>
    <x v="1120"/>
  </r>
  <r>
    <x v="280"/>
    <s v="13:51"/>
    <s v="S9"/>
    <x v="0"/>
    <x v="2"/>
    <x v="0"/>
    <x v="1112"/>
    <x v="0"/>
    <s v="TX301129"/>
    <s v="C2"/>
    <x v="3"/>
    <s v="Afternoon"/>
    <s v="Friday"/>
    <x v="1121"/>
  </r>
  <r>
    <x v="634"/>
    <s v="21:02"/>
    <s v="S1"/>
    <x v="0"/>
    <x v="2"/>
    <x v="4"/>
    <x v="1113"/>
    <x v="1"/>
    <s v="TX301130"/>
    <s v="C2"/>
    <x v="2"/>
    <s v="Evening"/>
    <s v="Thursday"/>
    <x v="1122"/>
  </r>
  <r>
    <x v="242"/>
    <s v="15:48"/>
    <s v="S10"/>
    <x v="0"/>
    <x v="1"/>
    <x v="8"/>
    <x v="1114"/>
    <x v="4"/>
    <s v="TX301131"/>
    <s v="C3"/>
    <x v="0"/>
    <s v="Afternoon"/>
    <s v="Wednesday"/>
    <x v="1123"/>
  </r>
  <r>
    <x v="492"/>
    <s v="10:51"/>
    <s v="S3"/>
    <x v="0"/>
    <x v="0"/>
    <x v="7"/>
    <x v="1115"/>
    <x v="4"/>
    <s v="TX301132"/>
    <s v="C3"/>
    <x v="3"/>
    <s v="Morning"/>
    <s v="Wednesday"/>
    <x v="1124"/>
  </r>
  <r>
    <x v="350"/>
    <s v="10:31"/>
    <s v="S5"/>
    <x v="3"/>
    <x v="6"/>
    <x v="8"/>
    <x v="1116"/>
    <x v="1"/>
    <s v="TX301133"/>
    <s v="C3"/>
    <x v="1"/>
    <s v="Morning"/>
    <s v="Thursday"/>
    <x v="1125"/>
  </r>
  <r>
    <x v="622"/>
    <s v="16:52"/>
    <s v="S9"/>
    <x v="2"/>
    <x v="0"/>
    <x v="6"/>
    <x v="1117"/>
    <x v="3"/>
    <s v="TX301134"/>
    <s v="C5"/>
    <x v="3"/>
    <s v="Afternoon"/>
    <s v="Saturday"/>
    <x v="1126"/>
  </r>
  <r>
    <x v="659"/>
    <s v="16:55"/>
    <s v="S9"/>
    <x v="0"/>
    <x v="4"/>
    <x v="6"/>
    <x v="1118"/>
    <x v="4"/>
    <s v="TX301135"/>
    <s v="C4"/>
    <x v="2"/>
    <s v="Afternoon"/>
    <s v="Saturday"/>
    <x v="1127"/>
  </r>
  <r>
    <x v="660"/>
    <s v="16:22"/>
    <s v="S3"/>
    <x v="3"/>
    <x v="1"/>
    <x v="4"/>
    <x v="1119"/>
    <x v="3"/>
    <s v="TX301136"/>
    <s v="C3"/>
    <x v="0"/>
    <s v="Afternoon"/>
    <s v="Monday"/>
    <x v="1128"/>
  </r>
  <r>
    <x v="661"/>
    <s v="15:25"/>
    <s v="S3"/>
    <x v="2"/>
    <x v="1"/>
    <x v="6"/>
    <x v="1120"/>
    <x v="4"/>
    <s v="TX301137"/>
    <s v="C4"/>
    <x v="2"/>
    <s v="Afternoon"/>
    <s v="Friday"/>
    <x v="1129"/>
  </r>
  <r>
    <x v="497"/>
    <s v="18:53"/>
    <s v="S1"/>
    <x v="3"/>
    <x v="3"/>
    <x v="6"/>
    <x v="1121"/>
    <x v="4"/>
    <s v="TX301138"/>
    <s v="C3"/>
    <x v="2"/>
    <s v="Evening"/>
    <s v="Thursday"/>
    <x v="1130"/>
  </r>
  <r>
    <x v="234"/>
    <s v="19:19"/>
    <s v="S6"/>
    <x v="2"/>
    <x v="0"/>
    <x v="5"/>
    <x v="1122"/>
    <x v="2"/>
    <s v="TX301139"/>
    <s v="C4"/>
    <x v="1"/>
    <s v="Evening"/>
    <s v="Monday"/>
    <x v="1131"/>
  </r>
  <r>
    <x v="662"/>
    <s v="18:54"/>
    <s v="S3"/>
    <x v="3"/>
    <x v="5"/>
    <x v="3"/>
    <x v="1123"/>
    <x v="2"/>
    <s v="TX301140"/>
    <s v="C5"/>
    <x v="2"/>
    <s v="Evening"/>
    <s v="Thursday"/>
    <x v="1132"/>
  </r>
  <r>
    <x v="514"/>
    <s v="10:24"/>
    <s v="S7"/>
    <x v="3"/>
    <x v="4"/>
    <x v="0"/>
    <x v="1124"/>
    <x v="0"/>
    <s v="TX301141"/>
    <s v="C3"/>
    <x v="3"/>
    <s v="Morning"/>
    <s v="Thursday"/>
    <x v="1133"/>
  </r>
  <r>
    <x v="513"/>
    <s v="14:23"/>
    <s v="S8"/>
    <x v="0"/>
    <x v="3"/>
    <x v="9"/>
    <x v="1125"/>
    <x v="3"/>
    <s v="TX301142"/>
    <s v="C5"/>
    <x v="3"/>
    <s v="Afternoon"/>
    <s v="Sunday"/>
    <x v="1134"/>
  </r>
  <r>
    <x v="279"/>
    <s v="13:24"/>
    <s v="S7"/>
    <x v="1"/>
    <x v="5"/>
    <x v="2"/>
    <x v="1126"/>
    <x v="2"/>
    <s v="TX301143"/>
    <s v="C4"/>
    <x v="1"/>
    <s v="Afternoon"/>
    <s v="Thursday"/>
    <x v="1135"/>
  </r>
  <r>
    <x v="369"/>
    <s v="12:46"/>
    <s v="S2"/>
    <x v="2"/>
    <x v="3"/>
    <x v="7"/>
    <x v="1127"/>
    <x v="1"/>
    <s v="TX301144"/>
    <s v="C3"/>
    <x v="0"/>
    <s v="Afternoon"/>
    <s v="Monday"/>
    <x v="1136"/>
  </r>
  <r>
    <x v="74"/>
    <s v="18:42"/>
    <s v="S6"/>
    <x v="0"/>
    <x v="1"/>
    <x v="3"/>
    <x v="1128"/>
    <x v="3"/>
    <s v="TX301145"/>
    <s v="C3"/>
    <x v="3"/>
    <s v="Evening"/>
    <s v="Saturday"/>
    <x v="1137"/>
  </r>
  <r>
    <x v="605"/>
    <s v="10:44"/>
    <s v="S8"/>
    <x v="1"/>
    <x v="5"/>
    <x v="3"/>
    <x v="1129"/>
    <x v="2"/>
    <s v="TX301146"/>
    <s v="C3"/>
    <x v="1"/>
    <s v="Morning"/>
    <s v="Friday"/>
    <x v="1138"/>
  </r>
  <r>
    <x v="95"/>
    <s v="12:05"/>
    <s v="S6"/>
    <x v="2"/>
    <x v="4"/>
    <x v="2"/>
    <x v="1130"/>
    <x v="0"/>
    <s v="TX301147"/>
    <s v="C4"/>
    <x v="1"/>
    <s v="Afternoon"/>
    <s v="Tuesday"/>
    <x v="1139"/>
  </r>
  <r>
    <x v="420"/>
    <s v="21:03"/>
    <s v="S6"/>
    <x v="0"/>
    <x v="3"/>
    <x v="2"/>
    <x v="1131"/>
    <x v="2"/>
    <s v="TX301148"/>
    <s v="C1"/>
    <x v="0"/>
    <s v="Evening"/>
    <s v="Wednesday"/>
    <x v="1140"/>
  </r>
  <r>
    <x v="253"/>
    <s v="12:54"/>
    <s v="S6"/>
    <x v="3"/>
    <x v="6"/>
    <x v="2"/>
    <x v="1132"/>
    <x v="0"/>
    <s v="TX301149"/>
    <s v="C4"/>
    <x v="1"/>
    <s v="Afternoon"/>
    <s v="Tuesday"/>
    <x v="1141"/>
  </r>
  <r>
    <x v="585"/>
    <s v="16:04"/>
    <s v="S7"/>
    <x v="3"/>
    <x v="1"/>
    <x v="5"/>
    <x v="1133"/>
    <x v="2"/>
    <s v="TX301150"/>
    <s v="C4"/>
    <x v="3"/>
    <s v="Afternoon"/>
    <s v="Friday"/>
    <x v="1142"/>
  </r>
  <r>
    <x v="663"/>
    <s v="20:26"/>
    <s v="S8"/>
    <x v="3"/>
    <x v="1"/>
    <x v="9"/>
    <x v="1134"/>
    <x v="4"/>
    <s v="TX301151"/>
    <s v="C1"/>
    <x v="1"/>
    <s v="Evening"/>
    <s v="Thursday"/>
    <x v="1143"/>
  </r>
  <r>
    <x v="229"/>
    <s v="19:22"/>
    <s v="S7"/>
    <x v="3"/>
    <x v="0"/>
    <x v="7"/>
    <x v="1135"/>
    <x v="2"/>
    <s v="TX301152"/>
    <s v="C2"/>
    <x v="2"/>
    <s v="Evening"/>
    <s v="Saturday"/>
    <x v="1144"/>
  </r>
  <r>
    <x v="664"/>
    <s v="11:54"/>
    <s v="S4"/>
    <x v="3"/>
    <x v="1"/>
    <x v="0"/>
    <x v="1136"/>
    <x v="0"/>
    <s v="TX301153"/>
    <s v="C4"/>
    <x v="1"/>
    <s v="Morning"/>
    <s v="Tuesday"/>
    <x v="1145"/>
  </r>
  <r>
    <x v="654"/>
    <s v="10:17"/>
    <s v="S3"/>
    <x v="2"/>
    <x v="1"/>
    <x v="6"/>
    <x v="1137"/>
    <x v="4"/>
    <s v="TX301154"/>
    <s v="C1"/>
    <x v="0"/>
    <s v="Morning"/>
    <s v="Monday"/>
    <x v="1146"/>
  </r>
  <r>
    <x v="461"/>
    <s v="18:00"/>
    <s v="S6"/>
    <x v="0"/>
    <x v="4"/>
    <x v="0"/>
    <x v="1138"/>
    <x v="3"/>
    <s v="TX301155"/>
    <s v="C3"/>
    <x v="1"/>
    <s v="Evening"/>
    <s v="Wednesday"/>
    <x v="1147"/>
  </r>
  <r>
    <x v="537"/>
    <s v="17:43"/>
    <s v="S2"/>
    <x v="3"/>
    <x v="2"/>
    <x v="5"/>
    <x v="1139"/>
    <x v="4"/>
    <s v="TX301156"/>
    <s v="C1"/>
    <x v="0"/>
    <s v="Evening"/>
    <s v="Thursday"/>
    <x v="1148"/>
  </r>
  <r>
    <x v="289"/>
    <s v="13:25"/>
    <s v="S2"/>
    <x v="1"/>
    <x v="4"/>
    <x v="6"/>
    <x v="460"/>
    <x v="2"/>
    <s v="TX301157"/>
    <s v="C2"/>
    <x v="3"/>
    <s v="Afternoon"/>
    <s v="Tuesday"/>
    <x v="1149"/>
  </r>
  <r>
    <x v="255"/>
    <s v="19:12"/>
    <s v="S3"/>
    <x v="0"/>
    <x v="6"/>
    <x v="0"/>
    <x v="1140"/>
    <x v="4"/>
    <s v="TX301158"/>
    <s v="C3"/>
    <x v="2"/>
    <s v="Evening"/>
    <s v="Thursday"/>
    <x v="1150"/>
  </r>
  <r>
    <x v="290"/>
    <s v="18:37"/>
    <s v="S4"/>
    <x v="3"/>
    <x v="4"/>
    <x v="9"/>
    <x v="1141"/>
    <x v="4"/>
    <s v="TX301159"/>
    <s v="C5"/>
    <x v="1"/>
    <s v="Evening"/>
    <s v="Thursday"/>
    <x v="1151"/>
  </r>
  <r>
    <x v="195"/>
    <s v="16:00"/>
    <s v="S10"/>
    <x v="1"/>
    <x v="4"/>
    <x v="5"/>
    <x v="1142"/>
    <x v="2"/>
    <s v="TX301160"/>
    <s v="C3"/>
    <x v="1"/>
    <s v="Afternoon"/>
    <s v="Wednesday"/>
    <x v="1152"/>
  </r>
  <r>
    <x v="603"/>
    <s v="10:34"/>
    <s v="S4"/>
    <x v="2"/>
    <x v="0"/>
    <x v="2"/>
    <x v="1143"/>
    <x v="1"/>
    <s v="TX301161"/>
    <s v="C1"/>
    <x v="0"/>
    <s v="Morning"/>
    <s v="Wednesday"/>
    <x v="1153"/>
  </r>
  <r>
    <x v="665"/>
    <s v="19:24"/>
    <s v="S6"/>
    <x v="2"/>
    <x v="5"/>
    <x v="7"/>
    <x v="1144"/>
    <x v="1"/>
    <s v="TX301162"/>
    <s v="C3"/>
    <x v="3"/>
    <s v="Evening"/>
    <s v="Sunday"/>
    <x v="1154"/>
  </r>
  <r>
    <x v="108"/>
    <s v="16:27"/>
    <s v="S8"/>
    <x v="1"/>
    <x v="3"/>
    <x v="5"/>
    <x v="1145"/>
    <x v="1"/>
    <s v="TX301163"/>
    <s v="C2"/>
    <x v="0"/>
    <s v="Afternoon"/>
    <s v="Wednesday"/>
    <x v="1155"/>
  </r>
  <r>
    <x v="79"/>
    <s v="20:48"/>
    <s v="S7"/>
    <x v="2"/>
    <x v="5"/>
    <x v="4"/>
    <x v="1146"/>
    <x v="1"/>
    <s v="TX301164"/>
    <s v="C5"/>
    <x v="3"/>
    <s v="Evening"/>
    <s v="Friday"/>
    <x v="1156"/>
  </r>
  <r>
    <x v="235"/>
    <s v="13:42"/>
    <s v="S10"/>
    <x v="1"/>
    <x v="6"/>
    <x v="7"/>
    <x v="1147"/>
    <x v="2"/>
    <s v="TX301165"/>
    <s v="C3"/>
    <x v="3"/>
    <s v="Afternoon"/>
    <s v="Tuesday"/>
    <x v="1157"/>
  </r>
  <r>
    <x v="188"/>
    <s v="20:18"/>
    <s v="S2"/>
    <x v="0"/>
    <x v="6"/>
    <x v="6"/>
    <x v="1148"/>
    <x v="3"/>
    <s v="TX301166"/>
    <s v="C2"/>
    <x v="1"/>
    <s v="Evening"/>
    <s v="Thursday"/>
    <x v="1158"/>
  </r>
  <r>
    <x v="666"/>
    <s v="17:00"/>
    <s v="S1"/>
    <x v="0"/>
    <x v="5"/>
    <x v="2"/>
    <x v="1149"/>
    <x v="2"/>
    <s v="TX301167"/>
    <s v="C5"/>
    <x v="3"/>
    <s v="Evening"/>
    <s v="Thursday"/>
    <x v="1159"/>
  </r>
  <r>
    <x v="667"/>
    <s v="9:54"/>
    <s v="S9"/>
    <x v="2"/>
    <x v="6"/>
    <x v="3"/>
    <x v="1150"/>
    <x v="2"/>
    <s v="TX301168"/>
    <s v="C3"/>
    <x v="2"/>
    <s v="Morning"/>
    <s v="Wednesday"/>
    <x v="1160"/>
  </r>
  <r>
    <x v="668"/>
    <s v="18:02"/>
    <s v="S2"/>
    <x v="1"/>
    <x v="2"/>
    <x v="4"/>
    <x v="1151"/>
    <x v="2"/>
    <s v="TX301169"/>
    <s v="C1"/>
    <x v="0"/>
    <s v="Evening"/>
    <s v="Thursday"/>
    <x v="1161"/>
  </r>
  <r>
    <x v="669"/>
    <s v="10:25"/>
    <s v="S6"/>
    <x v="1"/>
    <x v="6"/>
    <x v="4"/>
    <x v="1152"/>
    <x v="4"/>
    <s v="TX301170"/>
    <s v="C4"/>
    <x v="0"/>
    <s v="Morning"/>
    <s v="Monday"/>
    <x v="1162"/>
  </r>
  <r>
    <x v="670"/>
    <s v="10:24"/>
    <s v="S1"/>
    <x v="2"/>
    <x v="1"/>
    <x v="5"/>
    <x v="1153"/>
    <x v="0"/>
    <s v="TX301171"/>
    <s v="C3"/>
    <x v="1"/>
    <s v="Morning"/>
    <s v="Sunday"/>
    <x v="1163"/>
  </r>
  <r>
    <x v="32"/>
    <s v="9:08"/>
    <s v="S10"/>
    <x v="0"/>
    <x v="2"/>
    <x v="5"/>
    <x v="1154"/>
    <x v="0"/>
    <s v="TX301172"/>
    <s v="C3"/>
    <x v="0"/>
    <s v="Morning"/>
    <s v="Tuesday"/>
    <x v="1164"/>
  </r>
  <r>
    <x v="85"/>
    <s v="21:03"/>
    <s v="S1"/>
    <x v="3"/>
    <x v="1"/>
    <x v="3"/>
    <x v="1155"/>
    <x v="1"/>
    <s v="TX301173"/>
    <s v="C1"/>
    <x v="2"/>
    <s v="Evening"/>
    <s v="Wednesday"/>
    <x v="1165"/>
  </r>
  <r>
    <x v="69"/>
    <s v="14:00"/>
    <s v="S3"/>
    <x v="0"/>
    <x v="6"/>
    <x v="9"/>
    <x v="1156"/>
    <x v="1"/>
    <s v="TX301174"/>
    <s v="C1"/>
    <x v="1"/>
    <s v="Afternoon"/>
    <s v="Sunday"/>
    <x v="1166"/>
  </r>
  <r>
    <x v="671"/>
    <s v="9:58"/>
    <s v="S8"/>
    <x v="2"/>
    <x v="6"/>
    <x v="7"/>
    <x v="1157"/>
    <x v="0"/>
    <s v="TX301175"/>
    <s v="C1"/>
    <x v="2"/>
    <s v="Morning"/>
    <s v="Tuesday"/>
    <x v="1167"/>
  </r>
  <r>
    <x v="672"/>
    <s v="13:52"/>
    <s v="S10"/>
    <x v="1"/>
    <x v="3"/>
    <x v="8"/>
    <x v="1158"/>
    <x v="3"/>
    <s v="TX301176"/>
    <s v="C5"/>
    <x v="3"/>
    <s v="Afternoon"/>
    <s v="Wednesday"/>
    <x v="1168"/>
  </r>
  <r>
    <x v="136"/>
    <s v="20:01"/>
    <s v="S4"/>
    <x v="1"/>
    <x v="1"/>
    <x v="4"/>
    <x v="1159"/>
    <x v="3"/>
    <s v="TX301177"/>
    <s v="C5"/>
    <x v="1"/>
    <s v="Evening"/>
    <s v="Sunday"/>
    <x v="1169"/>
  </r>
  <r>
    <x v="265"/>
    <s v="15:28"/>
    <s v="S9"/>
    <x v="2"/>
    <x v="0"/>
    <x v="2"/>
    <x v="1160"/>
    <x v="3"/>
    <s v="TX301178"/>
    <s v="C4"/>
    <x v="0"/>
    <s v="Afternoon"/>
    <s v="Sunday"/>
    <x v="1170"/>
  </r>
  <r>
    <x v="503"/>
    <s v="17:04"/>
    <s v="S1"/>
    <x v="0"/>
    <x v="4"/>
    <x v="9"/>
    <x v="1161"/>
    <x v="1"/>
    <s v="TX301179"/>
    <s v="C5"/>
    <x v="1"/>
    <s v="Evening"/>
    <s v="Friday"/>
    <x v="1171"/>
  </r>
  <r>
    <x v="280"/>
    <s v="18:40"/>
    <s v="S9"/>
    <x v="0"/>
    <x v="0"/>
    <x v="5"/>
    <x v="1162"/>
    <x v="1"/>
    <s v="TX301180"/>
    <s v="C3"/>
    <x v="3"/>
    <s v="Evening"/>
    <s v="Friday"/>
    <x v="1172"/>
  </r>
  <r>
    <x v="598"/>
    <s v="9:30"/>
    <s v="S8"/>
    <x v="3"/>
    <x v="4"/>
    <x v="8"/>
    <x v="1163"/>
    <x v="4"/>
    <s v="TX301181"/>
    <s v="C3"/>
    <x v="2"/>
    <s v="Morning"/>
    <s v="Saturday"/>
    <x v="1173"/>
  </r>
  <r>
    <x v="46"/>
    <s v="21:21"/>
    <s v="S4"/>
    <x v="3"/>
    <x v="4"/>
    <x v="2"/>
    <x v="1164"/>
    <x v="3"/>
    <s v="TX301182"/>
    <s v="C4"/>
    <x v="2"/>
    <s v="Evening"/>
    <s v="Friday"/>
    <x v="1174"/>
  </r>
  <r>
    <x v="673"/>
    <s v="12:40"/>
    <s v="S10"/>
    <x v="1"/>
    <x v="4"/>
    <x v="5"/>
    <x v="1165"/>
    <x v="1"/>
    <s v="TX301183"/>
    <s v="C1"/>
    <x v="3"/>
    <s v="Afternoon"/>
    <s v="Wednesday"/>
    <x v="1175"/>
  </r>
  <r>
    <x v="674"/>
    <s v="14:29"/>
    <s v="S9"/>
    <x v="0"/>
    <x v="1"/>
    <x v="8"/>
    <x v="1166"/>
    <x v="2"/>
    <s v="TX301184"/>
    <s v="C5"/>
    <x v="1"/>
    <s v="Afternoon"/>
    <s v="Sunday"/>
    <x v="1176"/>
  </r>
  <r>
    <x v="281"/>
    <s v="10:37"/>
    <s v="S1"/>
    <x v="2"/>
    <x v="4"/>
    <x v="9"/>
    <x v="1167"/>
    <x v="1"/>
    <s v="TX301185"/>
    <s v="C4"/>
    <x v="1"/>
    <s v="Morning"/>
    <s v="Wednesday"/>
    <x v="1177"/>
  </r>
  <r>
    <x v="651"/>
    <s v="18:01"/>
    <s v="S5"/>
    <x v="0"/>
    <x v="5"/>
    <x v="7"/>
    <x v="1168"/>
    <x v="1"/>
    <s v="TX301186"/>
    <s v="C5"/>
    <x v="1"/>
    <s v="Evening"/>
    <s v="Tuesday"/>
    <x v="1178"/>
  </r>
  <r>
    <x v="100"/>
    <s v="17:16"/>
    <s v="S9"/>
    <x v="2"/>
    <x v="1"/>
    <x v="7"/>
    <x v="1169"/>
    <x v="2"/>
    <s v="TX301187"/>
    <s v="C4"/>
    <x v="3"/>
    <s v="Evening"/>
    <s v="Saturday"/>
    <x v="1179"/>
  </r>
  <r>
    <x v="388"/>
    <s v="14:48"/>
    <s v="S6"/>
    <x v="2"/>
    <x v="4"/>
    <x v="6"/>
    <x v="1044"/>
    <x v="4"/>
    <s v="TX301188"/>
    <s v="C4"/>
    <x v="1"/>
    <s v="Afternoon"/>
    <s v="Saturday"/>
    <x v="1180"/>
  </r>
  <r>
    <x v="364"/>
    <s v="15:47"/>
    <s v="S6"/>
    <x v="0"/>
    <x v="2"/>
    <x v="2"/>
    <x v="1170"/>
    <x v="3"/>
    <s v="TX301189"/>
    <s v="C5"/>
    <x v="3"/>
    <s v="Afternoon"/>
    <s v="Monday"/>
    <x v="1181"/>
  </r>
  <r>
    <x v="363"/>
    <s v="10:10"/>
    <s v="S3"/>
    <x v="2"/>
    <x v="6"/>
    <x v="0"/>
    <x v="1171"/>
    <x v="3"/>
    <s v="TX301190"/>
    <s v="C1"/>
    <x v="1"/>
    <s v="Morning"/>
    <s v="Saturday"/>
    <x v="1182"/>
  </r>
  <r>
    <x v="675"/>
    <s v="15:35"/>
    <s v="S1"/>
    <x v="0"/>
    <x v="3"/>
    <x v="6"/>
    <x v="1172"/>
    <x v="0"/>
    <s v="TX301191"/>
    <s v="C2"/>
    <x v="3"/>
    <s v="Afternoon"/>
    <s v="Saturday"/>
    <x v="1183"/>
  </r>
  <r>
    <x v="463"/>
    <s v="11:39"/>
    <s v="S5"/>
    <x v="2"/>
    <x v="1"/>
    <x v="9"/>
    <x v="1173"/>
    <x v="3"/>
    <s v="TX301192"/>
    <s v="C5"/>
    <x v="2"/>
    <s v="Morning"/>
    <s v="Monday"/>
    <x v="1184"/>
  </r>
  <r>
    <x v="261"/>
    <s v="13:02"/>
    <s v="S9"/>
    <x v="3"/>
    <x v="5"/>
    <x v="7"/>
    <x v="1174"/>
    <x v="3"/>
    <s v="TX301193"/>
    <s v="C4"/>
    <x v="3"/>
    <s v="Afternoon"/>
    <s v="Thursday"/>
    <x v="1185"/>
  </r>
  <r>
    <x v="676"/>
    <s v="11:45"/>
    <s v="S3"/>
    <x v="2"/>
    <x v="2"/>
    <x v="5"/>
    <x v="1175"/>
    <x v="3"/>
    <s v="TX301194"/>
    <s v="C5"/>
    <x v="1"/>
    <s v="Morning"/>
    <s v="Monday"/>
    <x v="1186"/>
  </r>
  <r>
    <x v="677"/>
    <s v="16:31"/>
    <s v="S5"/>
    <x v="0"/>
    <x v="3"/>
    <x v="7"/>
    <x v="1176"/>
    <x v="4"/>
    <s v="TX301195"/>
    <s v="C5"/>
    <x v="3"/>
    <s v="Afternoon"/>
    <s v="Tuesday"/>
    <x v="1187"/>
  </r>
  <r>
    <x v="678"/>
    <s v="10:20"/>
    <s v="S1"/>
    <x v="1"/>
    <x v="5"/>
    <x v="8"/>
    <x v="1177"/>
    <x v="3"/>
    <s v="TX301196"/>
    <s v="C1"/>
    <x v="1"/>
    <s v="Morning"/>
    <s v="Tuesday"/>
    <x v="1188"/>
  </r>
  <r>
    <x v="679"/>
    <s v="11:21"/>
    <s v="S1"/>
    <x v="2"/>
    <x v="0"/>
    <x v="2"/>
    <x v="1178"/>
    <x v="3"/>
    <s v="TX301197"/>
    <s v="C3"/>
    <x v="2"/>
    <s v="Morning"/>
    <s v="Sunday"/>
    <x v="1189"/>
  </r>
  <r>
    <x v="39"/>
    <s v="12:52"/>
    <s v="S3"/>
    <x v="0"/>
    <x v="4"/>
    <x v="6"/>
    <x v="1179"/>
    <x v="2"/>
    <s v="TX301198"/>
    <s v="C3"/>
    <x v="3"/>
    <s v="Afternoon"/>
    <s v="Thursday"/>
    <x v="1190"/>
  </r>
  <r>
    <x v="314"/>
    <s v="15:27"/>
    <s v="S4"/>
    <x v="1"/>
    <x v="4"/>
    <x v="2"/>
    <x v="1180"/>
    <x v="1"/>
    <s v="TX301199"/>
    <s v="C2"/>
    <x v="2"/>
    <s v="Afternoon"/>
    <s v="Saturday"/>
    <x v="1191"/>
  </r>
  <r>
    <x v="79"/>
    <s v="20:00"/>
    <s v="S7"/>
    <x v="2"/>
    <x v="6"/>
    <x v="6"/>
    <x v="1181"/>
    <x v="1"/>
    <s v="TX301200"/>
    <s v="C4"/>
    <x v="3"/>
    <s v="Evening"/>
    <s v="Friday"/>
    <x v="1192"/>
  </r>
  <r>
    <x v="547"/>
    <s v="10:47"/>
    <s v="S1"/>
    <x v="3"/>
    <x v="6"/>
    <x v="6"/>
    <x v="1182"/>
    <x v="0"/>
    <s v="TX301201"/>
    <s v="C3"/>
    <x v="1"/>
    <s v="Morning"/>
    <s v="Tuesday"/>
    <x v="1193"/>
  </r>
  <r>
    <x v="403"/>
    <s v="14:51"/>
    <s v="S1"/>
    <x v="1"/>
    <x v="4"/>
    <x v="7"/>
    <x v="1183"/>
    <x v="2"/>
    <s v="TX301202"/>
    <s v="C2"/>
    <x v="0"/>
    <s v="Afternoon"/>
    <s v="Wednesday"/>
    <x v="1194"/>
  </r>
  <r>
    <x v="276"/>
    <s v="21:11"/>
    <s v="S4"/>
    <x v="2"/>
    <x v="0"/>
    <x v="1"/>
    <x v="1184"/>
    <x v="0"/>
    <s v="TX301203"/>
    <s v="C5"/>
    <x v="0"/>
    <s v="Evening"/>
    <s v="Monday"/>
    <x v="1195"/>
  </r>
  <r>
    <x v="554"/>
    <s v="18:02"/>
    <s v="S6"/>
    <x v="0"/>
    <x v="1"/>
    <x v="7"/>
    <x v="1185"/>
    <x v="2"/>
    <s v="TX301204"/>
    <s v="C4"/>
    <x v="2"/>
    <s v="Evening"/>
    <s v="Thursday"/>
    <x v="1196"/>
  </r>
  <r>
    <x v="106"/>
    <s v="17:37"/>
    <s v="S1"/>
    <x v="1"/>
    <x v="2"/>
    <x v="7"/>
    <x v="1186"/>
    <x v="2"/>
    <s v="TX301205"/>
    <s v="C4"/>
    <x v="1"/>
    <s v="Evening"/>
    <s v="Thursday"/>
    <x v="1197"/>
  </r>
  <r>
    <x v="444"/>
    <s v="16:01"/>
    <s v="S10"/>
    <x v="0"/>
    <x v="6"/>
    <x v="3"/>
    <x v="1187"/>
    <x v="3"/>
    <s v="TX301206"/>
    <s v="C1"/>
    <x v="3"/>
    <s v="Afternoon"/>
    <s v="Tuesday"/>
    <x v="1198"/>
  </r>
  <r>
    <x v="274"/>
    <s v="15:10"/>
    <s v="S4"/>
    <x v="2"/>
    <x v="6"/>
    <x v="0"/>
    <x v="1188"/>
    <x v="1"/>
    <s v="TX301207"/>
    <s v="C4"/>
    <x v="1"/>
    <s v="Afternoon"/>
    <s v="Friday"/>
    <x v="1199"/>
  </r>
  <r>
    <x v="351"/>
    <s v="13:22"/>
    <s v="S4"/>
    <x v="0"/>
    <x v="4"/>
    <x v="9"/>
    <x v="1189"/>
    <x v="3"/>
    <s v="TX301208"/>
    <s v="C4"/>
    <x v="0"/>
    <s v="Afternoon"/>
    <s v="Wednesday"/>
    <x v="1200"/>
  </r>
  <r>
    <x v="330"/>
    <s v="21:28"/>
    <s v="S5"/>
    <x v="2"/>
    <x v="6"/>
    <x v="2"/>
    <x v="1190"/>
    <x v="2"/>
    <s v="TX301209"/>
    <s v="C1"/>
    <x v="2"/>
    <s v="Evening"/>
    <s v="Wednesday"/>
    <x v="1201"/>
  </r>
  <r>
    <x v="472"/>
    <s v="18:13"/>
    <s v="S3"/>
    <x v="2"/>
    <x v="3"/>
    <x v="5"/>
    <x v="1191"/>
    <x v="3"/>
    <s v="TX301210"/>
    <s v="C1"/>
    <x v="0"/>
    <s v="Evening"/>
    <s v="Saturday"/>
    <x v="1202"/>
  </r>
  <r>
    <x v="68"/>
    <s v="20:19"/>
    <s v="S10"/>
    <x v="2"/>
    <x v="6"/>
    <x v="2"/>
    <x v="1192"/>
    <x v="2"/>
    <s v="TX301211"/>
    <s v="C2"/>
    <x v="3"/>
    <s v="Evening"/>
    <s v="Monday"/>
    <x v="1203"/>
  </r>
  <r>
    <x v="113"/>
    <s v="13:22"/>
    <s v="S9"/>
    <x v="0"/>
    <x v="1"/>
    <x v="8"/>
    <x v="1193"/>
    <x v="1"/>
    <s v="TX301212"/>
    <s v="C3"/>
    <x v="1"/>
    <s v="Afternoon"/>
    <s v="Saturday"/>
    <x v="1204"/>
  </r>
  <r>
    <x v="680"/>
    <s v="18:32"/>
    <s v="S8"/>
    <x v="0"/>
    <x v="0"/>
    <x v="7"/>
    <x v="1194"/>
    <x v="0"/>
    <s v="TX301213"/>
    <s v="C3"/>
    <x v="3"/>
    <s v="Evening"/>
    <s v="Sunday"/>
    <x v="1205"/>
  </r>
  <r>
    <x v="518"/>
    <s v="13:03"/>
    <s v="S3"/>
    <x v="0"/>
    <x v="5"/>
    <x v="2"/>
    <x v="1195"/>
    <x v="2"/>
    <s v="TX301214"/>
    <s v="C5"/>
    <x v="2"/>
    <s v="Afternoon"/>
    <s v="Monday"/>
    <x v="1206"/>
  </r>
  <r>
    <x v="177"/>
    <s v="12:04"/>
    <s v="S9"/>
    <x v="2"/>
    <x v="4"/>
    <x v="4"/>
    <x v="1196"/>
    <x v="2"/>
    <s v="TX301215"/>
    <s v="C2"/>
    <x v="2"/>
    <s v="Afternoon"/>
    <s v="Thursday"/>
    <x v="1207"/>
  </r>
  <r>
    <x v="499"/>
    <s v="13:54"/>
    <s v="S6"/>
    <x v="3"/>
    <x v="2"/>
    <x v="4"/>
    <x v="1197"/>
    <x v="3"/>
    <s v="TX301216"/>
    <s v="C1"/>
    <x v="3"/>
    <s v="Afternoon"/>
    <s v="Thursday"/>
    <x v="1208"/>
  </r>
  <r>
    <x v="681"/>
    <s v="21:36"/>
    <s v="S7"/>
    <x v="0"/>
    <x v="6"/>
    <x v="3"/>
    <x v="1198"/>
    <x v="4"/>
    <s v="TX301217"/>
    <s v="C1"/>
    <x v="2"/>
    <s v="Evening"/>
    <s v="Thursday"/>
    <x v="1209"/>
  </r>
  <r>
    <x v="576"/>
    <s v="19:42"/>
    <s v="S1"/>
    <x v="0"/>
    <x v="3"/>
    <x v="1"/>
    <x v="1199"/>
    <x v="0"/>
    <s v="TX301218"/>
    <s v="C5"/>
    <x v="2"/>
    <s v="Evening"/>
    <s v="Sunday"/>
    <x v="1210"/>
  </r>
  <r>
    <x v="282"/>
    <s v="13:54"/>
    <s v="S6"/>
    <x v="0"/>
    <x v="1"/>
    <x v="9"/>
    <x v="1200"/>
    <x v="4"/>
    <s v="TX301219"/>
    <s v="C4"/>
    <x v="0"/>
    <s v="Afternoon"/>
    <s v="Friday"/>
    <x v="1211"/>
  </r>
  <r>
    <x v="682"/>
    <s v="19:09"/>
    <s v="S5"/>
    <x v="1"/>
    <x v="2"/>
    <x v="4"/>
    <x v="1201"/>
    <x v="4"/>
    <s v="TX301220"/>
    <s v="C1"/>
    <x v="2"/>
    <s v="Evening"/>
    <s v="Saturday"/>
    <x v="1212"/>
  </r>
  <r>
    <x v="373"/>
    <s v="19:50"/>
    <s v="S5"/>
    <x v="1"/>
    <x v="3"/>
    <x v="8"/>
    <x v="1202"/>
    <x v="2"/>
    <s v="TX301221"/>
    <s v="C5"/>
    <x v="1"/>
    <s v="Evening"/>
    <s v="Friday"/>
    <x v="1213"/>
  </r>
  <r>
    <x v="348"/>
    <s v="14:18"/>
    <s v="S8"/>
    <x v="1"/>
    <x v="1"/>
    <x v="3"/>
    <x v="1203"/>
    <x v="0"/>
    <s v="TX301222"/>
    <s v="C2"/>
    <x v="3"/>
    <s v="Afternoon"/>
    <s v="Monday"/>
    <x v="1214"/>
  </r>
  <r>
    <x v="476"/>
    <s v="9:31"/>
    <s v="S1"/>
    <x v="1"/>
    <x v="1"/>
    <x v="8"/>
    <x v="1204"/>
    <x v="0"/>
    <s v="TX301223"/>
    <s v="C2"/>
    <x v="2"/>
    <s v="Morning"/>
    <s v="Friday"/>
    <x v="1215"/>
  </r>
  <r>
    <x v="657"/>
    <s v="20:16"/>
    <s v="S6"/>
    <x v="1"/>
    <x v="6"/>
    <x v="0"/>
    <x v="1205"/>
    <x v="3"/>
    <s v="TX301224"/>
    <s v="C5"/>
    <x v="0"/>
    <s v="Evening"/>
    <s v="Sunday"/>
    <x v="1216"/>
  </r>
  <r>
    <x v="683"/>
    <s v="19:01"/>
    <s v="S2"/>
    <x v="0"/>
    <x v="6"/>
    <x v="2"/>
    <x v="1206"/>
    <x v="1"/>
    <s v="TX301225"/>
    <s v="C5"/>
    <x v="2"/>
    <s v="Evening"/>
    <s v="Friday"/>
    <x v="1217"/>
  </r>
  <r>
    <x v="684"/>
    <s v="13:11"/>
    <s v="S2"/>
    <x v="0"/>
    <x v="0"/>
    <x v="8"/>
    <x v="1207"/>
    <x v="2"/>
    <s v="TX301226"/>
    <s v="C4"/>
    <x v="2"/>
    <s v="Afternoon"/>
    <s v="Monday"/>
    <x v="1218"/>
  </r>
  <r>
    <x v="155"/>
    <s v="15:38"/>
    <s v="S9"/>
    <x v="3"/>
    <x v="2"/>
    <x v="4"/>
    <x v="1208"/>
    <x v="2"/>
    <s v="TX301227"/>
    <s v="C3"/>
    <x v="3"/>
    <s v="Afternoon"/>
    <s v="Thursday"/>
    <x v="1219"/>
  </r>
  <r>
    <x v="685"/>
    <s v="9:37"/>
    <s v="S9"/>
    <x v="3"/>
    <x v="2"/>
    <x v="3"/>
    <x v="1209"/>
    <x v="4"/>
    <s v="TX301228"/>
    <s v="C2"/>
    <x v="0"/>
    <s v="Morning"/>
    <s v="Tuesday"/>
    <x v="1220"/>
  </r>
  <r>
    <x v="207"/>
    <s v="16:45"/>
    <s v="S5"/>
    <x v="3"/>
    <x v="2"/>
    <x v="3"/>
    <x v="1210"/>
    <x v="2"/>
    <s v="TX301229"/>
    <s v="C4"/>
    <x v="3"/>
    <s v="Afternoon"/>
    <s v="Sunday"/>
    <x v="1221"/>
  </r>
  <r>
    <x v="567"/>
    <s v="21:23"/>
    <s v="S8"/>
    <x v="1"/>
    <x v="0"/>
    <x v="5"/>
    <x v="1211"/>
    <x v="2"/>
    <s v="TX301230"/>
    <s v="C4"/>
    <x v="1"/>
    <s v="Evening"/>
    <s v="Thursday"/>
    <x v="1222"/>
  </r>
  <r>
    <x v="526"/>
    <s v="21:21"/>
    <s v="S5"/>
    <x v="1"/>
    <x v="1"/>
    <x v="9"/>
    <x v="1199"/>
    <x v="3"/>
    <s v="TX301231"/>
    <s v="C4"/>
    <x v="0"/>
    <s v="Evening"/>
    <s v="Saturday"/>
    <x v="1223"/>
  </r>
  <r>
    <x v="210"/>
    <s v="17:16"/>
    <s v="S2"/>
    <x v="2"/>
    <x v="2"/>
    <x v="2"/>
    <x v="1212"/>
    <x v="0"/>
    <s v="TX301232"/>
    <s v="C4"/>
    <x v="3"/>
    <s v="Evening"/>
    <s v="Friday"/>
    <x v="1224"/>
  </r>
  <r>
    <x v="123"/>
    <s v="17:28"/>
    <s v="S6"/>
    <x v="2"/>
    <x v="0"/>
    <x v="1"/>
    <x v="1213"/>
    <x v="2"/>
    <s v="TX301233"/>
    <s v="C1"/>
    <x v="0"/>
    <s v="Evening"/>
    <s v="Saturday"/>
    <x v="1225"/>
  </r>
  <r>
    <x v="343"/>
    <s v="13:20"/>
    <s v="S3"/>
    <x v="0"/>
    <x v="3"/>
    <x v="4"/>
    <x v="1214"/>
    <x v="0"/>
    <s v="TX301234"/>
    <s v="C1"/>
    <x v="0"/>
    <s v="Afternoon"/>
    <s v="Saturday"/>
    <x v="1226"/>
  </r>
  <r>
    <x v="379"/>
    <s v="15:54"/>
    <s v="S9"/>
    <x v="0"/>
    <x v="3"/>
    <x v="2"/>
    <x v="1215"/>
    <x v="4"/>
    <s v="TX301235"/>
    <s v="C2"/>
    <x v="2"/>
    <s v="Afternoon"/>
    <s v="Wednesday"/>
    <x v="1227"/>
  </r>
  <r>
    <x v="321"/>
    <s v="21:51"/>
    <s v="S6"/>
    <x v="1"/>
    <x v="3"/>
    <x v="7"/>
    <x v="1216"/>
    <x v="4"/>
    <s v="TX301236"/>
    <s v="C1"/>
    <x v="0"/>
    <s v="Evening"/>
    <s v="Saturday"/>
    <x v="1228"/>
  </r>
  <r>
    <x v="13"/>
    <s v="19:46"/>
    <s v="S10"/>
    <x v="1"/>
    <x v="5"/>
    <x v="4"/>
    <x v="1217"/>
    <x v="0"/>
    <s v="TX301237"/>
    <s v="C3"/>
    <x v="1"/>
    <s v="Evening"/>
    <s v="Tuesday"/>
    <x v="1229"/>
  </r>
  <r>
    <x v="686"/>
    <s v="12:38"/>
    <s v="S9"/>
    <x v="2"/>
    <x v="3"/>
    <x v="4"/>
    <x v="1218"/>
    <x v="2"/>
    <s v="TX301238"/>
    <s v="C3"/>
    <x v="3"/>
    <s v="Afternoon"/>
    <s v="Friday"/>
    <x v="1230"/>
  </r>
  <r>
    <x v="515"/>
    <s v="14:41"/>
    <s v="S6"/>
    <x v="3"/>
    <x v="4"/>
    <x v="8"/>
    <x v="1219"/>
    <x v="1"/>
    <s v="TX301239"/>
    <s v="C2"/>
    <x v="0"/>
    <s v="Afternoon"/>
    <s v="Wednesday"/>
    <x v="1231"/>
  </r>
  <r>
    <x v="333"/>
    <s v="17:58"/>
    <s v="S5"/>
    <x v="2"/>
    <x v="4"/>
    <x v="1"/>
    <x v="1220"/>
    <x v="1"/>
    <s v="TX301240"/>
    <s v="C2"/>
    <x v="2"/>
    <s v="Evening"/>
    <s v="Wednesday"/>
    <x v="1232"/>
  </r>
  <r>
    <x v="263"/>
    <s v="18:20"/>
    <s v="S7"/>
    <x v="3"/>
    <x v="1"/>
    <x v="1"/>
    <x v="1221"/>
    <x v="1"/>
    <s v="TX301241"/>
    <s v="C5"/>
    <x v="0"/>
    <s v="Evening"/>
    <s v="Tuesday"/>
    <x v="1233"/>
  </r>
  <r>
    <x v="32"/>
    <s v="14:44"/>
    <s v="S4"/>
    <x v="0"/>
    <x v="3"/>
    <x v="2"/>
    <x v="1222"/>
    <x v="4"/>
    <s v="TX301242"/>
    <s v="C4"/>
    <x v="0"/>
    <s v="Afternoon"/>
    <s v="Tuesday"/>
    <x v="1234"/>
  </r>
  <r>
    <x v="42"/>
    <s v="20:16"/>
    <s v="S3"/>
    <x v="3"/>
    <x v="2"/>
    <x v="1"/>
    <x v="1223"/>
    <x v="0"/>
    <s v="TX301243"/>
    <s v="C1"/>
    <x v="3"/>
    <s v="Evening"/>
    <s v="Wednesday"/>
    <x v="1235"/>
  </r>
  <r>
    <x v="687"/>
    <s v="18:50"/>
    <s v="S9"/>
    <x v="1"/>
    <x v="1"/>
    <x v="4"/>
    <x v="1224"/>
    <x v="2"/>
    <s v="TX301244"/>
    <s v="C4"/>
    <x v="2"/>
    <s v="Evening"/>
    <s v="Saturday"/>
    <x v="1236"/>
  </r>
  <r>
    <x v="169"/>
    <s v="17:55"/>
    <s v="S5"/>
    <x v="3"/>
    <x v="5"/>
    <x v="6"/>
    <x v="1225"/>
    <x v="3"/>
    <s v="TX301245"/>
    <s v="C1"/>
    <x v="1"/>
    <s v="Evening"/>
    <s v="Friday"/>
    <x v="1237"/>
  </r>
  <r>
    <x v="102"/>
    <s v="20:46"/>
    <s v="S8"/>
    <x v="1"/>
    <x v="3"/>
    <x v="1"/>
    <x v="1226"/>
    <x v="4"/>
    <s v="TX301246"/>
    <s v="C3"/>
    <x v="0"/>
    <s v="Evening"/>
    <s v="Friday"/>
    <x v="1238"/>
  </r>
  <r>
    <x v="113"/>
    <s v="10:33"/>
    <s v="S5"/>
    <x v="2"/>
    <x v="2"/>
    <x v="0"/>
    <x v="1227"/>
    <x v="4"/>
    <s v="TX301247"/>
    <s v="C3"/>
    <x v="2"/>
    <s v="Morning"/>
    <s v="Saturday"/>
    <x v="1239"/>
  </r>
  <r>
    <x v="426"/>
    <s v="15:19"/>
    <s v="S10"/>
    <x v="0"/>
    <x v="0"/>
    <x v="2"/>
    <x v="1228"/>
    <x v="0"/>
    <s v="TX301248"/>
    <s v="C1"/>
    <x v="2"/>
    <s v="Afternoon"/>
    <s v="Friday"/>
    <x v="1240"/>
  </r>
  <r>
    <x v="59"/>
    <s v="9:10"/>
    <s v="S3"/>
    <x v="1"/>
    <x v="4"/>
    <x v="9"/>
    <x v="1229"/>
    <x v="3"/>
    <s v="TX301249"/>
    <s v="C5"/>
    <x v="2"/>
    <s v="Morning"/>
    <s v="Sunday"/>
    <x v="1241"/>
  </r>
  <r>
    <x v="688"/>
    <s v="12:14"/>
    <s v="S7"/>
    <x v="0"/>
    <x v="1"/>
    <x v="8"/>
    <x v="1230"/>
    <x v="1"/>
    <s v="TX301250"/>
    <s v="C5"/>
    <x v="1"/>
    <s v="Afternoon"/>
    <s v="Tuesday"/>
    <x v="1242"/>
  </r>
  <r>
    <x v="586"/>
    <s v="11:05"/>
    <s v="S1"/>
    <x v="1"/>
    <x v="3"/>
    <x v="0"/>
    <x v="1231"/>
    <x v="2"/>
    <s v="TX301251"/>
    <s v="C3"/>
    <x v="1"/>
    <s v="Morning"/>
    <s v="Thursday"/>
    <x v="1243"/>
  </r>
  <r>
    <x v="365"/>
    <s v="11:27"/>
    <s v="S3"/>
    <x v="3"/>
    <x v="3"/>
    <x v="2"/>
    <x v="1232"/>
    <x v="4"/>
    <s v="TX301252"/>
    <s v="C4"/>
    <x v="3"/>
    <s v="Morning"/>
    <s v="Wednesday"/>
    <x v="1244"/>
  </r>
  <r>
    <x v="689"/>
    <s v="16:09"/>
    <s v="S1"/>
    <x v="2"/>
    <x v="2"/>
    <x v="8"/>
    <x v="1233"/>
    <x v="2"/>
    <s v="TX301253"/>
    <s v="C4"/>
    <x v="1"/>
    <s v="Afternoon"/>
    <s v="Tuesday"/>
    <x v="1245"/>
  </r>
  <r>
    <x v="539"/>
    <s v="10:45"/>
    <s v="S7"/>
    <x v="3"/>
    <x v="6"/>
    <x v="2"/>
    <x v="558"/>
    <x v="4"/>
    <s v="TX301254"/>
    <s v="C5"/>
    <x v="2"/>
    <s v="Morning"/>
    <s v="Tuesday"/>
    <x v="1246"/>
  </r>
  <r>
    <x v="690"/>
    <s v="12:28"/>
    <s v="S8"/>
    <x v="1"/>
    <x v="1"/>
    <x v="9"/>
    <x v="1234"/>
    <x v="4"/>
    <s v="TX301255"/>
    <s v="C3"/>
    <x v="0"/>
    <s v="Afternoon"/>
    <s v="Wednesday"/>
    <x v="1247"/>
  </r>
  <r>
    <x v="691"/>
    <s v="19:00"/>
    <s v="S7"/>
    <x v="2"/>
    <x v="5"/>
    <x v="7"/>
    <x v="1235"/>
    <x v="4"/>
    <s v="TX301256"/>
    <s v="C4"/>
    <x v="0"/>
    <s v="Evening"/>
    <s v="Wednesday"/>
    <x v="1248"/>
  </r>
  <r>
    <x v="197"/>
    <s v="17:13"/>
    <s v="S10"/>
    <x v="2"/>
    <x v="2"/>
    <x v="9"/>
    <x v="1236"/>
    <x v="2"/>
    <s v="TX301257"/>
    <s v="C3"/>
    <x v="0"/>
    <s v="Evening"/>
    <s v="Friday"/>
    <x v="1249"/>
  </r>
  <r>
    <x v="427"/>
    <s v="18:10"/>
    <s v="S5"/>
    <x v="1"/>
    <x v="1"/>
    <x v="3"/>
    <x v="353"/>
    <x v="0"/>
    <s v="TX301258"/>
    <s v="C5"/>
    <x v="1"/>
    <s v="Evening"/>
    <s v="Thursday"/>
    <x v="1250"/>
  </r>
  <r>
    <x v="404"/>
    <s v="13:48"/>
    <s v="S3"/>
    <x v="1"/>
    <x v="5"/>
    <x v="8"/>
    <x v="1237"/>
    <x v="1"/>
    <s v="TX301259"/>
    <s v="C2"/>
    <x v="2"/>
    <s v="Afternoon"/>
    <s v="Thursday"/>
    <x v="1251"/>
  </r>
  <r>
    <x v="692"/>
    <s v="18:09"/>
    <s v="S7"/>
    <x v="3"/>
    <x v="0"/>
    <x v="6"/>
    <x v="1238"/>
    <x v="3"/>
    <s v="TX301260"/>
    <s v="C4"/>
    <x v="3"/>
    <s v="Evening"/>
    <s v="Monday"/>
    <x v="1252"/>
  </r>
  <r>
    <x v="686"/>
    <s v="21:49"/>
    <s v="S1"/>
    <x v="0"/>
    <x v="0"/>
    <x v="5"/>
    <x v="1239"/>
    <x v="3"/>
    <s v="TX301261"/>
    <s v="C3"/>
    <x v="3"/>
    <s v="Evening"/>
    <s v="Friday"/>
    <x v="1253"/>
  </r>
  <r>
    <x v="604"/>
    <s v="16:31"/>
    <s v="S9"/>
    <x v="3"/>
    <x v="6"/>
    <x v="6"/>
    <x v="1240"/>
    <x v="2"/>
    <s v="TX301262"/>
    <s v="C2"/>
    <x v="1"/>
    <s v="Afternoon"/>
    <s v="Monday"/>
    <x v="1254"/>
  </r>
  <r>
    <x v="46"/>
    <s v="14:46"/>
    <s v="S1"/>
    <x v="1"/>
    <x v="2"/>
    <x v="6"/>
    <x v="1241"/>
    <x v="4"/>
    <s v="TX301263"/>
    <s v="C3"/>
    <x v="3"/>
    <s v="Afternoon"/>
    <s v="Friday"/>
    <x v="1255"/>
  </r>
  <r>
    <x v="313"/>
    <s v="9:30"/>
    <s v="S5"/>
    <x v="0"/>
    <x v="2"/>
    <x v="7"/>
    <x v="1242"/>
    <x v="4"/>
    <s v="TX301264"/>
    <s v="C1"/>
    <x v="3"/>
    <s v="Morning"/>
    <s v="Sunday"/>
    <x v="1256"/>
  </r>
  <r>
    <x v="538"/>
    <s v="17:38"/>
    <s v="S9"/>
    <x v="3"/>
    <x v="0"/>
    <x v="7"/>
    <x v="1243"/>
    <x v="3"/>
    <s v="TX301265"/>
    <s v="C5"/>
    <x v="0"/>
    <s v="Evening"/>
    <s v="Sunday"/>
    <x v="1257"/>
  </r>
  <r>
    <x v="562"/>
    <s v="9:20"/>
    <s v="S6"/>
    <x v="1"/>
    <x v="0"/>
    <x v="8"/>
    <x v="1244"/>
    <x v="1"/>
    <s v="TX301266"/>
    <s v="C5"/>
    <x v="0"/>
    <s v="Morning"/>
    <s v="Thursday"/>
    <x v="1258"/>
  </r>
  <r>
    <x v="693"/>
    <s v="13:57"/>
    <s v="S8"/>
    <x v="0"/>
    <x v="5"/>
    <x v="9"/>
    <x v="1245"/>
    <x v="3"/>
    <s v="TX301267"/>
    <s v="C3"/>
    <x v="3"/>
    <s v="Afternoon"/>
    <s v="Tuesday"/>
    <x v="1259"/>
  </r>
  <r>
    <x v="694"/>
    <s v="20:13"/>
    <s v="S1"/>
    <x v="3"/>
    <x v="4"/>
    <x v="5"/>
    <x v="1246"/>
    <x v="3"/>
    <s v="TX301268"/>
    <s v="C2"/>
    <x v="0"/>
    <s v="Evening"/>
    <s v="Wednesday"/>
    <x v="1260"/>
  </r>
  <r>
    <x v="594"/>
    <s v="16:36"/>
    <s v="S6"/>
    <x v="3"/>
    <x v="0"/>
    <x v="7"/>
    <x v="810"/>
    <x v="0"/>
    <s v="TX301269"/>
    <s v="C2"/>
    <x v="2"/>
    <s v="Afternoon"/>
    <s v="Tuesday"/>
    <x v="1261"/>
  </r>
  <r>
    <x v="675"/>
    <s v="12:52"/>
    <s v="S8"/>
    <x v="3"/>
    <x v="5"/>
    <x v="7"/>
    <x v="1247"/>
    <x v="0"/>
    <s v="TX301270"/>
    <s v="C2"/>
    <x v="2"/>
    <s v="Afternoon"/>
    <s v="Saturday"/>
    <x v="1262"/>
  </r>
  <r>
    <x v="476"/>
    <s v="20:41"/>
    <s v="S8"/>
    <x v="3"/>
    <x v="6"/>
    <x v="1"/>
    <x v="1248"/>
    <x v="2"/>
    <s v="TX301271"/>
    <s v="C4"/>
    <x v="0"/>
    <s v="Evening"/>
    <s v="Friday"/>
    <x v="1263"/>
  </r>
  <r>
    <x v="246"/>
    <s v="12:12"/>
    <s v="S5"/>
    <x v="0"/>
    <x v="1"/>
    <x v="7"/>
    <x v="1249"/>
    <x v="1"/>
    <s v="TX301272"/>
    <s v="C4"/>
    <x v="0"/>
    <s v="Afternoon"/>
    <s v="Monday"/>
    <x v="1264"/>
  </r>
  <r>
    <x v="370"/>
    <s v="11:19"/>
    <s v="S10"/>
    <x v="1"/>
    <x v="4"/>
    <x v="1"/>
    <x v="1250"/>
    <x v="2"/>
    <s v="TX301273"/>
    <s v="C5"/>
    <x v="3"/>
    <s v="Morning"/>
    <s v="Friday"/>
    <x v="1265"/>
  </r>
  <r>
    <x v="695"/>
    <s v="15:41"/>
    <s v="S5"/>
    <x v="3"/>
    <x v="0"/>
    <x v="0"/>
    <x v="1251"/>
    <x v="3"/>
    <s v="TX301274"/>
    <s v="C4"/>
    <x v="0"/>
    <s v="Afternoon"/>
    <s v="Saturday"/>
    <x v="1266"/>
  </r>
  <r>
    <x v="696"/>
    <s v="17:29"/>
    <s v="S3"/>
    <x v="2"/>
    <x v="3"/>
    <x v="0"/>
    <x v="1252"/>
    <x v="1"/>
    <s v="TX301275"/>
    <s v="C1"/>
    <x v="0"/>
    <s v="Evening"/>
    <s v="Tuesday"/>
    <x v="1267"/>
  </r>
  <r>
    <x v="649"/>
    <s v="19:48"/>
    <s v="S4"/>
    <x v="3"/>
    <x v="1"/>
    <x v="8"/>
    <x v="1253"/>
    <x v="2"/>
    <s v="TX301276"/>
    <s v="C4"/>
    <x v="2"/>
    <s v="Evening"/>
    <s v="Tuesday"/>
    <x v="1268"/>
  </r>
  <r>
    <x v="513"/>
    <s v="11:13"/>
    <s v="S8"/>
    <x v="2"/>
    <x v="4"/>
    <x v="8"/>
    <x v="1254"/>
    <x v="0"/>
    <s v="TX301277"/>
    <s v="C2"/>
    <x v="1"/>
    <s v="Morning"/>
    <s v="Sunday"/>
    <x v="1269"/>
  </r>
  <r>
    <x v="594"/>
    <s v="9:54"/>
    <s v="S2"/>
    <x v="2"/>
    <x v="0"/>
    <x v="1"/>
    <x v="1255"/>
    <x v="3"/>
    <s v="TX301278"/>
    <s v="C4"/>
    <x v="3"/>
    <s v="Morning"/>
    <s v="Tuesday"/>
    <x v="1270"/>
  </r>
  <r>
    <x v="90"/>
    <s v="9:14"/>
    <s v="S10"/>
    <x v="0"/>
    <x v="0"/>
    <x v="2"/>
    <x v="1256"/>
    <x v="0"/>
    <s v="TX301279"/>
    <s v="C2"/>
    <x v="3"/>
    <s v="Morning"/>
    <s v="Tuesday"/>
    <x v="1271"/>
  </r>
  <r>
    <x v="697"/>
    <s v="18:34"/>
    <s v="S10"/>
    <x v="3"/>
    <x v="1"/>
    <x v="8"/>
    <x v="1257"/>
    <x v="3"/>
    <s v="TX301280"/>
    <s v="C4"/>
    <x v="3"/>
    <s v="Evening"/>
    <s v="Sunday"/>
    <x v="1272"/>
  </r>
  <r>
    <x v="552"/>
    <s v="11:44"/>
    <s v="S3"/>
    <x v="3"/>
    <x v="4"/>
    <x v="7"/>
    <x v="1258"/>
    <x v="1"/>
    <s v="TX301281"/>
    <s v="C1"/>
    <x v="0"/>
    <s v="Morning"/>
    <s v="Friday"/>
    <x v="1273"/>
  </r>
  <r>
    <x v="698"/>
    <s v="16:45"/>
    <s v="S3"/>
    <x v="1"/>
    <x v="1"/>
    <x v="1"/>
    <x v="1259"/>
    <x v="3"/>
    <s v="TX301282"/>
    <s v="C3"/>
    <x v="1"/>
    <s v="Afternoon"/>
    <s v="Monday"/>
    <x v="1274"/>
  </r>
  <r>
    <x v="396"/>
    <s v="10:20"/>
    <s v="S4"/>
    <x v="0"/>
    <x v="0"/>
    <x v="3"/>
    <x v="1260"/>
    <x v="3"/>
    <s v="TX301283"/>
    <s v="C5"/>
    <x v="2"/>
    <s v="Morning"/>
    <s v="Wednesday"/>
    <x v="1275"/>
  </r>
  <r>
    <x v="110"/>
    <s v="13:16"/>
    <s v="S8"/>
    <x v="2"/>
    <x v="5"/>
    <x v="2"/>
    <x v="1261"/>
    <x v="3"/>
    <s v="TX301284"/>
    <s v="C5"/>
    <x v="1"/>
    <s v="Afternoon"/>
    <s v="Tuesday"/>
    <x v="1276"/>
  </r>
  <r>
    <x v="285"/>
    <s v="20:53"/>
    <s v="S4"/>
    <x v="3"/>
    <x v="5"/>
    <x v="5"/>
    <x v="1262"/>
    <x v="4"/>
    <s v="TX301285"/>
    <s v="C3"/>
    <x v="1"/>
    <s v="Evening"/>
    <s v="Monday"/>
    <x v="1277"/>
  </r>
  <r>
    <x v="699"/>
    <s v="15:16"/>
    <s v="S7"/>
    <x v="2"/>
    <x v="6"/>
    <x v="1"/>
    <x v="1263"/>
    <x v="1"/>
    <s v="TX301286"/>
    <s v="C2"/>
    <x v="2"/>
    <s v="Afternoon"/>
    <s v="Monday"/>
    <x v="1278"/>
  </r>
  <r>
    <x v="244"/>
    <s v="20:09"/>
    <s v="S9"/>
    <x v="2"/>
    <x v="0"/>
    <x v="7"/>
    <x v="1264"/>
    <x v="1"/>
    <s v="TX301287"/>
    <s v="C1"/>
    <x v="2"/>
    <s v="Evening"/>
    <s v="Thursday"/>
    <x v="1279"/>
  </r>
  <r>
    <x v="166"/>
    <s v="10:11"/>
    <s v="S7"/>
    <x v="3"/>
    <x v="5"/>
    <x v="4"/>
    <x v="1265"/>
    <x v="3"/>
    <s v="TX301288"/>
    <s v="C5"/>
    <x v="2"/>
    <s v="Morning"/>
    <s v="Sunday"/>
    <x v="1280"/>
  </r>
  <r>
    <x v="472"/>
    <s v="12:24"/>
    <s v="S6"/>
    <x v="2"/>
    <x v="5"/>
    <x v="1"/>
    <x v="1266"/>
    <x v="0"/>
    <s v="TX301289"/>
    <s v="C3"/>
    <x v="3"/>
    <s v="Afternoon"/>
    <s v="Saturday"/>
    <x v="1281"/>
  </r>
  <r>
    <x v="493"/>
    <s v="13:09"/>
    <s v="S10"/>
    <x v="0"/>
    <x v="1"/>
    <x v="0"/>
    <x v="1267"/>
    <x v="0"/>
    <s v="TX301290"/>
    <s v="C3"/>
    <x v="2"/>
    <s v="Afternoon"/>
    <s v="Monday"/>
    <x v="1282"/>
  </r>
  <r>
    <x v="700"/>
    <s v="15:22"/>
    <s v="S6"/>
    <x v="3"/>
    <x v="2"/>
    <x v="5"/>
    <x v="1268"/>
    <x v="0"/>
    <s v="TX301291"/>
    <s v="C2"/>
    <x v="2"/>
    <s v="Afternoon"/>
    <s v="Sunday"/>
    <x v="1283"/>
  </r>
  <r>
    <x v="20"/>
    <s v="15:40"/>
    <s v="S10"/>
    <x v="1"/>
    <x v="2"/>
    <x v="0"/>
    <x v="1269"/>
    <x v="4"/>
    <s v="TX301292"/>
    <s v="C2"/>
    <x v="3"/>
    <s v="Afternoon"/>
    <s v="Monday"/>
    <x v="1284"/>
  </r>
  <r>
    <x v="320"/>
    <s v="16:32"/>
    <s v="S7"/>
    <x v="2"/>
    <x v="5"/>
    <x v="8"/>
    <x v="1270"/>
    <x v="3"/>
    <s v="TX301293"/>
    <s v="C5"/>
    <x v="2"/>
    <s v="Afternoon"/>
    <s v="Friday"/>
    <x v="1285"/>
  </r>
  <r>
    <x v="360"/>
    <s v="12:07"/>
    <s v="S10"/>
    <x v="1"/>
    <x v="3"/>
    <x v="7"/>
    <x v="1271"/>
    <x v="1"/>
    <s v="TX301294"/>
    <s v="C3"/>
    <x v="3"/>
    <s v="Afternoon"/>
    <s v="Saturday"/>
    <x v="1286"/>
  </r>
  <r>
    <x v="141"/>
    <s v="16:37"/>
    <s v="S1"/>
    <x v="2"/>
    <x v="0"/>
    <x v="2"/>
    <x v="1272"/>
    <x v="4"/>
    <s v="TX301295"/>
    <s v="C1"/>
    <x v="1"/>
    <s v="Afternoon"/>
    <s v="Friday"/>
    <x v="1287"/>
  </r>
  <r>
    <x v="682"/>
    <s v="21:56"/>
    <s v="S4"/>
    <x v="0"/>
    <x v="2"/>
    <x v="0"/>
    <x v="1273"/>
    <x v="0"/>
    <s v="TX301296"/>
    <s v="C3"/>
    <x v="0"/>
    <s v="Evening"/>
    <s v="Saturday"/>
    <x v="1288"/>
  </r>
  <r>
    <x v="152"/>
    <s v="21:43"/>
    <s v="S10"/>
    <x v="2"/>
    <x v="2"/>
    <x v="9"/>
    <x v="1274"/>
    <x v="2"/>
    <s v="TX301297"/>
    <s v="C2"/>
    <x v="0"/>
    <s v="Evening"/>
    <s v="Wednesday"/>
    <x v="1289"/>
  </r>
  <r>
    <x v="163"/>
    <s v="13:30"/>
    <s v="S6"/>
    <x v="2"/>
    <x v="0"/>
    <x v="3"/>
    <x v="1275"/>
    <x v="1"/>
    <s v="TX301298"/>
    <s v="C5"/>
    <x v="2"/>
    <s v="Afternoon"/>
    <s v="Tuesday"/>
    <x v="1290"/>
  </r>
  <r>
    <x v="701"/>
    <s v="16:07"/>
    <s v="S5"/>
    <x v="3"/>
    <x v="3"/>
    <x v="6"/>
    <x v="1276"/>
    <x v="2"/>
    <s v="TX301299"/>
    <s v="C5"/>
    <x v="1"/>
    <s v="Afternoon"/>
    <s v="Saturday"/>
    <x v="1291"/>
  </r>
  <r>
    <x v="702"/>
    <s v="17:27"/>
    <s v="S10"/>
    <x v="1"/>
    <x v="5"/>
    <x v="7"/>
    <x v="1277"/>
    <x v="3"/>
    <s v="TX301300"/>
    <s v="C3"/>
    <x v="0"/>
    <s v="Evening"/>
    <s v="Wednesday"/>
    <x v="1292"/>
  </r>
  <r>
    <x v="583"/>
    <s v="21:56"/>
    <s v="S9"/>
    <x v="1"/>
    <x v="3"/>
    <x v="3"/>
    <x v="1278"/>
    <x v="0"/>
    <s v="TX301301"/>
    <s v="C4"/>
    <x v="0"/>
    <s v="Evening"/>
    <s v="Thursday"/>
    <x v="1293"/>
  </r>
  <r>
    <x v="131"/>
    <s v="20:26"/>
    <s v="S1"/>
    <x v="2"/>
    <x v="3"/>
    <x v="7"/>
    <x v="1279"/>
    <x v="4"/>
    <s v="TX301302"/>
    <s v="C2"/>
    <x v="2"/>
    <s v="Evening"/>
    <s v="Sunday"/>
    <x v="1294"/>
  </r>
  <r>
    <x v="703"/>
    <s v="16:36"/>
    <s v="S5"/>
    <x v="0"/>
    <x v="0"/>
    <x v="3"/>
    <x v="1280"/>
    <x v="0"/>
    <s v="TX301303"/>
    <s v="C5"/>
    <x v="3"/>
    <s v="Afternoon"/>
    <s v="Friday"/>
    <x v="1295"/>
  </r>
  <r>
    <x v="704"/>
    <s v="13:00"/>
    <s v="S8"/>
    <x v="3"/>
    <x v="5"/>
    <x v="9"/>
    <x v="1281"/>
    <x v="2"/>
    <s v="TX301304"/>
    <s v="C4"/>
    <x v="3"/>
    <s v="Afternoon"/>
    <s v="Friday"/>
    <x v="1296"/>
  </r>
  <r>
    <x v="696"/>
    <s v="15:41"/>
    <s v="S5"/>
    <x v="3"/>
    <x v="6"/>
    <x v="9"/>
    <x v="1282"/>
    <x v="3"/>
    <s v="TX301305"/>
    <s v="C1"/>
    <x v="2"/>
    <s v="Afternoon"/>
    <s v="Tuesday"/>
    <x v="1297"/>
  </r>
  <r>
    <x v="705"/>
    <s v="19:18"/>
    <s v="S3"/>
    <x v="3"/>
    <x v="3"/>
    <x v="7"/>
    <x v="1283"/>
    <x v="4"/>
    <s v="TX301306"/>
    <s v="C4"/>
    <x v="1"/>
    <s v="Evening"/>
    <s v="Thursday"/>
    <x v="1298"/>
  </r>
  <r>
    <x v="706"/>
    <s v="21:48"/>
    <s v="S5"/>
    <x v="1"/>
    <x v="0"/>
    <x v="2"/>
    <x v="1284"/>
    <x v="1"/>
    <s v="TX301307"/>
    <s v="C5"/>
    <x v="2"/>
    <s v="Evening"/>
    <s v="Thursday"/>
    <x v="1299"/>
  </r>
  <r>
    <x v="26"/>
    <s v="9:32"/>
    <s v="S3"/>
    <x v="0"/>
    <x v="1"/>
    <x v="4"/>
    <x v="1285"/>
    <x v="0"/>
    <s v="TX301308"/>
    <s v="C3"/>
    <x v="2"/>
    <s v="Morning"/>
    <s v="Monday"/>
    <x v="1300"/>
  </r>
  <r>
    <x v="707"/>
    <s v="11:18"/>
    <s v="S3"/>
    <x v="0"/>
    <x v="5"/>
    <x v="6"/>
    <x v="1286"/>
    <x v="1"/>
    <s v="TX301309"/>
    <s v="C2"/>
    <x v="3"/>
    <s v="Morning"/>
    <s v="Thursday"/>
    <x v="1301"/>
  </r>
  <r>
    <x v="2"/>
    <s v="16:36"/>
    <s v="S9"/>
    <x v="1"/>
    <x v="0"/>
    <x v="0"/>
    <x v="1287"/>
    <x v="0"/>
    <s v="TX301310"/>
    <s v="C5"/>
    <x v="2"/>
    <s v="Afternoon"/>
    <s v="Friday"/>
    <x v="1302"/>
  </r>
  <r>
    <x v="623"/>
    <s v="18:36"/>
    <s v="S2"/>
    <x v="1"/>
    <x v="4"/>
    <x v="2"/>
    <x v="1288"/>
    <x v="3"/>
    <s v="TX301311"/>
    <s v="C4"/>
    <x v="3"/>
    <s v="Evening"/>
    <s v="Tuesday"/>
    <x v="1303"/>
  </r>
  <r>
    <x v="655"/>
    <s v="13:55"/>
    <s v="S4"/>
    <x v="2"/>
    <x v="0"/>
    <x v="0"/>
    <x v="1289"/>
    <x v="1"/>
    <s v="TX301312"/>
    <s v="C4"/>
    <x v="2"/>
    <s v="Afternoon"/>
    <s v="Saturday"/>
    <x v="1304"/>
  </r>
  <r>
    <x v="208"/>
    <s v="16:04"/>
    <s v="S4"/>
    <x v="1"/>
    <x v="2"/>
    <x v="5"/>
    <x v="1290"/>
    <x v="1"/>
    <s v="TX301313"/>
    <s v="C2"/>
    <x v="0"/>
    <s v="Afternoon"/>
    <s v="Tuesday"/>
    <x v="1305"/>
  </r>
  <r>
    <x v="167"/>
    <s v="15:57"/>
    <s v="S9"/>
    <x v="0"/>
    <x v="2"/>
    <x v="8"/>
    <x v="1291"/>
    <x v="2"/>
    <s v="TX301314"/>
    <s v="C2"/>
    <x v="1"/>
    <s v="Afternoon"/>
    <s v="Thursday"/>
    <x v="1306"/>
  </r>
  <r>
    <x v="708"/>
    <s v="17:56"/>
    <s v="S10"/>
    <x v="1"/>
    <x v="2"/>
    <x v="9"/>
    <x v="1292"/>
    <x v="4"/>
    <s v="TX301315"/>
    <s v="C4"/>
    <x v="2"/>
    <s v="Evening"/>
    <s v="Sunday"/>
    <x v="1307"/>
  </r>
  <r>
    <x v="301"/>
    <s v="13:37"/>
    <s v="S1"/>
    <x v="1"/>
    <x v="1"/>
    <x v="9"/>
    <x v="1293"/>
    <x v="0"/>
    <s v="TX301316"/>
    <s v="C1"/>
    <x v="1"/>
    <s v="Afternoon"/>
    <s v="Tuesday"/>
    <x v="1308"/>
  </r>
  <r>
    <x v="258"/>
    <s v="12:50"/>
    <s v="S7"/>
    <x v="1"/>
    <x v="2"/>
    <x v="1"/>
    <x v="1294"/>
    <x v="0"/>
    <s v="TX301317"/>
    <s v="C5"/>
    <x v="1"/>
    <s v="Afternoon"/>
    <s v="Wednesday"/>
    <x v="1309"/>
  </r>
  <r>
    <x v="709"/>
    <s v="16:46"/>
    <s v="S8"/>
    <x v="1"/>
    <x v="0"/>
    <x v="5"/>
    <x v="1241"/>
    <x v="3"/>
    <s v="TX301318"/>
    <s v="C5"/>
    <x v="3"/>
    <s v="Afternoon"/>
    <s v="Wednesday"/>
    <x v="1310"/>
  </r>
  <r>
    <x v="237"/>
    <s v="16:28"/>
    <s v="S9"/>
    <x v="1"/>
    <x v="0"/>
    <x v="4"/>
    <x v="1295"/>
    <x v="3"/>
    <s v="TX301319"/>
    <s v="C3"/>
    <x v="0"/>
    <s v="Afternoon"/>
    <s v="Wednesday"/>
    <x v="1311"/>
  </r>
  <r>
    <x v="569"/>
    <s v="18:00"/>
    <s v="S3"/>
    <x v="2"/>
    <x v="1"/>
    <x v="1"/>
    <x v="1296"/>
    <x v="2"/>
    <s v="TX301320"/>
    <s v="C2"/>
    <x v="1"/>
    <s v="Evening"/>
    <s v="Thursday"/>
    <x v="1312"/>
  </r>
  <r>
    <x v="710"/>
    <s v="18:34"/>
    <s v="S7"/>
    <x v="1"/>
    <x v="3"/>
    <x v="1"/>
    <x v="1297"/>
    <x v="3"/>
    <s v="TX301321"/>
    <s v="C3"/>
    <x v="3"/>
    <s v="Evening"/>
    <s v="Saturday"/>
    <x v="1313"/>
  </r>
  <r>
    <x v="711"/>
    <s v="21:33"/>
    <s v="S2"/>
    <x v="0"/>
    <x v="3"/>
    <x v="6"/>
    <x v="1298"/>
    <x v="2"/>
    <s v="TX301322"/>
    <s v="C4"/>
    <x v="0"/>
    <s v="Evening"/>
    <s v="Tuesday"/>
    <x v="1314"/>
  </r>
  <r>
    <x v="712"/>
    <s v="18:11"/>
    <s v="S1"/>
    <x v="0"/>
    <x v="0"/>
    <x v="4"/>
    <x v="1299"/>
    <x v="0"/>
    <s v="TX301323"/>
    <s v="C4"/>
    <x v="1"/>
    <s v="Evening"/>
    <s v="Tuesday"/>
    <x v="1315"/>
  </r>
  <r>
    <x v="713"/>
    <s v="12:12"/>
    <s v="S8"/>
    <x v="1"/>
    <x v="6"/>
    <x v="5"/>
    <x v="1300"/>
    <x v="0"/>
    <s v="TX301324"/>
    <s v="C1"/>
    <x v="3"/>
    <s v="Afternoon"/>
    <s v="Friday"/>
    <x v="1316"/>
  </r>
  <r>
    <x v="94"/>
    <s v="20:15"/>
    <s v="S5"/>
    <x v="0"/>
    <x v="6"/>
    <x v="6"/>
    <x v="1301"/>
    <x v="4"/>
    <s v="TX301325"/>
    <s v="C1"/>
    <x v="3"/>
    <s v="Evening"/>
    <s v="Friday"/>
    <x v="1317"/>
  </r>
  <r>
    <x v="48"/>
    <s v="11:01"/>
    <s v="S1"/>
    <x v="3"/>
    <x v="2"/>
    <x v="3"/>
    <x v="1302"/>
    <x v="0"/>
    <s v="TX301326"/>
    <s v="C1"/>
    <x v="2"/>
    <s v="Morning"/>
    <s v="Friday"/>
    <x v="1318"/>
  </r>
  <r>
    <x v="420"/>
    <s v="11:38"/>
    <s v="S1"/>
    <x v="2"/>
    <x v="3"/>
    <x v="8"/>
    <x v="1303"/>
    <x v="1"/>
    <s v="TX301327"/>
    <s v="C2"/>
    <x v="2"/>
    <s v="Morning"/>
    <s v="Wednesday"/>
    <x v="1319"/>
  </r>
  <r>
    <x v="185"/>
    <s v="12:11"/>
    <s v="S6"/>
    <x v="0"/>
    <x v="2"/>
    <x v="8"/>
    <x v="1304"/>
    <x v="2"/>
    <s v="TX301328"/>
    <s v="C4"/>
    <x v="3"/>
    <s v="Afternoon"/>
    <s v="Friday"/>
    <x v="1320"/>
  </r>
  <r>
    <x v="714"/>
    <s v="9:08"/>
    <s v="S5"/>
    <x v="3"/>
    <x v="2"/>
    <x v="6"/>
    <x v="1305"/>
    <x v="2"/>
    <s v="TX301329"/>
    <s v="C2"/>
    <x v="2"/>
    <s v="Morning"/>
    <s v="Wednesday"/>
    <x v="1321"/>
  </r>
  <r>
    <x v="323"/>
    <s v="16:23"/>
    <s v="S7"/>
    <x v="0"/>
    <x v="1"/>
    <x v="0"/>
    <x v="1306"/>
    <x v="0"/>
    <s v="TX301330"/>
    <s v="C3"/>
    <x v="0"/>
    <s v="Afternoon"/>
    <s v="Monday"/>
    <x v="1322"/>
  </r>
  <r>
    <x v="499"/>
    <s v="14:55"/>
    <s v="S8"/>
    <x v="2"/>
    <x v="1"/>
    <x v="6"/>
    <x v="1307"/>
    <x v="2"/>
    <s v="TX301331"/>
    <s v="C2"/>
    <x v="2"/>
    <s v="Afternoon"/>
    <s v="Thursday"/>
    <x v="1323"/>
  </r>
  <r>
    <x v="281"/>
    <s v="11:36"/>
    <s v="S3"/>
    <x v="1"/>
    <x v="0"/>
    <x v="6"/>
    <x v="1308"/>
    <x v="4"/>
    <s v="TX301332"/>
    <s v="C1"/>
    <x v="1"/>
    <s v="Morning"/>
    <s v="Wednesday"/>
    <x v="1324"/>
  </r>
  <r>
    <x v="715"/>
    <s v="11:02"/>
    <s v="S3"/>
    <x v="1"/>
    <x v="1"/>
    <x v="1"/>
    <x v="1309"/>
    <x v="4"/>
    <s v="TX301333"/>
    <s v="C5"/>
    <x v="1"/>
    <s v="Morning"/>
    <s v="Saturday"/>
    <x v="1325"/>
  </r>
  <r>
    <x v="44"/>
    <s v="13:15"/>
    <s v="S9"/>
    <x v="0"/>
    <x v="5"/>
    <x v="9"/>
    <x v="1310"/>
    <x v="4"/>
    <s v="TX301334"/>
    <s v="C2"/>
    <x v="3"/>
    <s v="Afternoon"/>
    <s v="Monday"/>
    <x v="1326"/>
  </r>
  <r>
    <x v="474"/>
    <s v="11:40"/>
    <s v="S8"/>
    <x v="1"/>
    <x v="0"/>
    <x v="9"/>
    <x v="1311"/>
    <x v="4"/>
    <s v="TX301335"/>
    <s v="C4"/>
    <x v="2"/>
    <s v="Morning"/>
    <s v="Wednesday"/>
    <x v="1327"/>
  </r>
  <r>
    <x v="170"/>
    <s v="15:20"/>
    <s v="S5"/>
    <x v="0"/>
    <x v="6"/>
    <x v="9"/>
    <x v="1312"/>
    <x v="3"/>
    <s v="TX301336"/>
    <s v="C3"/>
    <x v="3"/>
    <s v="Afternoon"/>
    <s v="Tuesday"/>
    <x v="1328"/>
  </r>
  <r>
    <x v="547"/>
    <s v="13:08"/>
    <s v="S2"/>
    <x v="2"/>
    <x v="5"/>
    <x v="6"/>
    <x v="1313"/>
    <x v="3"/>
    <s v="TX301337"/>
    <s v="C4"/>
    <x v="3"/>
    <s v="Afternoon"/>
    <s v="Tuesday"/>
    <x v="1329"/>
  </r>
  <r>
    <x v="336"/>
    <s v="15:25"/>
    <s v="S7"/>
    <x v="1"/>
    <x v="1"/>
    <x v="4"/>
    <x v="1314"/>
    <x v="1"/>
    <s v="TX301338"/>
    <s v="C2"/>
    <x v="2"/>
    <s v="Afternoon"/>
    <s v="Tuesday"/>
    <x v="1330"/>
  </r>
  <r>
    <x v="13"/>
    <s v="18:13"/>
    <s v="S3"/>
    <x v="0"/>
    <x v="2"/>
    <x v="3"/>
    <x v="1315"/>
    <x v="0"/>
    <s v="TX301339"/>
    <s v="C5"/>
    <x v="0"/>
    <s v="Evening"/>
    <s v="Tuesday"/>
    <x v="1331"/>
  </r>
  <r>
    <x v="531"/>
    <s v="10:00"/>
    <s v="S4"/>
    <x v="3"/>
    <x v="0"/>
    <x v="1"/>
    <x v="1316"/>
    <x v="2"/>
    <s v="TX301340"/>
    <s v="C4"/>
    <x v="3"/>
    <s v="Morning"/>
    <s v="Saturday"/>
    <x v="1332"/>
  </r>
  <r>
    <x v="647"/>
    <s v="21:52"/>
    <s v="S9"/>
    <x v="0"/>
    <x v="4"/>
    <x v="5"/>
    <x v="1317"/>
    <x v="3"/>
    <s v="TX301341"/>
    <s v="C3"/>
    <x v="0"/>
    <s v="Evening"/>
    <s v="Sunday"/>
    <x v="1333"/>
  </r>
  <r>
    <x v="62"/>
    <s v="17:09"/>
    <s v="S3"/>
    <x v="2"/>
    <x v="0"/>
    <x v="0"/>
    <x v="1318"/>
    <x v="2"/>
    <s v="TX301342"/>
    <s v="C5"/>
    <x v="3"/>
    <s v="Evening"/>
    <s v="Thursday"/>
    <x v="1334"/>
  </r>
  <r>
    <x v="232"/>
    <s v="9:38"/>
    <s v="S4"/>
    <x v="3"/>
    <x v="5"/>
    <x v="7"/>
    <x v="1319"/>
    <x v="4"/>
    <s v="TX301343"/>
    <s v="C4"/>
    <x v="2"/>
    <s v="Morning"/>
    <s v="Thursday"/>
    <x v="1335"/>
  </r>
  <r>
    <x v="16"/>
    <s v="15:05"/>
    <s v="S2"/>
    <x v="3"/>
    <x v="4"/>
    <x v="4"/>
    <x v="1320"/>
    <x v="2"/>
    <s v="TX301344"/>
    <s v="C2"/>
    <x v="2"/>
    <s v="Afternoon"/>
    <s v="Sunday"/>
    <x v="1336"/>
  </r>
  <r>
    <x v="293"/>
    <s v="16:34"/>
    <s v="S7"/>
    <x v="1"/>
    <x v="4"/>
    <x v="3"/>
    <x v="1321"/>
    <x v="0"/>
    <s v="TX301345"/>
    <s v="C5"/>
    <x v="1"/>
    <s v="Afternoon"/>
    <s v="Thursday"/>
    <x v="1337"/>
  </r>
  <r>
    <x v="716"/>
    <s v="19:10"/>
    <s v="S6"/>
    <x v="0"/>
    <x v="0"/>
    <x v="3"/>
    <x v="1322"/>
    <x v="3"/>
    <s v="TX301346"/>
    <s v="C5"/>
    <x v="1"/>
    <s v="Evening"/>
    <s v="Sunday"/>
    <x v="1338"/>
  </r>
  <r>
    <x v="702"/>
    <s v="16:19"/>
    <s v="S7"/>
    <x v="2"/>
    <x v="3"/>
    <x v="5"/>
    <x v="1323"/>
    <x v="3"/>
    <s v="TX301347"/>
    <s v="C5"/>
    <x v="2"/>
    <s v="Afternoon"/>
    <s v="Wednesday"/>
    <x v="1339"/>
  </r>
  <r>
    <x v="473"/>
    <s v="19:42"/>
    <s v="S5"/>
    <x v="2"/>
    <x v="1"/>
    <x v="0"/>
    <x v="1324"/>
    <x v="3"/>
    <s v="TX301348"/>
    <s v="C2"/>
    <x v="0"/>
    <s v="Evening"/>
    <s v="Monday"/>
    <x v="1340"/>
  </r>
  <r>
    <x v="307"/>
    <s v="19:56"/>
    <s v="S9"/>
    <x v="1"/>
    <x v="6"/>
    <x v="5"/>
    <x v="1325"/>
    <x v="1"/>
    <s v="TX301349"/>
    <s v="C4"/>
    <x v="3"/>
    <s v="Evening"/>
    <s v="Thursday"/>
    <x v="1341"/>
  </r>
  <r>
    <x v="73"/>
    <s v="9:27"/>
    <s v="S10"/>
    <x v="2"/>
    <x v="4"/>
    <x v="4"/>
    <x v="1326"/>
    <x v="4"/>
    <s v="TX301350"/>
    <s v="C4"/>
    <x v="0"/>
    <s v="Morning"/>
    <s v="Tuesday"/>
    <x v="1342"/>
  </r>
  <r>
    <x v="676"/>
    <s v="10:24"/>
    <s v="S2"/>
    <x v="1"/>
    <x v="3"/>
    <x v="5"/>
    <x v="1327"/>
    <x v="2"/>
    <s v="TX301351"/>
    <s v="C1"/>
    <x v="0"/>
    <s v="Morning"/>
    <s v="Monday"/>
    <x v="1343"/>
  </r>
  <r>
    <x v="272"/>
    <s v="19:01"/>
    <s v="S7"/>
    <x v="0"/>
    <x v="2"/>
    <x v="9"/>
    <x v="1328"/>
    <x v="1"/>
    <s v="TX301352"/>
    <s v="C3"/>
    <x v="1"/>
    <s v="Evening"/>
    <s v="Monday"/>
    <x v="1344"/>
  </r>
  <r>
    <x v="642"/>
    <s v="14:11"/>
    <s v="S2"/>
    <x v="1"/>
    <x v="6"/>
    <x v="6"/>
    <x v="874"/>
    <x v="1"/>
    <s v="TX301353"/>
    <s v="C4"/>
    <x v="0"/>
    <s v="Afternoon"/>
    <s v="Tuesday"/>
    <x v="1345"/>
  </r>
  <r>
    <x v="570"/>
    <s v="12:55"/>
    <s v="S3"/>
    <x v="2"/>
    <x v="1"/>
    <x v="0"/>
    <x v="1329"/>
    <x v="1"/>
    <s v="TX301354"/>
    <s v="C3"/>
    <x v="3"/>
    <s v="Afternoon"/>
    <s v="Tuesday"/>
    <x v="1346"/>
  </r>
  <r>
    <x v="208"/>
    <s v="21:26"/>
    <s v="S7"/>
    <x v="2"/>
    <x v="0"/>
    <x v="8"/>
    <x v="1330"/>
    <x v="4"/>
    <s v="TX301355"/>
    <s v="C4"/>
    <x v="2"/>
    <s v="Evening"/>
    <s v="Tuesday"/>
    <x v="1347"/>
  </r>
  <r>
    <x v="717"/>
    <s v="21:50"/>
    <s v="S8"/>
    <x v="2"/>
    <x v="6"/>
    <x v="7"/>
    <x v="1331"/>
    <x v="1"/>
    <s v="TX301356"/>
    <s v="C5"/>
    <x v="3"/>
    <s v="Evening"/>
    <s v="Saturday"/>
    <x v="1348"/>
  </r>
  <r>
    <x v="264"/>
    <s v="13:32"/>
    <s v="S7"/>
    <x v="3"/>
    <x v="3"/>
    <x v="1"/>
    <x v="1332"/>
    <x v="0"/>
    <s v="TX301357"/>
    <s v="C3"/>
    <x v="0"/>
    <s v="Afternoon"/>
    <s v="Thursday"/>
    <x v="1349"/>
  </r>
  <r>
    <x v="718"/>
    <s v="14:06"/>
    <s v="S6"/>
    <x v="1"/>
    <x v="0"/>
    <x v="7"/>
    <x v="1333"/>
    <x v="3"/>
    <s v="TX301358"/>
    <s v="C1"/>
    <x v="0"/>
    <s v="Afternoon"/>
    <s v="Saturday"/>
    <x v="1350"/>
  </r>
  <r>
    <x v="199"/>
    <s v="15:36"/>
    <s v="S9"/>
    <x v="1"/>
    <x v="3"/>
    <x v="7"/>
    <x v="1334"/>
    <x v="4"/>
    <s v="TX301359"/>
    <s v="C5"/>
    <x v="0"/>
    <s v="Afternoon"/>
    <s v="Sunday"/>
    <x v="1351"/>
  </r>
  <r>
    <x v="324"/>
    <s v="10:50"/>
    <s v="S3"/>
    <x v="1"/>
    <x v="6"/>
    <x v="0"/>
    <x v="1335"/>
    <x v="4"/>
    <s v="TX301360"/>
    <s v="C1"/>
    <x v="3"/>
    <s v="Morning"/>
    <s v="Monday"/>
    <x v="1352"/>
  </r>
  <r>
    <x v="400"/>
    <s v="21:04"/>
    <s v="S2"/>
    <x v="0"/>
    <x v="6"/>
    <x v="3"/>
    <x v="1336"/>
    <x v="2"/>
    <s v="TX301361"/>
    <s v="C4"/>
    <x v="2"/>
    <s v="Evening"/>
    <s v="Saturday"/>
    <x v="1353"/>
  </r>
  <r>
    <x v="430"/>
    <s v="18:35"/>
    <s v="S5"/>
    <x v="1"/>
    <x v="3"/>
    <x v="6"/>
    <x v="1337"/>
    <x v="3"/>
    <s v="TX301362"/>
    <s v="C4"/>
    <x v="0"/>
    <s v="Evening"/>
    <s v="Friday"/>
    <x v="1354"/>
  </r>
  <r>
    <x v="211"/>
    <s v="12:15"/>
    <s v="S6"/>
    <x v="2"/>
    <x v="5"/>
    <x v="8"/>
    <x v="1338"/>
    <x v="1"/>
    <s v="TX301363"/>
    <s v="C5"/>
    <x v="0"/>
    <s v="Afternoon"/>
    <s v="Tuesday"/>
    <x v="1355"/>
  </r>
  <r>
    <x v="169"/>
    <s v="9:44"/>
    <s v="S9"/>
    <x v="2"/>
    <x v="6"/>
    <x v="6"/>
    <x v="1339"/>
    <x v="3"/>
    <s v="TX301364"/>
    <s v="C3"/>
    <x v="3"/>
    <s v="Morning"/>
    <s v="Friday"/>
    <x v="1356"/>
  </r>
  <r>
    <x v="0"/>
    <s v="14:17"/>
    <s v="S6"/>
    <x v="1"/>
    <x v="5"/>
    <x v="7"/>
    <x v="1340"/>
    <x v="2"/>
    <s v="TX301365"/>
    <s v="C4"/>
    <x v="3"/>
    <s v="Afternoon"/>
    <s v="Saturday"/>
    <x v="1357"/>
  </r>
  <r>
    <x v="118"/>
    <s v="11:56"/>
    <s v="S5"/>
    <x v="3"/>
    <x v="2"/>
    <x v="6"/>
    <x v="1341"/>
    <x v="0"/>
    <s v="TX301366"/>
    <s v="C4"/>
    <x v="1"/>
    <s v="Morning"/>
    <s v="Tuesday"/>
    <x v="1358"/>
  </r>
  <r>
    <x v="168"/>
    <s v="19:58"/>
    <s v="S8"/>
    <x v="0"/>
    <x v="3"/>
    <x v="2"/>
    <x v="1342"/>
    <x v="4"/>
    <s v="TX301367"/>
    <s v="C1"/>
    <x v="3"/>
    <s v="Evening"/>
    <s v="Sunday"/>
    <x v="1359"/>
  </r>
  <r>
    <x v="344"/>
    <s v="21:44"/>
    <s v="S3"/>
    <x v="3"/>
    <x v="5"/>
    <x v="8"/>
    <x v="1343"/>
    <x v="1"/>
    <s v="TX301368"/>
    <s v="C2"/>
    <x v="2"/>
    <s v="Evening"/>
    <s v="Sunday"/>
    <x v="1360"/>
  </r>
  <r>
    <x v="372"/>
    <s v="14:26"/>
    <s v="S9"/>
    <x v="1"/>
    <x v="3"/>
    <x v="5"/>
    <x v="713"/>
    <x v="1"/>
    <s v="TX301369"/>
    <s v="C1"/>
    <x v="3"/>
    <s v="Afternoon"/>
    <s v="Monday"/>
    <x v="1361"/>
  </r>
  <r>
    <x v="543"/>
    <s v="14:54"/>
    <s v="S7"/>
    <x v="2"/>
    <x v="0"/>
    <x v="1"/>
    <x v="1344"/>
    <x v="4"/>
    <s v="TX301370"/>
    <s v="C4"/>
    <x v="1"/>
    <s v="Afternoon"/>
    <s v="Monday"/>
    <x v="1362"/>
  </r>
  <r>
    <x v="697"/>
    <s v="10:46"/>
    <s v="S3"/>
    <x v="3"/>
    <x v="3"/>
    <x v="2"/>
    <x v="1345"/>
    <x v="1"/>
    <s v="TX301371"/>
    <s v="C3"/>
    <x v="2"/>
    <s v="Morning"/>
    <s v="Sunday"/>
    <x v="1363"/>
  </r>
  <r>
    <x v="625"/>
    <s v="10:52"/>
    <s v="S7"/>
    <x v="2"/>
    <x v="5"/>
    <x v="4"/>
    <x v="371"/>
    <x v="1"/>
    <s v="TX301372"/>
    <s v="C1"/>
    <x v="1"/>
    <s v="Morning"/>
    <s v="Sunday"/>
    <x v="1364"/>
  </r>
  <r>
    <x v="493"/>
    <s v="9:29"/>
    <s v="S9"/>
    <x v="0"/>
    <x v="5"/>
    <x v="8"/>
    <x v="1131"/>
    <x v="2"/>
    <s v="TX301373"/>
    <s v="C5"/>
    <x v="2"/>
    <s v="Morning"/>
    <s v="Monday"/>
    <x v="1365"/>
  </r>
  <r>
    <x v="719"/>
    <s v="17:17"/>
    <s v="S5"/>
    <x v="1"/>
    <x v="2"/>
    <x v="9"/>
    <x v="1346"/>
    <x v="3"/>
    <s v="TX301374"/>
    <s v="C5"/>
    <x v="3"/>
    <s v="Evening"/>
    <s v="Wednesday"/>
    <x v="1366"/>
  </r>
  <r>
    <x v="695"/>
    <s v="14:11"/>
    <s v="S10"/>
    <x v="2"/>
    <x v="4"/>
    <x v="6"/>
    <x v="1347"/>
    <x v="1"/>
    <s v="TX301375"/>
    <s v="C3"/>
    <x v="3"/>
    <s v="Afternoon"/>
    <s v="Saturday"/>
    <x v="1367"/>
  </r>
  <r>
    <x v="420"/>
    <s v="13:23"/>
    <s v="S7"/>
    <x v="1"/>
    <x v="1"/>
    <x v="8"/>
    <x v="1348"/>
    <x v="1"/>
    <s v="TX301376"/>
    <s v="C4"/>
    <x v="1"/>
    <s v="Afternoon"/>
    <s v="Wednesday"/>
    <x v="1368"/>
  </r>
  <r>
    <x v="430"/>
    <s v="19:01"/>
    <s v="S7"/>
    <x v="1"/>
    <x v="3"/>
    <x v="9"/>
    <x v="1349"/>
    <x v="0"/>
    <s v="TX301377"/>
    <s v="C5"/>
    <x v="3"/>
    <s v="Evening"/>
    <s v="Friday"/>
    <x v="1369"/>
  </r>
  <r>
    <x v="719"/>
    <s v="20:27"/>
    <s v="S1"/>
    <x v="2"/>
    <x v="3"/>
    <x v="5"/>
    <x v="1350"/>
    <x v="1"/>
    <s v="TX301378"/>
    <s v="C5"/>
    <x v="2"/>
    <s v="Evening"/>
    <s v="Wednesday"/>
    <x v="1370"/>
  </r>
  <r>
    <x v="11"/>
    <s v="17:18"/>
    <s v="S10"/>
    <x v="3"/>
    <x v="1"/>
    <x v="0"/>
    <x v="1351"/>
    <x v="4"/>
    <s v="TX301379"/>
    <s v="C3"/>
    <x v="0"/>
    <s v="Evening"/>
    <s v="Friday"/>
    <x v="1371"/>
  </r>
  <r>
    <x v="311"/>
    <s v="20:48"/>
    <s v="S2"/>
    <x v="3"/>
    <x v="1"/>
    <x v="5"/>
    <x v="1352"/>
    <x v="1"/>
    <s v="TX301380"/>
    <s v="C5"/>
    <x v="3"/>
    <s v="Evening"/>
    <s v="Thursday"/>
    <x v="1372"/>
  </r>
  <r>
    <x v="246"/>
    <s v="18:03"/>
    <s v="S6"/>
    <x v="1"/>
    <x v="1"/>
    <x v="8"/>
    <x v="1353"/>
    <x v="3"/>
    <s v="TX301381"/>
    <s v="C1"/>
    <x v="3"/>
    <s v="Evening"/>
    <s v="Monday"/>
    <x v="1373"/>
  </r>
  <r>
    <x v="720"/>
    <s v="15:50"/>
    <s v="S10"/>
    <x v="1"/>
    <x v="4"/>
    <x v="5"/>
    <x v="1354"/>
    <x v="4"/>
    <s v="TX301382"/>
    <s v="C5"/>
    <x v="2"/>
    <s v="Afternoon"/>
    <s v="Sunday"/>
    <x v="1374"/>
  </r>
  <r>
    <x v="256"/>
    <s v="17:54"/>
    <s v="S9"/>
    <x v="2"/>
    <x v="1"/>
    <x v="2"/>
    <x v="1355"/>
    <x v="4"/>
    <s v="TX301383"/>
    <s v="C4"/>
    <x v="3"/>
    <s v="Evening"/>
    <s v="Wednesday"/>
    <x v="1375"/>
  </r>
  <r>
    <x v="435"/>
    <s v="19:41"/>
    <s v="S5"/>
    <x v="3"/>
    <x v="6"/>
    <x v="1"/>
    <x v="1356"/>
    <x v="0"/>
    <s v="TX301384"/>
    <s v="C5"/>
    <x v="2"/>
    <s v="Evening"/>
    <s v="Friday"/>
    <x v="1376"/>
  </r>
  <r>
    <x v="594"/>
    <s v="21:45"/>
    <s v="S4"/>
    <x v="0"/>
    <x v="2"/>
    <x v="1"/>
    <x v="1357"/>
    <x v="0"/>
    <s v="TX301385"/>
    <s v="C3"/>
    <x v="0"/>
    <s v="Evening"/>
    <s v="Tuesday"/>
    <x v="1377"/>
  </r>
  <r>
    <x v="518"/>
    <s v="11:39"/>
    <s v="S6"/>
    <x v="3"/>
    <x v="6"/>
    <x v="6"/>
    <x v="1358"/>
    <x v="2"/>
    <s v="TX301386"/>
    <s v="C1"/>
    <x v="1"/>
    <s v="Morning"/>
    <s v="Monday"/>
    <x v="1378"/>
  </r>
  <r>
    <x v="500"/>
    <s v="14:13"/>
    <s v="S3"/>
    <x v="3"/>
    <x v="6"/>
    <x v="9"/>
    <x v="1359"/>
    <x v="4"/>
    <s v="TX301387"/>
    <s v="C3"/>
    <x v="1"/>
    <s v="Afternoon"/>
    <s v="Wednesday"/>
    <x v="1379"/>
  </r>
  <r>
    <x v="191"/>
    <s v="19:59"/>
    <s v="S2"/>
    <x v="2"/>
    <x v="4"/>
    <x v="4"/>
    <x v="1360"/>
    <x v="3"/>
    <s v="TX301388"/>
    <s v="C2"/>
    <x v="3"/>
    <s v="Evening"/>
    <s v="Thursday"/>
    <x v="1380"/>
  </r>
  <r>
    <x v="193"/>
    <s v="18:05"/>
    <s v="S3"/>
    <x v="2"/>
    <x v="2"/>
    <x v="2"/>
    <x v="1361"/>
    <x v="1"/>
    <s v="TX301389"/>
    <s v="C1"/>
    <x v="1"/>
    <s v="Evening"/>
    <s v="Thursday"/>
    <x v="1381"/>
  </r>
  <r>
    <x v="632"/>
    <s v="16:08"/>
    <s v="S6"/>
    <x v="2"/>
    <x v="3"/>
    <x v="9"/>
    <x v="1362"/>
    <x v="2"/>
    <s v="TX301390"/>
    <s v="C4"/>
    <x v="3"/>
    <s v="Afternoon"/>
    <s v="Monday"/>
    <x v="1382"/>
  </r>
  <r>
    <x v="239"/>
    <s v="16:10"/>
    <s v="S3"/>
    <x v="3"/>
    <x v="1"/>
    <x v="7"/>
    <x v="1363"/>
    <x v="3"/>
    <s v="TX301391"/>
    <s v="C4"/>
    <x v="1"/>
    <s v="Afternoon"/>
    <s v="Monday"/>
    <x v="1383"/>
  </r>
  <r>
    <x v="290"/>
    <s v="17:34"/>
    <s v="S1"/>
    <x v="1"/>
    <x v="1"/>
    <x v="7"/>
    <x v="1364"/>
    <x v="4"/>
    <s v="TX301392"/>
    <s v="C3"/>
    <x v="3"/>
    <s v="Evening"/>
    <s v="Thursday"/>
    <x v="1384"/>
  </r>
  <r>
    <x v="721"/>
    <s v="14:03"/>
    <s v="S2"/>
    <x v="1"/>
    <x v="0"/>
    <x v="7"/>
    <x v="1365"/>
    <x v="1"/>
    <s v="TX301393"/>
    <s v="C2"/>
    <x v="1"/>
    <s v="Afternoon"/>
    <s v="Sunday"/>
    <x v="1385"/>
  </r>
  <r>
    <x v="140"/>
    <s v="19:20"/>
    <s v="S3"/>
    <x v="2"/>
    <x v="1"/>
    <x v="7"/>
    <x v="1366"/>
    <x v="2"/>
    <s v="TX301394"/>
    <s v="C3"/>
    <x v="2"/>
    <s v="Evening"/>
    <s v="Friday"/>
    <x v="1386"/>
  </r>
  <r>
    <x v="493"/>
    <s v="13:14"/>
    <s v="S7"/>
    <x v="3"/>
    <x v="4"/>
    <x v="0"/>
    <x v="1367"/>
    <x v="2"/>
    <s v="TX301395"/>
    <s v="C5"/>
    <x v="0"/>
    <s v="Afternoon"/>
    <s v="Monday"/>
    <x v="1387"/>
  </r>
  <r>
    <x v="499"/>
    <s v="18:17"/>
    <s v="S4"/>
    <x v="2"/>
    <x v="0"/>
    <x v="9"/>
    <x v="1368"/>
    <x v="3"/>
    <s v="TX301396"/>
    <s v="C5"/>
    <x v="0"/>
    <s v="Evening"/>
    <s v="Thursday"/>
    <x v="1388"/>
  </r>
  <r>
    <x v="413"/>
    <s v="20:50"/>
    <s v="S1"/>
    <x v="1"/>
    <x v="6"/>
    <x v="7"/>
    <x v="1369"/>
    <x v="4"/>
    <s v="TX301397"/>
    <s v="C5"/>
    <x v="3"/>
    <s v="Evening"/>
    <s v="Sunday"/>
    <x v="1389"/>
  </r>
  <r>
    <x v="458"/>
    <s v="16:29"/>
    <s v="S7"/>
    <x v="0"/>
    <x v="2"/>
    <x v="3"/>
    <x v="1370"/>
    <x v="0"/>
    <s v="TX301398"/>
    <s v="C5"/>
    <x v="3"/>
    <s v="Afternoon"/>
    <s v="Monday"/>
    <x v="1390"/>
  </r>
  <r>
    <x v="697"/>
    <s v="9:34"/>
    <s v="S8"/>
    <x v="1"/>
    <x v="6"/>
    <x v="9"/>
    <x v="1371"/>
    <x v="2"/>
    <s v="TX301399"/>
    <s v="C5"/>
    <x v="3"/>
    <s v="Morning"/>
    <s v="Sunday"/>
    <x v="1391"/>
  </r>
  <r>
    <x v="635"/>
    <s v="20:49"/>
    <s v="S8"/>
    <x v="0"/>
    <x v="6"/>
    <x v="7"/>
    <x v="1372"/>
    <x v="4"/>
    <s v="TX301400"/>
    <s v="C5"/>
    <x v="3"/>
    <s v="Evening"/>
    <s v="Saturday"/>
    <x v="1392"/>
  </r>
  <r>
    <x v="211"/>
    <s v="10:22"/>
    <s v="S6"/>
    <x v="1"/>
    <x v="0"/>
    <x v="5"/>
    <x v="1373"/>
    <x v="0"/>
    <s v="TX301401"/>
    <s v="C2"/>
    <x v="2"/>
    <s v="Morning"/>
    <s v="Tuesday"/>
    <x v="1393"/>
  </r>
  <r>
    <x v="706"/>
    <s v="21:01"/>
    <s v="S10"/>
    <x v="3"/>
    <x v="0"/>
    <x v="7"/>
    <x v="1374"/>
    <x v="1"/>
    <s v="TX301402"/>
    <s v="C5"/>
    <x v="1"/>
    <s v="Evening"/>
    <s v="Thursday"/>
    <x v="1394"/>
  </r>
  <r>
    <x v="722"/>
    <s v="20:13"/>
    <s v="S8"/>
    <x v="0"/>
    <x v="0"/>
    <x v="1"/>
    <x v="1375"/>
    <x v="0"/>
    <s v="TX301403"/>
    <s v="C4"/>
    <x v="2"/>
    <s v="Evening"/>
    <s v="Wednesday"/>
    <x v="1395"/>
  </r>
  <r>
    <x v="723"/>
    <s v="20:02"/>
    <s v="S2"/>
    <x v="3"/>
    <x v="6"/>
    <x v="4"/>
    <x v="1376"/>
    <x v="4"/>
    <s v="TX301404"/>
    <s v="C3"/>
    <x v="3"/>
    <s v="Evening"/>
    <s v="Wednesday"/>
    <x v="1396"/>
  </r>
  <r>
    <x v="404"/>
    <s v="17:42"/>
    <s v="S8"/>
    <x v="1"/>
    <x v="0"/>
    <x v="5"/>
    <x v="1377"/>
    <x v="4"/>
    <s v="TX301405"/>
    <s v="C1"/>
    <x v="2"/>
    <s v="Evening"/>
    <s v="Thursday"/>
    <x v="1397"/>
  </r>
  <r>
    <x v="537"/>
    <s v="17:37"/>
    <s v="S8"/>
    <x v="3"/>
    <x v="4"/>
    <x v="3"/>
    <x v="1378"/>
    <x v="3"/>
    <s v="TX301406"/>
    <s v="C1"/>
    <x v="3"/>
    <s v="Evening"/>
    <s v="Thursday"/>
    <x v="1398"/>
  </r>
  <r>
    <x v="590"/>
    <s v="10:40"/>
    <s v="S2"/>
    <x v="1"/>
    <x v="1"/>
    <x v="2"/>
    <x v="1379"/>
    <x v="0"/>
    <s v="TX301407"/>
    <s v="C3"/>
    <x v="1"/>
    <s v="Morning"/>
    <s v="Thursday"/>
    <x v="1399"/>
  </r>
  <r>
    <x v="724"/>
    <s v="15:07"/>
    <s v="S8"/>
    <x v="0"/>
    <x v="3"/>
    <x v="9"/>
    <x v="1380"/>
    <x v="2"/>
    <s v="TX301408"/>
    <s v="C4"/>
    <x v="2"/>
    <s v="Afternoon"/>
    <s v="Sunday"/>
    <x v="1400"/>
  </r>
  <r>
    <x v="725"/>
    <s v="18:16"/>
    <s v="S4"/>
    <x v="1"/>
    <x v="5"/>
    <x v="2"/>
    <x v="1381"/>
    <x v="4"/>
    <s v="TX301409"/>
    <s v="C5"/>
    <x v="0"/>
    <s v="Evening"/>
    <s v="Friday"/>
    <x v="1401"/>
  </r>
  <r>
    <x v="726"/>
    <s v="11:03"/>
    <s v="S7"/>
    <x v="1"/>
    <x v="0"/>
    <x v="3"/>
    <x v="1382"/>
    <x v="2"/>
    <s v="TX301410"/>
    <s v="C1"/>
    <x v="0"/>
    <s v="Morning"/>
    <s v="Thursday"/>
    <x v="1402"/>
  </r>
  <r>
    <x v="178"/>
    <s v="12:19"/>
    <s v="S5"/>
    <x v="3"/>
    <x v="3"/>
    <x v="3"/>
    <x v="1383"/>
    <x v="4"/>
    <s v="TX301411"/>
    <s v="C4"/>
    <x v="0"/>
    <s v="Afternoon"/>
    <s v="Sunday"/>
    <x v="1403"/>
  </r>
  <r>
    <x v="248"/>
    <s v="12:31"/>
    <s v="S8"/>
    <x v="1"/>
    <x v="3"/>
    <x v="9"/>
    <x v="1384"/>
    <x v="2"/>
    <s v="TX301412"/>
    <s v="C5"/>
    <x v="3"/>
    <s v="Afternoon"/>
    <s v="Sunday"/>
    <x v="1404"/>
  </r>
  <r>
    <x v="16"/>
    <s v="14:13"/>
    <s v="S9"/>
    <x v="0"/>
    <x v="0"/>
    <x v="1"/>
    <x v="1385"/>
    <x v="2"/>
    <s v="TX301413"/>
    <s v="C1"/>
    <x v="1"/>
    <s v="Afternoon"/>
    <s v="Sunday"/>
    <x v="1405"/>
  </r>
  <r>
    <x v="106"/>
    <s v="17:40"/>
    <s v="S10"/>
    <x v="2"/>
    <x v="0"/>
    <x v="7"/>
    <x v="1386"/>
    <x v="4"/>
    <s v="TX301414"/>
    <s v="C2"/>
    <x v="3"/>
    <s v="Evening"/>
    <s v="Thursday"/>
    <x v="609"/>
  </r>
  <r>
    <x v="450"/>
    <s v="21:47"/>
    <s v="S10"/>
    <x v="3"/>
    <x v="2"/>
    <x v="3"/>
    <x v="1387"/>
    <x v="0"/>
    <s v="TX301415"/>
    <s v="C2"/>
    <x v="0"/>
    <s v="Evening"/>
    <s v="Monday"/>
    <x v="1406"/>
  </r>
  <r>
    <x v="727"/>
    <s v="21:50"/>
    <s v="S9"/>
    <x v="0"/>
    <x v="1"/>
    <x v="8"/>
    <x v="1388"/>
    <x v="3"/>
    <s v="TX301416"/>
    <s v="C5"/>
    <x v="1"/>
    <s v="Evening"/>
    <s v="Saturday"/>
    <x v="1407"/>
  </r>
  <r>
    <x v="728"/>
    <s v="21:43"/>
    <s v="S5"/>
    <x v="0"/>
    <x v="5"/>
    <x v="9"/>
    <x v="1389"/>
    <x v="3"/>
    <s v="TX301417"/>
    <s v="C2"/>
    <x v="2"/>
    <s v="Evening"/>
    <s v="Sunday"/>
    <x v="1408"/>
  </r>
  <r>
    <x v="322"/>
    <s v="11:32"/>
    <s v="S2"/>
    <x v="2"/>
    <x v="6"/>
    <x v="3"/>
    <x v="1390"/>
    <x v="0"/>
    <s v="TX301418"/>
    <s v="C5"/>
    <x v="3"/>
    <s v="Morning"/>
    <s v="Tuesday"/>
    <x v="1409"/>
  </r>
  <r>
    <x v="550"/>
    <s v="19:11"/>
    <s v="S6"/>
    <x v="3"/>
    <x v="6"/>
    <x v="4"/>
    <x v="1391"/>
    <x v="4"/>
    <s v="TX301419"/>
    <s v="C2"/>
    <x v="2"/>
    <s v="Evening"/>
    <s v="Tuesday"/>
    <x v="1410"/>
  </r>
  <r>
    <x v="728"/>
    <s v="9:07"/>
    <s v="S5"/>
    <x v="1"/>
    <x v="3"/>
    <x v="0"/>
    <x v="1392"/>
    <x v="2"/>
    <s v="TX301420"/>
    <s v="C1"/>
    <x v="0"/>
    <s v="Morning"/>
    <s v="Sunday"/>
    <x v="1411"/>
  </r>
  <r>
    <x v="473"/>
    <s v="12:39"/>
    <s v="S5"/>
    <x v="3"/>
    <x v="2"/>
    <x v="3"/>
    <x v="1393"/>
    <x v="1"/>
    <s v="TX301421"/>
    <s v="C3"/>
    <x v="1"/>
    <s v="Afternoon"/>
    <s v="Monday"/>
    <x v="1412"/>
  </r>
  <r>
    <x v="212"/>
    <s v="13:45"/>
    <s v="S10"/>
    <x v="3"/>
    <x v="1"/>
    <x v="2"/>
    <x v="1394"/>
    <x v="2"/>
    <s v="TX301422"/>
    <s v="C5"/>
    <x v="2"/>
    <s v="Afternoon"/>
    <s v="Thursday"/>
    <x v="1413"/>
  </r>
  <r>
    <x v="296"/>
    <s v="10:46"/>
    <s v="S4"/>
    <x v="2"/>
    <x v="4"/>
    <x v="7"/>
    <x v="1395"/>
    <x v="2"/>
    <s v="TX301423"/>
    <s v="C4"/>
    <x v="1"/>
    <s v="Morning"/>
    <s v="Wednesday"/>
    <x v="1414"/>
  </r>
  <r>
    <x v="729"/>
    <s v="17:02"/>
    <s v="S2"/>
    <x v="3"/>
    <x v="2"/>
    <x v="5"/>
    <x v="1396"/>
    <x v="3"/>
    <s v="TX301424"/>
    <s v="C4"/>
    <x v="3"/>
    <s v="Evening"/>
    <s v="Sunday"/>
    <x v="1415"/>
  </r>
  <r>
    <x v="288"/>
    <s v="13:22"/>
    <s v="S4"/>
    <x v="1"/>
    <x v="0"/>
    <x v="6"/>
    <x v="1397"/>
    <x v="3"/>
    <s v="TX301425"/>
    <s v="C1"/>
    <x v="0"/>
    <s v="Afternoon"/>
    <s v="Saturday"/>
    <x v="1416"/>
  </r>
  <r>
    <x v="730"/>
    <s v="20:37"/>
    <s v="S5"/>
    <x v="3"/>
    <x v="4"/>
    <x v="1"/>
    <x v="1398"/>
    <x v="0"/>
    <s v="TX301426"/>
    <s v="C3"/>
    <x v="2"/>
    <s v="Evening"/>
    <s v="Sunday"/>
    <x v="1417"/>
  </r>
  <r>
    <x v="731"/>
    <s v="12:03"/>
    <s v="S10"/>
    <x v="3"/>
    <x v="1"/>
    <x v="0"/>
    <x v="1399"/>
    <x v="4"/>
    <s v="TX301427"/>
    <s v="C2"/>
    <x v="0"/>
    <s v="Afternoon"/>
    <s v="Friday"/>
    <x v="1418"/>
  </r>
  <r>
    <x v="565"/>
    <s v="16:19"/>
    <s v="S1"/>
    <x v="2"/>
    <x v="4"/>
    <x v="9"/>
    <x v="317"/>
    <x v="3"/>
    <s v="TX301428"/>
    <s v="C3"/>
    <x v="2"/>
    <s v="Afternoon"/>
    <s v="Monday"/>
    <x v="1419"/>
  </r>
  <r>
    <x v="732"/>
    <s v="16:03"/>
    <s v="S2"/>
    <x v="0"/>
    <x v="6"/>
    <x v="8"/>
    <x v="1400"/>
    <x v="2"/>
    <s v="TX301429"/>
    <s v="C2"/>
    <x v="0"/>
    <s v="Afternoon"/>
    <s v="Sunday"/>
    <x v="1420"/>
  </r>
  <r>
    <x v="124"/>
    <s v="9:19"/>
    <s v="S1"/>
    <x v="1"/>
    <x v="4"/>
    <x v="7"/>
    <x v="1401"/>
    <x v="1"/>
    <s v="TX301430"/>
    <s v="C5"/>
    <x v="3"/>
    <s v="Morning"/>
    <s v="Monday"/>
    <x v="1421"/>
  </r>
  <r>
    <x v="451"/>
    <s v="19:28"/>
    <s v="S6"/>
    <x v="1"/>
    <x v="0"/>
    <x v="8"/>
    <x v="1402"/>
    <x v="0"/>
    <s v="TX301431"/>
    <s v="C2"/>
    <x v="3"/>
    <s v="Evening"/>
    <s v="Monday"/>
    <x v="1422"/>
  </r>
  <r>
    <x v="423"/>
    <s v="12:53"/>
    <s v="S6"/>
    <x v="2"/>
    <x v="1"/>
    <x v="8"/>
    <x v="1403"/>
    <x v="2"/>
    <s v="TX301432"/>
    <s v="C3"/>
    <x v="1"/>
    <s v="Afternoon"/>
    <s v="Tuesday"/>
    <x v="1423"/>
  </r>
  <r>
    <x v="384"/>
    <s v="12:20"/>
    <s v="S8"/>
    <x v="1"/>
    <x v="2"/>
    <x v="2"/>
    <x v="1404"/>
    <x v="1"/>
    <s v="TX301433"/>
    <s v="C5"/>
    <x v="3"/>
    <s v="Afternoon"/>
    <s v="Friday"/>
    <x v="1424"/>
  </r>
  <r>
    <x v="581"/>
    <s v="14:13"/>
    <s v="S6"/>
    <x v="1"/>
    <x v="4"/>
    <x v="4"/>
    <x v="1405"/>
    <x v="3"/>
    <s v="TX301434"/>
    <s v="C5"/>
    <x v="0"/>
    <s v="Afternoon"/>
    <s v="Saturday"/>
    <x v="1425"/>
  </r>
  <r>
    <x v="733"/>
    <s v="20:26"/>
    <s v="S10"/>
    <x v="2"/>
    <x v="1"/>
    <x v="4"/>
    <x v="1406"/>
    <x v="2"/>
    <s v="TX301435"/>
    <s v="C4"/>
    <x v="1"/>
    <s v="Evening"/>
    <s v="Friday"/>
    <x v="1426"/>
  </r>
  <r>
    <x v="542"/>
    <s v="12:29"/>
    <s v="S3"/>
    <x v="0"/>
    <x v="4"/>
    <x v="6"/>
    <x v="1407"/>
    <x v="4"/>
    <s v="TX301436"/>
    <s v="C1"/>
    <x v="0"/>
    <s v="Afternoon"/>
    <s v="Wednesday"/>
    <x v="1427"/>
  </r>
  <r>
    <x v="630"/>
    <s v="20:27"/>
    <s v="S2"/>
    <x v="0"/>
    <x v="0"/>
    <x v="8"/>
    <x v="1408"/>
    <x v="2"/>
    <s v="TX301437"/>
    <s v="C3"/>
    <x v="2"/>
    <s v="Evening"/>
    <s v="Sunday"/>
    <x v="1428"/>
  </r>
  <r>
    <x v="239"/>
    <s v="21:43"/>
    <s v="S9"/>
    <x v="0"/>
    <x v="0"/>
    <x v="1"/>
    <x v="1409"/>
    <x v="3"/>
    <s v="TX301438"/>
    <s v="C3"/>
    <x v="1"/>
    <s v="Evening"/>
    <s v="Monday"/>
    <x v="1429"/>
  </r>
  <r>
    <x v="189"/>
    <s v="20:17"/>
    <s v="S1"/>
    <x v="3"/>
    <x v="2"/>
    <x v="4"/>
    <x v="1410"/>
    <x v="1"/>
    <s v="TX301439"/>
    <s v="C5"/>
    <x v="1"/>
    <s v="Evening"/>
    <s v="Sunday"/>
    <x v="1430"/>
  </r>
  <r>
    <x v="469"/>
    <s v="17:04"/>
    <s v="S9"/>
    <x v="2"/>
    <x v="3"/>
    <x v="0"/>
    <x v="1411"/>
    <x v="4"/>
    <s v="TX301440"/>
    <s v="C5"/>
    <x v="0"/>
    <s v="Evening"/>
    <s v="Monday"/>
    <x v="1431"/>
  </r>
  <r>
    <x v="734"/>
    <s v="15:14"/>
    <s v="S7"/>
    <x v="3"/>
    <x v="5"/>
    <x v="3"/>
    <x v="1412"/>
    <x v="0"/>
    <s v="TX301441"/>
    <s v="C5"/>
    <x v="2"/>
    <s v="Afternoon"/>
    <s v="Monday"/>
    <x v="1432"/>
  </r>
  <r>
    <x v="602"/>
    <s v="20:19"/>
    <s v="S2"/>
    <x v="1"/>
    <x v="4"/>
    <x v="3"/>
    <x v="1413"/>
    <x v="3"/>
    <s v="TX301442"/>
    <s v="C4"/>
    <x v="1"/>
    <s v="Evening"/>
    <s v="Wednesday"/>
    <x v="1433"/>
  </r>
  <r>
    <x v="287"/>
    <s v="19:59"/>
    <s v="S3"/>
    <x v="3"/>
    <x v="1"/>
    <x v="4"/>
    <x v="1414"/>
    <x v="3"/>
    <s v="TX301443"/>
    <s v="C1"/>
    <x v="3"/>
    <s v="Evening"/>
    <s v="Friday"/>
    <x v="1434"/>
  </r>
  <r>
    <x v="599"/>
    <s v="10:47"/>
    <s v="S8"/>
    <x v="0"/>
    <x v="1"/>
    <x v="2"/>
    <x v="1415"/>
    <x v="2"/>
    <s v="TX301444"/>
    <s v="C1"/>
    <x v="1"/>
    <s v="Morning"/>
    <s v="Saturday"/>
    <x v="1435"/>
  </r>
  <r>
    <x v="629"/>
    <s v="14:58"/>
    <s v="S6"/>
    <x v="2"/>
    <x v="3"/>
    <x v="6"/>
    <x v="1416"/>
    <x v="0"/>
    <s v="TX301445"/>
    <s v="C4"/>
    <x v="0"/>
    <s v="Afternoon"/>
    <s v="Sunday"/>
    <x v="1436"/>
  </r>
  <r>
    <x v="177"/>
    <s v="14:31"/>
    <s v="S3"/>
    <x v="2"/>
    <x v="6"/>
    <x v="0"/>
    <x v="1417"/>
    <x v="2"/>
    <s v="TX301446"/>
    <s v="C4"/>
    <x v="0"/>
    <s v="Afternoon"/>
    <s v="Thursday"/>
    <x v="1437"/>
  </r>
  <r>
    <x v="314"/>
    <s v="11:44"/>
    <s v="S5"/>
    <x v="2"/>
    <x v="6"/>
    <x v="4"/>
    <x v="1418"/>
    <x v="4"/>
    <s v="TX301447"/>
    <s v="C3"/>
    <x v="2"/>
    <s v="Morning"/>
    <s v="Saturday"/>
    <x v="1438"/>
  </r>
  <r>
    <x v="735"/>
    <s v="16:03"/>
    <s v="S9"/>
    <x v="3"/>
    <x v="0"/>
    <x v="2"/>
    <x v="1419"/>
    <x v="2"/>
    <s v="TX301448"/>
    <s v="C1"/>
    <x v="1"/>
    <s v="Afternoon"/>
    <s v="Friday"/>
    <x v="1439"/>
  </r>
  <r>
    <x v="107"/>
    <s v="11:31"/>
    <s v="S4"/>
    <x v="1"/>
    <x v="4"/>
    <x v="1"/>
    <x v="1420"/>
    <x v="0"/>
    <s v="TX301449"/>
    <s v="C5"/>
    <x v="2"/>
    <s v="Morning"/>
    <s v="Thursday"/>
    <x v="1440"/>
  </r>
  <r>
    <x v="456"/>
    <s v="14:53"/>
    <s v="S1"/>
    <x v="2"/>
    <x v="0"/>
    <x v="9"/>
    <x v="1421"/>
    <x v="0"/>
    <s v="TX301450"/>
    <s v="C5"/>
    <x v="3"/>
    <s v="Afternoon"/>
    <s v="Sunday"/>
    <x v="1441"/>
  </r>
  <r>
    <x v="75"/>
    <s v="19:06"/>
    <s v="S3"/>
    <x v="0"/>
    <x v="2"/>
    <x v="8"/>
    <x v="1422"/>
    <x v="3"/>
    <s v="TX301451"/>
    <s v="C1"/>
    <x v="2"/>
    <s v="Evening"/>
    <s v="Friday"/>
    <x v="1442"/>
  </r>
  <r>
    <x v="736"/>
    <s v="12:08"/>
    <s v="S8"/>
    <x v="3"/>
    <x v="5"/>
    <x v="8"/>
    <x v="1423"/>
    <x v="2"/>
    <s v="TX301452"/>
    <s v="C2"/>
    <x v="1"/>
    <s v="Afternoon"/>
    <s v="Saturday"/>
    <x v="1443"/>
  </r>
  <r>
    <x v="360"/>
    <s v="11:56"/>
    <s v="S3"/>
    <x v="2"/>
    <x v="2"/>
    <x v="0"/>
    <x v="1424"/>
    <x v="1"/>
    <s v="TX301453"/>
    <s v="C2"/>
    <x v="2"/>
    <s v="Morning"/>
    <s v="Saturday"/>
    <x v="1444"/>
  </r>
  <r>
    <x v="667"/>
    <s v="17:13"/>
    <s v="S10"/>
    <x v="0"/>
    <x v="0"/>
    <x v="6"/>
    <x v="1425"/>
    <x v="0"/>
    <s v="TX301454"/>
    <s v="C2"/>
    <x v="2"/>
    <s v="Evening"/>
    <s v="Wednesday"/>
    <x v="1445"/>
  </r>
  <r>
    <x v="566"/>
    <s v="14:15"/>
    <s v="S9"/>
    <x v="0"/>
    <x v="3"/>
    <x v="1"/>
    <x v="1426"/>
    <x v="1"/>
    <s v="TX301455"/>
    <s v="C1"/>
    <x v="3"/>
    <s v="Afternoon"/>
    <s v="Wednesday"/>
    <x v="1446"/>
  </r>
  <r>
    <x v="564"/>
    <s v="21:27"/>
    <s v="S5"/>
    <x v="3"/>
    <x v="1"/>
    <x v="0"/>
    <x v="1427"/>
    <x v="2"/>
    <s v="TX301456"/>
    <s v="C2"/>
    <x v="0"/>
    <s v="Evening"/>
    <s v="Sunday"/>
    <x v="1447"/>
  </r>
  <r>
    <x v="737"/>
    <s v="17:44"/>
    <s v="S5"/>
    <x v="2"/>
    <x v="6"/>
    <x v="8"/>
    <x v="1428"/>
    <x v="2"/>
    <s v="TX301457"/>
    <s v="C4"/>
    <x v="1"/>
    <s v="Evening"/>
    <s v="Saturday"/>
    <x v="1448"/>
  </r>
  <r>
    <x v="738"/>
    <s v="15:24"/>
    <s v="S9"/>
    <x v="2"/>
    <x v="3"/>
    <x v="6"/>
    <x v="1429"/>
    <x v="2"/>
    <s v="TX301458"/>
    <s v="C4"/>
    <x v="2"/>
    <s v="Afternoon"/>
    <s v="Thursday"/>
    <x v="1449"/>
  </r>
  <r>
    <x v="739"/>
    <s v="18:58"/>
    <s v="S1"/>
    <x v="3"/>
    <x v="1"/>
    <x v="4"/>
    <x v="1430"/>
    <x v="3"/>
    <s v="TX301459"/>
    <s v="C1"/>
    <x v="3"/>
    <s v="Evening"/>
    <s v="Friday"/>
    <x v="1450"/>
  </r>
  <r>
    <x v="305"/>
    <s v="10:06"/>
    <s v="S3"/>
    <x v="0"/>
    <x v="4"/>
    <x v="4"/>
    <x v="1431"/>
    <x v="3"/>
    <s v="TX301460"/>
    <s v="C1"/>
    <x v="2"/>
    <s v="Morning"/>
    <s v="Tuesday"/>
    <x v="1451"/>
  </r>
  <r>
    <x v="730"/>
    <s v="14:15"/>
    <s v="S8"/>
    <x v="2"/>
    <x v="6"/>
    <x v="4"/>
    <x v="1432"/>
    <x v="4"/>
    <s v="TX301461"/>
    <s v="C3"/>
    <x v="0"/>
    <s v="Afternoon"/>
    <s v="Sunday"/>
    <x v="1452"/>
  </r>
  <r>
    <x v="740"/>
    <s v="15:59"/>
    <s v="S6"/>
    <x v="0"/>
    <x v="1"/>
    <x v="2"/>
    <x v="1433"/>
    <x v="0"/>
    <s v="TX301462"/>
    <s v="C1"/>
    <x v="2"/>
    <s v="Afternoon"/>
    <s v="Sunday"/>
    <x v="1453"/>
  </r>
  <r>
    <x v="705"/>
    <s v="16:51"/>
    <s v="S10"/>
    <x v="2"/>
    <x v="0"/>
    <x v="8"/>
    <x v="1434"/>
    <x v="0"/>
    <s v="TX301463"/>
    <s v="C2"/>
    <x v="0"/>
    <s v="Afternoon"/>
    <s v="Thursday"/>
    <x v="1454"/>
  </r>
  <r>
    <x v="434"/>
    <s v="12:15"/>
    <s v="S8"/>
    <x v="0"/>
    <x v="5"/>
    <x v="8"/>
    <x v="1435"/>
    <x v="2"/>
    <s v="TX301464"/>
    <s v="C1"/>
    <x v="2"/>
    <s v="Afternoon"/>
    <s v="Tuesday"/>
    <x v="1455"/>
  </r>
  <r>
    <x v="493"/>
    <s v="20:39"/>
    <s v="S3"/>
    <x v="1"/>
    <x v="4"/>
    <x v="6"/>
    <x v="1436"/>
    <x v="2"/>
    <s v="TX301465"/>
    <s v="C1"/>
    <x v="1"/>
    <s v="Evening"/>
    <s v="Monday"/>
    <x v="1456"/>
  </r>
  <r>
    <x v="199"/>
    <s v="19:00"/>
    <s v="S10"/>
    <x v="3"/>
    <x v="3"/>
    <x v="0"/>
    <x v="1437"/>
    <x v="1"/>
    <s v="TX301466"/>
    <s v="C4"/>
    <x v="0"/>
    <s v="Evening"/>
    <s v="Sunday"/>
    <x v="1457"/>
  </r>
  <r>
    <x v="741"/>
    <s v="12:33"/>
    <s v="S1"/>
    <x v="2"/>
    <x v="1"/>
    <x v="0"/>
    <x v="1438"/>
    <x v="2"/>
    <s v="TX301467"/>
    <s v="C2"/>
    <x v="1"/>
    <s v="Afternoon"/>
    <s v="Sunday"/>
    <x v="1458"/>
  </r>
  <r>
    <x v="668"/>
    <s v="18:35"/>
    <s v="S6"/>
    <x v="2"/>
    <x v="4"/>
    <x v="1"/>
    <x v="1439"/>
    <x v="3"/>
    <s v="TX301468"/>
    <s v="C5"/>
    <x v="0"/>
    <s v="Evening"/>
    <s v="Thursday"/>
    <x v="1459"/>
  </r>
  <r>
    <x v="742"/>
    <s v="11:35"/>
    <s v="S2"/>
    <x v="0"/>
    <x v="6"/>
    <x v="7"/>
    <x v="1440"/>
    <x v="2"/>
    <s v="TX301469"/>
    <s v="C5"/>
    <x v="1"/>
    <s v="Morning"/>
    <s v="Thursday"/>
    <x v="1460"/>
  </r>
  <r>
    <x v="646"/>
    <s v="9:39"/>
    <s v="S7"/>
    <x v="3"/>
    <x v="6"/>
    <x v="3"/>
    <x v="1441"/>
    <x v="1"/>
    <s v="TX301470"/>
    <s v="C1"/>
    <x v="2"/>
    <s v="Morning"/>
    <s v="Tuesday"/>
    <x v="1461"/>
  </r>
  <r>
    <x v="249"/>
    <s v="14:07"/>
    <s v="S1"/>
    <x v="1"/>
    <x v="0"/>
    <x v="0"/>
    <x v="1442"/>
    <x v="4"/>
    <s v="TX301471"/>
    <s v="C4"/>
    <x v="0"/>
    <s v="Afternoon"/>
    <s v="Thursday"/>
    <x v="1462"/>
  </r>
  <r>
    <x v="115"/>
    <s v="10:11"/>
    <s v="S4"/>
    <x v="3"/>
    <x v="5"/>
    <x v="3"/>
    <x v="1443"/>
    <x v="0"/>
    <s v="TX301472"/>
    <s v="C2"/>
    <x v="3"/>
    <s v="Morning"/>
    <s v="Saturday"/>
    <x v="1463"/>
  </r>
  <r>
    <x v="743"/>
    <s v="10:27"/>
    <s v="S1"/>
    <x v="3"/>
    <x v="4"/>
    <x v="0"/>
    <x v="1444"/>
    <x v="0"/>
    <s v="TX301473"/>
    <s v="C4"/>
    <x v="3"/>
    <s v="Morning"/>
    <s v="Wednesday"/>
    <x v="1464"/>
  </r>
  <r>
    <x v="453"/>
    <s v="16:07"/>
    <s v="S6"/>
    <x v="1"/>
    <x v="0"/>
    <x v="9"/>
    <x v="1445"/>
    <x v="1"/>
    <s v="TX301474"/>
    <s v="C3"/>
    <x v="1"/>
    <s v="Afternoon"/>
    <s v="Thursday"/>
    <x v="1465"/>
  </r>
  <r>
    <x v="744"/>
    <s v="20:01"/>
    <s v="S10"/>
    <x v="1"/>
    <x v="1"/>
    <x v="3"/>
    <x v="1446"/>
    <x v="1"/>
    <s v="TX301475"/>
    <s v="C4"/>
    <x v="1"/>
    <s v="Evening"/>
    <s v="Sunday"/>
    <x v="1466"/>
  </r>
  <r>
    <x v="613"/>
    <s v="12:20"/>
    <s v="S2"/>
    <x v="2"/>
    <x v="6"/>
    <x v="7"/>
    <x v="1376"/>
    <x v="1"/>
    <s v="TX301476"/>
    <s v="C1"/>
    <x v="1"/>
    <s v="Afternoon"/>
    <s v="Sunday"/>
    <x v="1467"/>
  </r>
  <r>
    <x v="293"/>
    <s v="19:22"/>
    <s v="S2"/>
    <x v="1"/>
    <x v="1"/>
    <x v="8"/>
    <x v="1447"/>
    <x v="0"/>
    <s v="TX301477"/>
    <s v="C2"/>
    <x v="1"/>
    <s v="Evening"/>
    <s v="Thursday"/>
    <x v="1468"/>
  </r>
  <r>
    <x v="469"/>
    <s v="10:36"/>
    <s v="S6"/>
    <x v="2"/>
    <x v="5"/>
    <x v="4"/>
    <x v="1448"/>
    <x v="2"/>
    <s v="TX301478"/>
    <s v="C5"/>
    <x v="3"/>
    <s v="Morning"/>
    <s v="Monday"/>
    <x v="1469"/>
  </r>
  <r>
    <x v="655"/>
    <s v="15:18"/>
    <s v="S6"/>
    <x v="2"/>
    <x v="2"/>
    <x v="3"/>
    <x v="1449"/>
    <x v="3"/>
    <s v="TX301479"/>
    <s v="C5"/>
    <x v="2"/>
    <s v="Afternoon"/>
    <s v="Saturday"/>
    <x v="1470"/>
  </r>
  <r>
    <x v="114"/>
    <s v="9:15"/>
    <s v="S8"/>
    <x v="0"/>
    <x v="3"/>
    <x v="5"/>
    <x v="1450"/>
    <x v="3"/>
    <s v="TX301480"/>
    <s v="C1"/>
    <x v="2"/>
    <s v="Morning"/>
    <s v="Sunday"/>
    <x v="1471"/>
  </r>
  <r>
    <x v="492"/>
    <s v="20:26"/>
    <s v="S5"/>
    <x v="1"/>
    <x v="3"/>
    <x v="5"/>
    <x v="1451"/>
    <x v="0"/>
    <s v="TX301481"/>
    <s v="C4"/>
    <x v="2"/>
    <s v="Evening"/>
    <s v="Wednesday"/>
    <x v="1472"/>
  </r>
  <r>
    <x v="303"/>
    <s v="18:23"/>
    <s v="S7"/>
    <x v="2"/>
    <x v="0"/>
    <x v="3"/>
    <x v="1452"/>
    <x v="1"/>
    <s v="TX301482"/>
    <s v="C3"/>
    <x v="0"/>
    <s v="Evening"/>
    <s v="Sunday"/>
    <x v="1473"/>
  </r>
  <r>
    <x v="307"/>
    <s v="12:46"/>
    <s v="S5"/>
    <x v="0"/>
    <x v="5"/>
    <x v="3"/>
    <x v="1453"/>
    <x v="4"/>
    <s v="TX301483"/>
    <s v="C5"/>
    <x v="0"/>
    <s v="Afternoon"/>
    <s v="Thursday"/>
    <x v="1474"/>
  </r>
  <r>
    <x v="34"/>
    <s v="14:25"/>
    <s v="S4"/>
    <x v="0"/>
    <x v="1"/>
    <x v="2"/>
    <x v="1454"/>
    <x v="3"/>
    <s v="TX301484"/>
    <s v="C4"/>
    <x v="2"/>
    <s v="Afternoon"/>
    <s v="Tuesday"/>
    <x v="1475"/>
  </r>
  <r>
    <x v="516"/>
    <s v="13:18"/>
    <s v="S4"/>
    <x v="1"/>
    <x v="0"/>
    <x v="7"/>
    <x v="1455"/>
    <x v="2"/>
    <s v="TX301485"/>
    <s v="C3"/>
    <x v="0"/>
    <s v="Afternoon"/>
    <s v="Wednesday"/>
    <x v="1476"/>
  </r>
  <r>
    <x v="745"/>
    <s v="13:28"/>
    <s v="S5"/>
    <x v="2"/>
    <x v="3"/>
    <x v="6"/>
    <x v="1456"/>
    <x v="4"/>
    <s v="TX301486"/>
    <s v="C2"/>
    <x v="3"/>
    <s v="Afternoon"/>
    <s v="Thursday"/>
    <x v="1477"/>
  </r>
  <r>
    <x v="257"/>
    <s v="10:59"/>
    <s v="S3"/>
    <x v="1"/>
    <x v="0"/>
    <x v="0"/>
    <x v="1457"/>
    <x v="0"/>
    <s v="TX301487"/>
    <s v="C1"/>
    <x v="2"/>
    <s v="Morning"/>
    <s v="Thursday"/>
    <x v="1478"/>
  </r>
  <r>
    <x v="735"/>
    <s v="9:57"/>
    <s v="S6"/>
    <x v="0"/>
    <x v="4"/>
    <x v="1"/>
    <x v="1458"/>
    <x v="2"/>
    <s v="TX301488"/>
    <s v="C3"/>
    <x v="1"/>
    <s v="Morning"/>
    <s v="Friday"/>
    <x v="1479"/>
  </r>
  <r>
    <x v="383"/>
    <s v="17:47"/>
    <s v="S1"/>
    <x v="0"/>
    <x v="5"/>
    <x v="9"/>
    <x v="1459"/>
    <x v="4"/>
    <s v="TX301489"/>
    <s v="C2"/>
    <x v="0"/>
    <s v="Evening"/>
    <s v="Saturday"/>
    <x v="1480"/>
  </r>
  <r>
    <x v="340"/>
    <s v="10:20"/>
    <s v="S10"/>
    <x v="0"/>
    <x v="0"/>
    <x v="6"/>
    <x v="1460"/>
    <x v="1"/>
    <s v="TX301490"/>
    <s v="C3"/>
    <x v="3"/>
    <s v="Morning"/>
    <s v="Monday"/>
    <x v="1481"/>
  </r>
  <r>
    <x v="746"/>
    <s v="13:39"/>
    <s v="S2"/>
    <x v="2"/>
    <x v="6"/>
    <x v="8"/>
    <x v="1461"/>
    <x v="0"/>
    <s v="TX301491"/>
    <s v="C1"/>
    <x v="2"/>
    <s v="Afternoon"/>
    <s v="Tuesday"/>
    <x v="1482"/>
  </r>
  <r>
    <x v="126"/>
    <s v="17:44"/>
    <s v="S4"/>
    <x v="1"/>
    <x v="2"/>
    <x v="3"/>
    <x v="1462"/>
    <x v="3"/>
    <s v="TX301492"/>
    <s v="C4"/>
    <x v="3"/>
    <s v="Evening"/>
    <s v="Sunday"/>
    <x v="1483"/>
  </r>
  <r>
    <x v="196"/>
    <s v="9:32"/>
    <s v="S4"/>
    <x v="1"/>
    <x v="0"/>
    <x v="1"/>
    <x v="1463"/>
    <x v="4"/>
    <s v="TX301493"/>
    <s v="C1"/>
    <x v="1"/>
    <s v="Morning"/>
    <s v="Friday"/>
    <x v="1484"/>
  </r>
  <r>
    <x v="747"/>
    <s v="10:03"/>
    <s v="S5"/>
    <x v="1"/>
    <x v="2"/>
    <x v="7"/>
    <x v="1464"/>
    <x v="3"/>
    <s v="TX301494"/>
    <s v="C5"/>
    <x v="1"/>
    <s v="Morning"/>
    <s v="Monday"/>
    <x v="1485"/>
  </r>
  <r>
    <x v="748"/>
    <s v="15:21"/>
    <s v="S8"/>
    <x v="3"/>
    <x v="6"/>
    <x v="3"/>
    <x v="1465"/>
    <x v="2"/>
    <s v="TX301495"/>
    <s v="C2"/>
    <x v="2"/>
    <s v="Afternoon"/>
    <s v="Sunday"/>
    <x v="1486"/>
  </r>
  <r>
    <x v="749"/>
    <s v="16:20"/>
    <s v="S3"/>
    <x v="2"/>
    <x v="1"/>
    <x v="5"/>
    <x v="1466"/>
    <x v="4"/>
    <s v="TX301496"/>
    <s v="C3"/>
    <x v="0"/>
    <s v="Afternoon"/>
    <s v="Tuesday"/>
    <x v="1487"/>
  </r>
  <r>
    <x v="213"/>
    <s v="20:26"/>
    <s v="S10"/>
    <x v="1"/>
    <x v="0"/>
    <x v="1"/>
    <x v="1467"/>
    <x v="2"/>
    <s v="TX301497"/>
    <s v="C1"/>
    <x v="1"/>
    <s v="Evening"/>
    <s v="Tuesday"/>
    <x v="1488"/>
  </r>
  <r>
    <x v="250"/>
    <s v="20:13"/>
    <s v="S6"/>
    <x v="1"/>
    <x v="1"/>
    <x v="7"/>
    <x v="1468"/>
    <x v="4"/>
    <s v="TX301498"/>
    <s v="C5"/>
    <x v="0"/>
    <s v="Evening"/>
    <s v="Monday"/>
    <x v="1489"/>
  </r>
  <r>
    <x v="750"/>
    <s v="11:36"/>
    <s v="S1"/>
    <x v="3"/>
    <x v="6"/>
    <x v="0"/>
    <x v="1469"/>
    <x v="3"/>
    <s v="TX301499"/>
    <s v="C3"/>
    <x v="1"/>
    <s v="Morning"/>
    <s v="Wednesday"/>
    <x v="1490"/>
  </r>
  <r>
    <x v="743"/>
    <s v="10:03"/>
    <s v="S4"/>
    <x v="0"/>
    <x v="4"/>
    <x v="2"/>
    <x v="1470"/>
    <x v="0"/>
    <s v="TX301500"/>
    <s v="C2"/>
    <x v="2"/>
    <s v="Morning"/>
    <s v="Wednesday"/>
    <x v="1491"/>
  </r>
  <r>
    <x v="751"/>
    <s v="16:42"/>
    <s v="S10"/>
    <x v="1"/>
    <x v="1"/>
    <x v="6"/>
    <x v="1471"/>
    <x v="4"/>
    <s v="TX301501"/>
    <s v="C2"/>
    <x v="0"/>
    <s v="Afternoon"/>
    <s v="Saturday"/>
    <x v="1492"/>
  </r>
  <r>
    <x v="70"/>
    <s v="13:33"/>
    <s v="S2"/>
    <x v="2"/>
    <x v="1"/>
    <x v="5"/>
    <x v="933"/>
    <x v="0"/>
    <s v="TX301502"/>
    <s v="C3"/>
    <x v="1"/>
    <s v="Afternoon"/>
    <s v="Saturday"/>
    <x v="1493"/>
  </r>
  <r>
    <x v="752"/>
    <s v="16:27"/>
    <s v="S6"/>
    <x v="2"/>
    <x v="1"/>
    <x v="4"/>
    <x v="1472"/>
    <x v="1"/>
    <s v="TX301503"/>
    <s v="C1"/>
    <x v="1"/>
    <s v="Afternoon"/>
    <s v="Friday"/>
    <x v="1494"/>
  </r>
  <r>
    <x v="392"/>
    <s v="14:12"/>
    <s v="S3"/>
    <x v="0"/>
    <x v="2"/>
    <x v="3"/>
    <x v="1473"/>
    <x v="1"/>
    <s v="TX301504"/>
    <s v="C3"/>
    <x v="3"/>
    <s v="Afternoon"/>
    <s v="Saturday"/>
    <x v="1495"/>
  </r>
  <r>
    <x v="753"/>
    <s v="13:01"/>
    <s v="S2"/>
    <x v="0"/>
    <x v="6"/>
    <x v="2"/>
    <x v="1474"/>
    <x v="3"/>
    <s v="TX301505"/>
    <s v="C1"/>
    <x v="2"/>
    <s v="Afternoon"/>
    <s v="Saturday"/>
    <x v="1496"/>
  </r>
  <r>
    <x v="754"/>
    <s v="11:09"/>
    <s v="S10"/>
    <x v="2"/>
    <x v="0"/>
    <x v="0"/>
    <x v="1475"/>
    <x v="3"/>
    <s v="TX301506"/>
    <s v="C5"/>
    <x v="0"/>
    <s v="Morning"/>
    <s v="Thursday"/>
    <x v="1497"/>
  </r>
  <r>
    <x v="68"/>
    <s v="18:10"/>
    <s v="S3"/>
    <x v="1"/>
    <x v="6"/>
    <x v="9"/>
    <x v="1476"/>
    <x v="3"/>
    <s v="TX301507"/>
    <s v="C1"/>
    <x v="1"/>
    <s v="Evening"/>
    <s v="Monday"/>
    <x v="1498"/>
  </r>
  <r>
    <x v="54"/>
    <s v="10:05"/>
    <s v="S8"/>
    <x v="0"/>
    <x v="6"/>
    <x v="4"/>
    <x v="1477"/>
    <x v="1"/>
    <s v="TX301508"/>
    <s v="C1"/>
    <x v="3"/>
    <s v="Morning"/>
    <s v="Saturday"/>
    <x v="1499"/>
  </r>
  <r>
    <x v="662"/>
    <s v="15:43"/>
    <s v="S4"/>
    <x v="0"/>
    <x v="5"/>
    <x v="7"/>
    <x v="1478"/>
    <x v="0"/>
    <s v="TX301509"/>
    <s v="C1"/>
    <x v="3"/>
    <s v="Afternoon"/>
    <s v="Thursday"/>
    <x v="1500"/>
  </r>
  <r>
    <x v="8"/>
    <s v="18:47"/>
    <s v="S3"/>
    <x v="3"/>
    <x v="6"/>
    <x v="4"/>
    <x v="1479"/>
    <x v="1"/>
    <s v="TX301510"/>
    <s v="C1"/>
    <x v="2"/>
    <s v="Evening"/>
    <s v="Friday"/>
    <x v="1501"/>
  </r>
  <r>
    <x v="336"/>
    <s v="20:10"/>
    <s v="S3"/>
    <x v="2"/>
    <x v="3"/>
    <x v="0"/>
    <x v="1480"/>
    <x v="3"/>
    <s v="TX301511"/>
    <s v="C3"/>
    <x v="0"/>
    <s v="Evening"/>
    <s v="Tuesday"/>
    <x v="1502"/>
  </r>
  <r>
    <x v="755"/>
    <s v="18:42"/>
    <s v="S1"/>
    <x v="1"/>
    <x v="2"/>
    <x v="4"/>
    <x v="1481"/>
    <x v="2"/>
    <s v="TX301512"/>
    <s v="C3"/>
    <x v="2"/>
    <s v="Evening"/>
    <s v="Sunday"/>
    <x v="1503"/>
  </r>
  <r>
    <x v="382"/>
    <s v="15:05"/>
    <s v="S8"/>
    <x v="3"/>
    <x v="3"/>
    <x v="6"/>
    <x v="1482"/>
    <x v="2"/>
    <s v="TX301513"/>
    <s v="C5"/>
    <x v="2"/>
    <s v="Afternoon"/>
    <s v="Monday"/>
    <x v="1504"/>
  </r>
  <r>
    <x v="503"/>
    <s v="9:21"/>
    <s v="S5"/>
    <x v="0"/>
    <x v="3"/>
    <x v="3"/>
    <x v="448"/>
    <x v="3"/>
    <s v="TX301514"/>
    <s v="C1"/>
    <x v="0"/>
    <s v="Morning"/>
    <s v="Friday"/>
    <x v="1505"/>
  </r>
  <r>
    <x v="632"/>
    <s v="17:21"/>
    <s v="S6"/>
    <x v="0"/>
    <x v="6"/>
    <x v="4"/>
    <x v="1483"/>
    <x v="3"/>
    <s v="TX301515"/>
    <s v="C2"/>
    <x v="0"/>
    <s v="Evening"/>
    <s v="Monday"/>
    <x v="1506"/>
  </r>
  <r>
    <x v="407"/>
    <s v="13:39"/>
    <s v="S1"/>
    <x v="3"/>
    <x v="1"/>
    <x v="1"/>
    <x v="1484"/>
    <x v="1"/>
    <s v="TX301516"/>
    <s v="C1"/>
    <x v="0"/>
    <s v="Afternoon"/>
    <s v="Tuesday"/>
    <x v="1507"/>
  </r>
  <r>
    <x v="388"/>
    <s v="9:56"/>
    <s v="S8"/>
    <x v="1"/>
    <x v="3"/>
    <x v="6"/>
    <x v="1485"/>
    <x v="0"/>
    <s v="TX301517"/>
    <s v="C3"/>
    <x v="1"/>
    <s v="Morning"/>
    <s v="Saturday"/>
    <x v="1508"/>
  </r>
  <r>
    <x v="88"/>
    <s v="10:11"/>
    <s v="S1"/>
    <x v="0"/>
    <x v="2"/>
    <x v="4"/>
    <x v="1486"/>
    <x v="4"/>
    <s v="TX301518"/>
    <s v="C4"/>
    <x v="2"/>
    <s v="Morning"/>
    <s v="Tuesday"/>
    <x v="1509"/>
  </r>
  <r>
    <x v="756"/>
    <s v="9:26"/>
    <s v="S3"/>
    <x v="3"/>
    <x v="0"/>
    <x v="0"/>
    <x v="1487"/>
    <x v="4"/>
    <s v="TX301519"/>
    <s v="C1"/>
    <x v="0"/>
    <s v="Morning"/>
    <s v="Wednesday"/>
    <x v="1510"/>
  </r>
  <r>
    <x v="542"/>
    <s v="12:37"/>
    <s v="S6"/>
    <x v="1"/>
    <x v="2"/>
    <x v="9"/>
    <x v="1488"/>
    <x v="1"/>
    <s v="TX301520"/>
    <s v="C5"/>
    <x v="2"/>
    <s v="Afternoon"/>
    <s v="Wednesday"/>
    <x v="1511"/>
  </r>
  <r>
    <x v="103"/>
    <s v="16:47"/>
    <s v="S8"/>
    <x v="0"/>
    <x v="3"/>
    <x v="9"/>
    <x v="1489"/>
    <x v="1"/>
    <s v="TX301521"/>
    <s v="C5"/>
    <x v="0"/>
    <s v="Afternoon"/>
    <s v="Wednesday"/>
    <x v="1512"/>
  </r>
  <r>
    <x v="238"/>
    <s v="13:57"/>
    <s v="S5"/>
    <x v="1"/>
    <x v="3"/>
    <x v="3"/>
    <x v="1490"/>
    <x v="4"/>
    <s v="TX301522"/>
    <s v="C1"/>
    <x v="0"/>
    <s v="Afternoon"/>
    <s v="Saturday"/>
    <x v="1513"/>
  </r>
  <r>
    <x v="557"/>
    <s v="10:38"/>
    <s v="S4"/>
    <x v="2"/>
    <x v="3"/>
    <x v="2"/>
    <x v="1023"/>
    <x v="2"/>
    <s v="TX301523"/>
    <s v="C2"/>
    <x v="1"/>
    <s v="Morning"/>
    <s v="Sunday"/>
    <x v="1514"/>
  </r>
  <r>
    <x v="120"/>
    <s v="17:32"/>
    <s v="S5"/>
    <x v="3"/>
    <x v="1"/>
    <x v="6"/>
    <x v="1491"/>
    <x v="2"/>
    <s v="TX301524"/>
    <s v="C4"/>
    <x v="0"/>
    <s v="Evening"/>
    <s v="Friday"/>
    <x v="1515"/>
  </r>
  <r>
    <x v="163"/>
    <s v="15:09"/>
    <s v="S5"/>
    <x v="1"/>
    <x v="6"/>
    <x v="5"/>
    <x v="1492"/>
    <x v="3"/>
    <s v="TX301525"/>
    <s v="C4"/>
    <x v="2"/>
    <s v="Afternoon"/>
    <s v="Tuesday"/>
    <x v="1516"/>
  </r>
  <r>
    <x v="716"/>
    <s v="17:05"/>
    <s v="S3"/>
    <x v="1"/>
    <x v="3"/>
    <x v="1"/>
    <x v="1493"/>
    <x v="4"/>
    <s v="TX301526"/>
    <s v="C4"/>
    <x v="1"/>
    <s v="Evening"/>
    <s v="Sunday"/>
    <x v="1517"/>
  </r>
  <r>
    <x v="112"/>
    <s v="15:09"/>
    <s v="S3"/>
    <x v="2"/>
    <x v="5"/>
    <x v="6"/>
    <x v="1494"/>
    <x v="0"/>
    <s v="TX301527"/>
    <s v="C3"/>
    <x v="0"/>
    <s v="Afternoon"/>
    <s v="Wednesday"/>
    <x v="1518"/>
  </r>
  <r>
    <x v="757"/>
    <s v="10:04"/>
    <s v="S2"/>
    <x v="3"/>
    <x v="1"/>
    <x v="3"/>
    <x v="1495"/>
    <x v="3"/>
    <s v="TX301528"/>
    <s v="C1"/>
    <x v="1"/>
    <s v="Morning"/>
    <s v="Wednesday"/>
    <x v="1519"/>
  </r>
  <r>
    <x v="671"/>
    <s v="16:32"/>
    <s v="S10"/>
    <x v="3"/>
    <x v="0"/>
    <x v="1"/>
    <x v="1496"/>
    <x v="4"/>
    <s v="TX301529"/>
    <s v="C2"/>
    <x v="3"/>
    <s v="Afternoon"/>
    <s v="Tuesday"/>
    <x v="1520"/>
  </r>
  <r>
    <x v="758"/>
    <s v="14:32"/>
    <s v="S4"/>
    <x v="2"/>
    <x v="1"/>
    <x v="8"/>
    <x v="1497"/>
    <x v="2"/>
    <s v="TX301530"/>
    <s v="C4"/>
    <x v="1"/>
    <s v="Afternoon"/>
    <s v="Tuesday"/>
    <x v="1521"/>
  </r>
  <r>
    <x v="14"/>
    <s v="19:52"/>
    <s v="S8"/>
    <x v="1"/>
    <x v="5"/>
    <x v="7"/>
    <x v="1498"/>
    <x v="2"/>
    <s v="TX301531"/>
    <s v="C5"/>
    <x v="0"/>
    <s v="Evening"/>
    <s v="Friday"/>
    <x v="1522"/>
  </r>
  <r>
    <x v="759"/>
    <s v="12:27"/>
    <s v="S2"/>
    <x v="0"/>
    <x v="5"/>
    <x v="7"/>
    <x v="1499"/>
    <x v="4"/>
    <s v="TX301532"/>
    <s v="C5"/>
    <x v="0"/>
    <s v="Afternoon"/>
    <s v="Saturday"/>
    <x v="1523"/>
  </r>
  <r>
    <x v="134"/>
    <s v="19:29"/>
    <s v="S9"/>
    <x v="2"/>
    <x v="3"/>
    <x v="6"/>
    <x v="1500"/>
    <x v="2"/>
    <s v="TX301533"/>
    <s v="C2"/>
    <x v="2"/>
    <s v="Evening"/>
    <s v="Monday"/>
    <x v="1524"/>
  </r>
  <r>
    <x v="455"/>
    <s v="19:02"/>
    <s v="S2"/>
    <x v="2"/>
    <x v="3"/>
    <x v="0"/>
    <x v="1501"/>
    <x v="4"/>
    <s v="TX301534"/>
    <s v="C3"/>
    <x v="2"/>
    <s v="Evening"/>
    <s v="Tuesday"/>
    <x v="1525"/>
  </r>
  <r>
    <x v="760"/>
    <s v="15:45"/>
    <s v="S3"/>
    <x v="3"/>
    <x v="1"/>
    <x v="7"/>
    <x v="1502"/>
    <x v="0"/>
    <s v="TX301535"/>
    <s v="C2"/>
    <x v="3"/>
    <s v="Afternoon"/>
    <s v="Saturday"/>
    <x v="1526"/>
  </r>
  <r>
    <x v="201"/>
    <s v="19:24"/>
    <s v="S4"/>
    <x v="0"/>
    <x v="6"/>
    <x v="4"/>
    <x v="1503"/>
    <x v="4"/>
    <s v="TX301536"/>
    <s v="C4"/>
    <x v="0"/>
    <s v="Evening"/>
    <s v="Sunday"/>
    <x v="1527"/>
  </r>
  <r>
    <x v="523"/>
    <s v="12:48"/>
    <s v="S3"/>
    <x v="1"/>
    <x v="3"/>
    <x v="9"/>
    <x v="1504"/>
    <x v="0"/>
    <s v="TX301537"/>
    <s v="C4"/>
    <x v="0"/>
    <s v="Afternoon"/>
    <s v="Thursday"/>
    <x v="1528"/>
  </r>
  <r>
    <x v="27"/>
    <s v="20:43"/>
    <s v="S3"/>
    <x v="1"/>
    <x v="3"/>
    <x v="5"/>
    <x v="1505"/>
    <x v="3"/>
    <s v="TX301538"/>
    <s v="C5"/>
    <x v="3"/>
    <s v="Evening"/>
    <s v="Monday"/>
    <x v="1529"/>
  </r>
  <r>
    <x v="741"/>
    <s v="10:40"/>
    <s v="S5"/>
    <x v="2"/>
    <x v="4"/>
    <x v="8"/>
    <x v="1506"/>
    <x v="3"/>
    <s v="TX301539"/>
    <s v="C2"/>
    <x v="3"/>
    <s v="Morning"/>
    <s v="Sunday"/>
    <x v="1530"/>
  </r>
  <r>
    <x v="644"/>
    <s v="13:06"/>
    <s v="S3"/>
    <x v="1"/>
    <x v="3"/>
    <x v="9"/>
    <x v="1507"/>
    <x v="4"/>
    <s v="TX301540"/>
    <s v="C3"/>
    <x v="2"/>
    <s v="Afternoon"/>
    <s v="Monday"/>
    <x v="1531"/>
  </r>
  <r>
    <x v="87"/>
    <s v="20:22"/>
    <s v="S5"/>
    <x v="3"/>
    <x v="0"/>
    <x v="4"/>
    <x v="1508"/>
    <x v="0"/>
    <s v="TX301541"/>
    <s v="C4"/>
    <x v="2"/>
    <s v="Evening"/>
    <s v="Friday"/>
    <x v="1532"/>
  </r>
  <r>
    <x v="319"/>
    <s v="10:13"/>
    <s v="S3"/>
    <x v="1"/>
    <x v="1"/>
    <x v="8"/>
    <x v="1509"/>
    <x v="1"/>
    <s v="TX301542"/>
    <s v="C2"/>
    <x v="2"/>
    <s v="Morning"/>
    <s v="Sunday"/>
    <x v="1533"/>
  </r>
  <r>
    <x v="761"/>
    <s v="14:53"/>
    <s v="S10"/>
    <x v="1"/>
    <x v="4"/>
    <x v="6"/>
    <x v="1510"/>
    <x v="1"/>
    <s v="TX301543"/>
    <s v="C5"/>
    <x v="2"/>
    <s v="Afternoon"/>
    <s v="Friday"/>
    <x v="1534"/>
  </r>
  <r>
    <x v="40"/>
    <s v="9:51"/>
    <s v="S5"/>
    <x v="1"/>
    <x v="0"/>
    <x v="5"/>
    <x v="1511"/>
    <x v="3"/>
    <s v="TX301544"/>
    <s v="C3"/>
    <x v="1"/>
    <s v="Morning"/>
    <s v="Friday"/>
    <x v="1535"/>
  </r>
  <r>
    <x v="329"/>
    <s v="9:09"/>
    <s v="S3"/>
    <x v="1"/>
    <x v="1"/>
    <x v="0"/>
    <x v="1512"/>
    <x v="1"/>
    <s v="TX301545"/>
    <s v="C1"/>
    <x v="0"/>
    <s v="Morning"/>
    <s v="Sunday"/>
    <x v="1536"/>
  </r>
  <r>
    <x v="692"/>
    <s v="11:17"/>
    <s v="S2"/>
    <x v="2"/>
    <x v="5"/>
    <x v="8"/>
    <x v="1513"/>
    <x v="4"/>
    <s v="TX301546"/>
    <s v="C3"/>
    <x v="1"/>
    <s v="Morning"/>
    <s v="Monday"/>
    <x v="1537"/>
  </r>
  <r>
    <x v="273"/>
    <s v="14:59"/>
    <s v="S1"/>
    <x v="3"/>
    <x v="5"/>
    <x v="2"/>
    <x v="1514"/>
    <x v="4"/>
    <s v="TX301547"/>
    <s v="C4"/>
    <x v="2"/>
    <s v="Afternoon"/>
    <s v="Monday"/>
    <x v="1538"/>
  </r>
  <r>
    <x v="676"/>
    <s v="16:11"/>
    <s v="S7"/>
    <x v="0"/>
    <x v="5"/>
    <x v="2"/>
    <x v="1515"/>
    <x v="1"/>
    <s v="TX301548"/>
    <s v="C5"/>
    <x v="3"/>
    <s v="Afternoon"/>
    <s v="Monday"/>
    <x v="1539"/>
  </r>
  <r>
    <x v="178"/>
    <s v="12:18"/>
    <s v="S3"/>
    <x v="2"/>
    <x v="1"/>
    <x v="4"/>
    <x v="1516"/>
    <x v="2"/>
    <s v="TX301549"/>
    <s v="C1"/>
    <x v="2"/>
    <s v="Afternoon"/>
    <s v="Sunday"/>
    <x v="1540"/>
  </r>
  <r>
    <x v="197"/>
    <s v="17:27"/>
    <s v="S7"/>
    <x v="1"/>
    <x v="5"/>
    <x v="6"/>
    <x v="1517"/>
    <x v="1"/>
    <s v="TX301550"/>
    <s v="C1"/>
    <x v="0"/>
    <s v="Evening"/>
    <s v="Friday"/>
    <x v="1541"/>
  </r>
  <r>
    <x v="704"/>
    <s v="17:32"/>
    <s v="S3"/>
    <x v="3"/>
    <x v="0"/>
    <x v="8"/>
    <x v="841"/>
    <x v="3"/>
    <s v="TX301551"/>
    <s v="C1"/>
    <x v="2"/>
    <s v="Evening"/>
    <s v="Friday"/>
    <x v="848"/>
  </r>
  <r>
    <x v="114"/>
    <s v="16:24"/>
    <s v="S2"/>
    <x v="0"/>
    <x v="6"/>
    <x v="1"/>
    <x v="1518"/>
    <x v="2"/>
    <s v="TX301552"/>
    <s v="C4"/>
    <x v="2"/>
    <s v="Afternoon"/>
    <s v="Sunday"/>
    <x v="1542"/>
  </r>
  <r>
    <x v="258"/>
    <s v="9:59"/>
    <s v="S9"/>
    <x v="1"/>
    <x v="3"/>
    <x v="3"/>
    <x v="1519"/>
    <x v="4"/>
    <s v="TX301553"/>
    <s v="C4"/>
    <x v="2"/>
    <s v="Morning"/>
    <s v="Wednesday"/>
    <x v="1543"/>
  </r>
  <r>
    <x v="196"/>
    <s v="16:20"/>
    <s v="S5"/>
    <x v="0"/>
    <x v="5"/>
    <x v="1"/>
    <x v="1520"/>
    <x v="2"/>
    <s v="TX301554"/>
    <s v="C2"/>
    <x v="2"/>
    <s v="Afternoon"/>
    <s v="Friday"/>
    <x v="1544"/>
  </r>
  <r>
    <x v="762"/>
    <s v="14:10"/>
    <s v="S1"/>
    <x v="2"/>
    <x v="6"/>
    <x v="6"/>
    <x v="1521"/>
    <x v="2"/>
    <s v="TX301555"/>
    <s v="C3"/>
    <x v="3"/>
    <s v="Afternoon"/>
    <s v="Sunday"/>
    <x v="1545"/>
  </r>
  <r>
    <x v="678"/>
    <s v="14:56"/>
    <s v="S9"/>
    <x v="2"/>
    <x v="0"/>
    <x v="2"/>
    <x v="1522"/>
    <x v="1"/>
    <s v="TX301556"/>
    <s v="C5"/>
    <x v="3"/>
    <s v="Afternoon"/>
    <s v="Tuesday"/>
    <x v="1546"/>
  </r>
  <r>
    <x v="688"/>
    <s v="19:25"/>
    <s v="S9"/>
    <x v="0"/>
    <x v="0"/>
    <x v="4"/>
    <x v="1523"/>
    <x v="0"/>
    <s v="TX301557"/>
    <s v="C5"/>
    <x v="3"/>
    <s v="Evening"/>
    <s v="Tuesday"/>
    <x v="1547"/>
  </r>
  <r>
    <x v="354"/>
    <s v="19:48"/>
    <s v="S3"/>
    <x v="3"/>
    <x v="4"/>
    <x v="0"/>
    <x v="1524"/>
    <x v="0"/>
    <s v="TX301558"/>
    <s v="C4"/>
    <x v="0"/>
    <s v="Evening"/>
    <s v="Tuesday"/>
    <x v="1548"/>
  </r>
  <r>
    <x v="18"/>
    <s v="16:47"/>
    <s v="S7"/>
    <x v="2"/>
    <x v="0"/>
    <x v="9"/>
    <x v="1525"/>
    <x v="4"/>
    <s v="TX301559"/>
    <s v="C4"/>
    <x v="3"/>
    <s v="Afternoon"/>
    <s v="Friday"/>
    <x v="1549"/>
  </r>
  <r>
    <x v="90"/>
    <s v="9:10"/>
    <s v="S5"/>
    <x v="0"/>
    <x v="3"/>
    <x v="5"/>
    <x v="1526"/>
    <x v="3"/>
    <s v="TX301560"/>
    <s v="C2"/>
    <x v="0"/>
    <s v="Morning"/>
    <s v="Tuesday"/>
    <x v="1550"/>
  </r>
  <r>
    <x v="148"/>
    <s v="9:14"/>
    <s v="S1"/>
    <x v="3"/>
    <x v="5"/>
    <x v="3"/>
    <x v="1527"/>
    <x v="0"/>
    <s v="TX301561"/>
    <s v="C3"/>
    <x v="3"/>
    <s v="Morning"/>
    <s v="Tuesday"/>
    <x v="1551"/>
  </r>
  <r>
    <x v="763"/>
    <s v="10:13"/>
    <s v="S7"/>
    <x v="0"/>
    <x v="2"/>
    <x v="7"/>
    <x v="1528"/>
    <x v="1"/>
    <s v="TX301562"/>
    <s v="C5"/>
    <x v="1"/>
    <s v="Morning"/>
    <s v="Thursday"/>
    <x v="1552"/>
  </r>
  <r>
    <x v="623"/>
    <s v="9:08"/>
    <s v="S10"/>
    <x v="0"/>
    <x v="5"/>
    <x v="1"/>
    <x v="1481"/>
    <x v="2"/>
    <s v="TX301563"/>
    <s v="C2"/>
    <x v="3"/>
    <s v="Morning"/>
    <s v="Tuesday"/>
    <x v="1553"/>
  </r>
  <r>
    <x v="209"/>
    <s v="12:25"/>
    <s v="S1"/>
    <x v="1"/>
    <x v="1"/>
    <x v="3"/>
    <x v="1529"/>
    <x v="0"/>
    <s v="TX301564"/>
    <s v="C5"/>
    <x v="1"/>
    <s v="Afternoon"/>
    <s v="Wednesday"/>
    <x v="1554"/>
  </r>
  <r>
    <x v="469"/>
    <s v="21:29"/>
    <s v="S10"/>
    <x v="1"/>
    <x v="2"/>
    <x v="8"/>
    <x v="1530"/>
    <x v="4"/>
    <s v="TX301565"/>
    <s v="C1"/>
    <x v="3"/>
    <s v="Evening"/>
    <s v="Monday"/>
    <x v="1555"/>
  </r>
  <r>
    <x v="348"/>
    <s v="11:00"/>
    <s v="S5"/>
    <x v="0"/>
    <x v="3"/>
    <x v="2"/>
    <x v="1531"/>
    <x v="3"/>
    <s v="TX301566"/>
    <s v="C1"/>
    <x v="0"/>
    <s v="Morning"/>
    <s v="Monday"/>
    <x v="1556"/>
  </r>
  <r>
    <x v="764"/>
    <s v="16:20"/>
    <s v="S5"/>
    <x v="0"/>
    <x v="4"/>
    <x v="0"/>
    <x v="1532"/>
    <x v="2"/>
    <s v="TX301567"/>
    <s v="C3"/>
    <x v="3"/>
    <s v="Afternoon"/>
    <s v="Monday"/>
    <x v="1557"/>
  </r>
  <r>
    <x v="765"/>
    <s v="13:02"/>
    <s v="S10"/>
    <x v="2"/>
    <x v="0"/>
    <x v="5"/>
    <x v="1533"/>
    <x v="0"/>
    <s v="TX301568"/>
    <s v="C4"/>
    <x v="3"/>
    <s v="Afternoon"/>
    <s v="Sunday"/>
    <x v="1558"/>
  </r>
  <r>
    <x v="292"/>
    <s v="12:57"/>
    <s v="S7"/>
    <x v="2"/>
    <x v="6"/>
    <x v="5"/>
    <x v="1534"/>
    <x v="1"/>
    <s v="TX301569"/>
    <s v="C2"/>
    <x v="1"/>
    <s v="Afternoon"/>
    <s v="Thursday"/>
    <x v="1559"/>
  </r>
  <r>
    <x v="187"/>
    <s v="20:39"/>
    <s v="S4"/>
    <x v="1"/>
    <x v="6"/>
    <x v="4"/>
    <x v="1535"/>
    <x v="0"/>
    <s v="TX301570"/>
    <s v="C3"/>
    <x v="2"/>
    <s v="Evening"/>
    <s v="Sunday"/>
    <x v="1560"/>
  </r>
  <r>
    <x v="654"/>
    <s v="17:42"/>
    <s v="S2"/>
    <x v="0"/>
    <x v="2"/>
    <x v="8"/>
    <x v="1536"/>
    <x v="3"/>
    <s v="TX301571"/>
    <s v="C1"/>
    <x v="2"/>
    <s v="Evening"/>
    <s v="Monday"/>
    <x v="1561"/>
  </r>
  <r>
    <x v="203"/>
    <s v="10:57"/>
    <s v="S6"/>
    <x v="2"/>
    <x v="4"/>
    <x v="4"/>
    <x v="1537"/>
    <x v="2"/>
    <s v="TX301572"/>
    <s v="C3"/>
    <x v="0"/>
    <s v="Morning"/>
    <s v="Sunday"/>
    <x v="1562"/>
  </r>
  <r>
    <x v="766"/>
    <s v="16:34"/>
    <s v="S9"/>
    <x v="0"/>
    <x v="5"/>
    <x v="7"/>
    <x v="1538"/>
    <x v="4"/>
    <s v="TX301573"/>
    <s v="C1"/>
    <x v="3"/>
    <s v="Afternoon"/>
    <s v="Tuesday"/>
    <x v="1563"/>
  </r>
  <r>
    <x v="767"/>
    <s v="9:30"/>
    <s v="S5"/>
    <x v="1"/>
    <x v="3"/>
    <x v="3"/>
    <x v="1539"/>
    <x v="1"/>
    <s v="TX301574"/>
    <s v="C3"/>
    <x v="0"/>
    <s v="Morning"/>
    <s v="Monday"/>
    <x v="1564"/>
  </r>
  <r>
    <x v="621"/>
    <s v="17:14"/>
    <s v="S3"/>
    <x v="1"/>
    <x v="0"/>
    <x v="3"/>
    <x v="1540"/>
    <x v="1"/>
    <s v="TX301575"/>
    <s v="C4"/>
    <x v="2"/>
    <s v="Evening"/>
    <s v="Friday"/>
    <x v="1565"/>
  </r>
  <r>
    <x v="422"/>
    <s v="18:23"/>
    <s v="S6"/>
    <x v="3"/>
    <x v="2"/>
    <x v="9"/>
    <x v="1541"/>
    <x v="0"/>
    <s v="TX301576"/>
    <s v="C3"/>
    <x v="1"/>
    <s v="Evening"/>
    <s v="Sunday"/>
    <x v="1566"/>
  </r>
  <r>
    <x v="414"/>
    <s v="10:17"/>
    <s v="S6"/>
    <x v="1"/>
    <x v="2"/>
    <x v="2"/>
    <x v="1542"/>
    <x v="2"/>
    <s v="TX301577"/>
    <s v="C5"/>
    <x v="0"/>
    <s v="Morning"/>
    <s v="Sunday"/>
    <x v="1567"/>
  </r>
  <r>
    <x v="56"/>
    <s v="13:47"/>
    <s v="S4"/>
    <x v="3"/>
    <x v="0"/>
    <x v="2"/>
    <x v="1543"/>
    <x v="1"/>
    <s v="TX301578"/>
    <s v="C5"/>
    <x v="3"/>
    <s v="Afternoon"/>
    <s v="Monday"/>
    <x v="1568"/>
  </r>
  <r>
    <x v="282"/>
    <s v="10:19"/>
    <s v="S10"/>
    <x v="0"/>
    <x v="0"/>
    <x v="4"/>
    <x v="1544"/>
    <x v="4"/>
    <s v="TX301579"/>
    <s v="C5"/>
    <x v="0"/>
    <s v="Morning"/>
    <s v="Friday"/>
    <x v="1569"/>
  </r>
  <r>
    <x v="631"/>
    <s v="17:40"/>
    <s v="S6"/>
    <x v="3"/>
    <x v="5"/>
    <x v="9"/>
    <x v="1545"/>
    <x v="1"/>
    <s v="TX301580"/>
    <s v="C1"/>
    <x v="0"/>
    <s v="Evening"/>
    <s v="Tuesday"/>
    <x v="1570"/>
  </r>
  <r>
    <x v="768"/>
    <s v="21:58"/>
    <s v="S10"/>
    <x v="2"/>
    <x v="0"/>
    <x v="9"/>
    <x v="1546"/>
    <x v="1"/>
    <s v="TX301581"/>
    <s v="C4"/>
    <x v="0"/>
    <s v="Evening"/>
    <s v="Monday"/>
    <x v="1571"/>
  </r>
  <r>
    <x v="368"/>
    <s v="20:51"/>
    <s v="S2"/>
    <x v="3"/>
    <x v="5"/>
    <x v="7"/>
    <x v="1547"/>
    <x v="4"/>
    <s v="TX301582"/>
    <s v="C4"/>
    <x v="2"/>
    <s v="Evening"/>
    <s v="Wednesday"/>
    <x v="1572"/>
  </r>
  <r>
    <x v="304"/>
    <s v="19:45"/>
    <s v="S10"/>
    <x v="2"/>
    <x v="5"/>
    <x v="5"/>
    <x v="1548"/>
    <x v="3"/>
    <s v="TX301583"/>
    <s v="C4"/>
    <x v="1"/>
    <s v="Evening"/>
    <s v="Thursday"/>
    <x v="1573"/>
  </r>
  <r>
    <x v="769"/>
    <s v="18:22"/>
    <s v="S1"/>
    <x v="1"/>
    <x v="5"/>
    <x v="0"/>
    <x v="1549"/>
    <x v="0"/>
    <s v="TX301584"/>
    <s v="C1"/>
    <x v="2"/>
    <s v="Evening"/>
    <s v="Thursday"/>
    <x v="1574"/>
  </r>
  <r>
    <x v="315"/>
    <s v="14:52"/>
    <s v="S6"/>
    <x v="0"/>
    <x v="0"/>
    <x v="7"/>
    <x v="1550"/>
    <x v="2"/>
    <s v="TX301585"/>
    <s v="C4"/>
    <x v="1"/>
    <s v="Afternoon"/>
    <s v="Sunday"/>
    <x v="1575"/>
  </r>
  <r>
    <x v="770"/>
    <s v="10:33"/>
    <s v="S10"/>
    <x v="3"/>
    <x v="4"/>
    <x v="5"/>
    <x v="1551"/>
    <x v="1"/>
    <s v="TX301586"/>
    <s v="C1"/>
    <x v="1"/>
    <s v="Morning"/>
    <s v="Monday"/>
    <x v="1576"/>
  </r>
  <r>
    <x v="239"/>
    <s v="19:38"/>
    <s v="S7"/>
    <x v="0"/>
    <x v="2"/>
    <x v="7"/>
    <x v="372"/>
    <x v="2"/>
    <s v="TX301587"/>
    <s v="C1"/>
    <x v="0"/>
    <s v="Evening"/>
    <s v="Monday"/>
    <x v="372"/>
  </r>
  <r>
    <x v="771"/>
    <s v="18:07"/>
    <s v="S4"/>
    <x v="2"/>
    <x v="4"/>
    <x v="2"/>
    <x v="1552"/>
    <x v="1"/>
    <s v="TX301588"/>
    <s v="C2"/>
    <x v="3"/>
    <s v="Evening"/>
    <s v="Sunday"/>
    <x v="1577"/>
  </r>
  <r>
    <x v="254"/>
    <s v="18:54"/>
    <s v="S2"/>
    <x v="2"/>
    <x v="4"/>
    <x v="8"/>
    <x v="1553"/>
    <x v="2"/>
    <s v="TX301589"/>
    <s v="C2"/>
    <x v="0"/>
    <s v="Evening"/>
    <s v="Wednesday"/>
    <x v="1578"/>
  </r>
  <r>
    <x v="772"/>
    <s v="13:15"/>
    <s v="S2"/>
    <x v="3"/>
    <x v="2"/>
    <x v="3"/>
    <x v="1554"/>
    <x v="2"/>
    <s v="TX301590"/>
    <s v="C3"/>
    <x v="0"/>
    <s v="Afternoon"/>
    <s v="Monday"/>
    <x v="1579"/>
  </r>
  <r>
    <x v="773"/>
    <s v="17:39"/>
    <s v="S2"/>
    <x v="3"/>
    <x v="6"/>
    <x v="4"/>
    <x v="1555"/>
    <x v="0"/>
    <s v="TX301591"/>
    <s v="C1"/>
    <x v="1"/>
    <s v="Evening"/>
    <s v="Friday"/>
    <x v="1580"/>
  </r>
  <r>
    <x v="404"/>
    <s v="21:21"/>
    <s v="S7"/>
    <x v="1"/>
    <x v="5"/>
    <x v="7"/>
    <x v="1556"/>
    <x v="3"/>
    <s v="TX301592"/>
    <s v="C2"/>
    <x v="1"/>
    <s v="Evening"/>
    <s v="Thursday"/>
    <x v="1581"/>
  </r>
  <r>
    <x v="774"/>
    <s v="15:35"/>
    <s v="S2"/>
    <x v="3"/>
    <x v="1"/>
    <x v="0"/>
    <x v="1557"/>
    <x v="1"/>
    <s v="TX301593"/>
    <s v="C2"/>
    <x v="2"/>
    <s v="Afternoon"/>
    <s v="Monday"/>
    <x v="1582"/>
  </r>
  <r>
    <x v="433"/>
    <s v="9:11"/>
    <s v="S9"/>
    <x v="3"/>
    <x v="0"/>
    <x v="0"/>
    <x v="1558"/>
    <x v="2"/>
    <s v="TX301594"/>
    <s v="C1"/>
    <x v="1"/>
    <s v="Morning"/>
    <s v="Friday"/>
    <x v="1583"/>
  </r>
  <r>
    <x v="519"/>
    <s v="11:06"/>
    <s v="S4"/>
    <x v="0"/>
    <x v="3"/>
    <x v="3"/>
    <x v="1559"/>
    <x v="4"/>
    <s v="TX301595"/>
    <s v="C3"/>
    <x v="2"/>
    <s v="Morning"/>
    <s v="Sunday"/>
    <x v="1584"/>
  </r>
  <r>
    <x v="166"/>
    <s v="20:35"/>
    <s v="S8"/>
    <x v="2"/>
    <x v="5"/>
    <x v="5"/>
    <x v="617"/>
    <x v="3"/>
    <s v="TX301596"/>
    <s v="C3"/>
    <x v="1"/>
    <s v="Evening"/>
    <s v="Sunday"/>
    <x v="1585"/>
  </r>
  <r>
    <x v="706"/>
    <s v="20:13"/>
    <s v="S4"/>
    <x v="3"/>
    <x v="6"/>
    <x v="4"/>
    <x v="1560"/>
    <x v="3"/>
    <s v="TX301597"/>
    <s v="C3"/>
    <x v="3"/>
    <s v="Evening"/>
    <s v="Thursday"/>
    <x v="1586"/>
  </r>
  <r>
    <x v="646"/>
    <s v="21:02"/>
    <s v="S1"/>
    <x v="3"/>
    <x v="1"/>
    <x v="2"/>
    <x v="1561"/>
    <x v="4"/>
    <s v="TX301598"/>
    <s v="C2"/>
    <x v="3"/>
    <s v="Evening"/>
    <s v="Tuesday"/>
    <x v="1587"/>
  </r>
  <r>
    <x v="759"/>
    <s v="15:17"/>
    <s v="S8"/>
    <x v="0"/>
    <x v="0"/>
    <x v="7"/>
    <x v="1562"/>
    <x v="4"/>
    <s v="TX301599"/>
    <s v="C2"/>
    <x v="1"/>
    <s v="Afternoon"/>
    <s v="Saturday"/>
    <x v="1588"/>
  </r>
  <r>
    <x v="344"/>
    <s v="15:51"/>
    <s v="S9"/>
    <x v="2"/>
    <x v="2"/>
    <x v="2"/>
    <x v="1563"/>
    <x v="2"/>
    <s v="TX301600"/>
    <s v="C5"/>
    <x v="1"/>
    <s v="Afternoon"/>
    <s v="Sunday"/>
    <x v="1589"/>
  </r>
  <r>
    <x v="29"/>
    <s v="18:45"/>
    <s v="S7"/>
    <x v="3"/>
    <x v="1"/>
    <x v="3"/>
    <x v="898"/>
    <x v="2"/>
    <s v="TX301601"/>
    <s v="C5"/>
    <x v="2"/>
    <s v="Evening"/>
    <s v="Thursday"/>
    <x v="1590"/>
  </r>
  <r>
    <x v="560"/>
    <s v="10:56"/>
    <s v="S2"/>
    <x v="3"/>
    <x v="5"/>
    <x v="1"/>
    <x v="1564"/>
    <x v="3"/>
    <s v="TX301602"/>
    <s v="C3"/>
    <x v="2"/>
    <s v="Morning"/>
    <s v="Thursday"/>
    <x v="1591"/>
  </r>
  <r>
    <x v="566"/>
    <s v="14:02"/>
    <s v="S10"/>
    <x v="2"/>
    <x v="4"/>
    <x v="2"/>
    <x v="1565"/>
    <x v="0"/>
    <s v="TX301603"/>
    <s v="C5"/>
    <x v="1"/>
    <s v="Afternoon"/>
    <s v="Wednesday"/>
    <x v="1592"/>
  </r>
  <r>
    <x v="669"/>
    <s v="16:12"/>
    <s v="S3"/>
    <x v="1"/>
    <x v="5"/>
    <x v="9"/>
    <x v="1566"/>
    <x v="2"/>
    <s v="TX301604"/>
    <s v="C4"/>
    <x v="0"/>
    <s v="Afternoon"/>
    <s v="Monday"/>
    <x v="1593"/>
  </r>
  <r>
    <x v="570"/>
    <s v="12:00"/>
    <s v="S2"/>
    <x v="0"/>
    <x v="4"/>
    <x v="5"/>
    <x v="1567"/>
    <x v="2"/>
    <s v="TX301605"/>
    <s v="C3"/>
    <x v="1"/>
    <s v="Afternoon"/>
    <s v="Tuesday"/>
    <x v="1594"/>
  </r>
  <r>
    <x v="424"/>
    <s v="19:02"/>
    <s v="S3"/>
    <x v="3"/>
    <x v="5"/>
    <x v="9"/>
    <x v="1568"/>
    <x v="2"/>
    <s v="TX301606"/>
    <s v="C5"/>
    <x v="2"/>
    <s v="Evening"/>
    <s v="Friday"/>
    <x v="1595"/>
  </r>
  <r>
    <x v="320"/>
    <s v="21:57"/>
    <s v="S5"/>
    <x v="1"/>
    <x v="1"/>
    <x v="8"/>
    <x v="1569"/>
    <x v="3"/>
    <s v="TX301607"/>
    <s v="C2"/>
    <x v="3"/>
    <s v="Evening"/>
    <s v="Friday"/>
    <x v="1596"/>
  </r>
  <r>
    <x v="121"/>
    <s v="14:17"/>
    <s v="S1"/>
    <x v="0"/>
    <x v="6"/>
    <x v="7"/>
    <x v="1570"/>
    <x v="4"/>
    <s v="TX301608"/>
    <s v="C2"/>
    <x v="3"/>
    <s v="Afternoon"/>
    <s v="Monday"/>
    <x v="1597"/>
  </r>
  <r>
    <x v="68"/>
    <s v="15:26"/>
    <s v="S2"/>
    <x v="0"/>
    <x v="5"/>
    <x v="0"/>
    <x v="1571"/>
    <x v="3"/>
    <s v="TX301609"/>
    <s v="C3"/>
    <x v="2"/>
    <s v="Afternoon"/>
    <s v="Monday"/>
    <x v="1598"/>
  </r>
  <r>
    <x v="409"/>
    <s v="11:49"/>
    <s v="S6"/>
    <x v="3"/>
    <x v="6"/>
    <x v="8"/>
    <x v="1572"/>
    <x v="2"/>
    <s v="TX301610"/>
    <s v="C1"/>
    <x v="3"/>
    <s v="Morning"/>
    <s v="Friday"/>
    <x v="1599"/>
  </r>
  <r>
    <x v="496"/>
    <s v="18:09"/>
    <s v="S9"/>
    <x v="1"/>
    <x v="5"/>
    <x v="9"/>
    <x v="1573"/>
    <x v="4"/>
    <s v="TX301611"/>
    <s v="C5"/>
    <x v="1"/>
    <s v="Evening"/>
    <s v="Saturday"/>
    <x v="1600"/>
  </r>
  <r>
    <x v="581"/>
    <s v="20:10"/>
    <s v="S2"/>
    <x v="2"/>
    <x v="5"/>
    <x v="8"/>
    <x v="1574"/>
    <x v="2"/>
    <s v="TX301612"/>
    <s v="C2"/>
    <x v="0"/>
    <s v="Evening"/>
    <s v="Saturday"/>
    <x v="1601"/>
  </r>
  <r>
    <x v="668"/>
    <s v="17:21"/>
    <s v="S7"/>
    <x v="1"/>
    <x v="4"/>
    <x v="9"/>
    <x v="1575"/>
    <x v="1"/>
    <s v="TX301613"/>
    <s v="C5"/>
    <x v="1"/>
    <s v="Evening"/>
    <s v="Thursday"/>
    <x v="1602"/>
  </r>
  <r>
    <x v="691"/>
    <s v="20:34"/>
    <s v="S9"/>
    <x v="1"/>
    <x v="0"/>
    <x v="6"/>
    <x v="1576"/>
    <x v="1"/>
    <s v="TX301614"/>
    <s v="C5"/>
    <x v="0"/>
    <s v="Evening"/>
    <s v="Wednesday"/>
    <x v="1603"/>
  </r>
  <r>
    <x v="145"/>
    <s v="11:04"/>
    <s v="S1"/>
    <x v="0"/>
    <x v="1"/>
    <x v="8"/>
    <x v="1577"/>
    <x v="3"/>
    <s v="TX301615"/>
    <s v="C1"/>
    <x v="3"/>
    <s v="Morning"/>
    <s v="Monday"/>
    <x v="1604"/>
  </r>
  <r>
    <x v="164"/>
    <s v="18:00"/>
    <s v="S6"/>
    <x v="2"/>
    <x v="3"/>
    <x v="1"/>
    <x v="1578"/>
    <x v="3"/>
    <s v="TX301616"/>
    <s v="C4"/>
    <x v="1"/>
    <s v="Evening"/>
    <s v="Friday"/>
    <x v="1605"/>
  </r>
  <r>
    <x v="636"/>
    <s v="12:58"/>
    <s v="S5"/>
    <x v="0"/>
    <x v="4"/>
    <x v="7"/>
    <x v="1579"/>
    <x v="3"/>
    <s v="TX301617"/>
    <s v="C5"/>
    <x v="2"/>
    <s v="Afternoon"/>
    <s v="Thursday"/>
    <x v="1606"/>
  </r>
  <r>
    <x v="698"/>
    <s v="13:56"/>
    <s v="S7"/>
    <x v="2"/>
    <x v="0"/>
    <x v="3"/>
    <x v="1580"/>
    <x v="2"/>
    <s v="TX301618"/>
    <s v="C2"/>
    <x v="3"/>
    <s v="Afternoon"/>
    <s v="Monday"/>
    <x v="1607"/>
  </r>
  <r>
    <x v="656"/>
    <s v="18:51"/>
    <s v="S5"/>
    <x v="2"/>
    <x v="5"/>
    <x v="3"/>
    <x v="1581"/>
    <x v="3"/>
    <s v="TX301619"/>
    <s v="C1"/>
    <x v="3"/>
    <s v="Evening"/>
    <s v="Wednesday"/>
    <x v="1608"/>
  </r>
  <r>
    <x v="384"/>
    <s v="14:52"/>
    <s v="S2"/>
    <x v="0"/>
    <x v="2"/>
    <x v="1"/>
    <x v="1582"/>
    <x v="4"/>
    <s v="TX301620"/>
    <s v="C3"/>
    <x v="3"/>
    <s v="Afternoon"/>
    <s v="Friday"/>
    <x v="1609"/>
  </r>
  <r>
    <x v="167"/>
    <s v="17:57"/>
    <s v="S7"/>
    <x v="2"/>
    <x v="2"/>
    <x v="7"/>
    <x v="1583"/>
    <x v="4"/>
    <s v="TX301621"/>
    <s v="C5"/>
    <x v="2"/>
    <s v="Evening"/>
    <s v="Thursday"/>
    <x v="1610"/>
  </r>
  <r>
    <x v="775"/>
    <s v="16:14"/>
    <s v="S8"/>
    <x v="2"/>
    <x v="5"/>
    <x v="4"/>
    <x v="1584"/>
    <x v="2"/>
    <s v="TX301622"/>
    <s v="C5"/>
    <x v="2"/>
    <s v="Afternoon"/>
    <s v="Saturday"/>
    <x v="1611"/>
  </r>
  <r>
    <x v="358"/>
    <s v="14:16"/>
    <s v="S9"/>
    <x v="1"/>
    <x v="5"/>
    <x v="9"/>
    <x v="1585"/>
    <x v="3"/>
    <s v="TX301623"/>
    <s v="C2"/>
    <x v="0"/>
    <s v="Afternoon"/>
    <s v="Sunday"/>
    <x v="1612"/>
  </r>
  <r>
    <x v="155"/>
    <s v="15:43"/>
    <s v="S7"/>
    <x v="3"/>
    <x v="5"/>
    <x v="6"/>
    <x v="1586"/>
    <x v="4"/>
    <s v="TX301624"/>
    <s v="C1"/>
    <x v="1"/>
    <s v="Afternoon"/>
    <s v="Thursday"/>
    <x v="1613"/>
  </r>
  <r>
    <x v="248"/>
    <s v="19:03"/>
    <s v="S4"/>
    <x v="2"/>
    <x v="0"/>
    <x v="3"/>
    <x v="967"/>
    <x v="1"/>
    <s v="TX301625"/>
    <s v="C4"/>
    <x v="0"/>
    <s v="Evening"/>
    <s v="Sunday"/>
    <x v="975"/>
  </r>
  <r>
    <x v="383"/>
    <s v="16:59"/>
    <s v="S9"/>
    <x v="3"/>
    <x v="2"/>
    <x v="6"/>
    <x v="1587"/>
    <x v="4"/>
    <s v="TX301626"/>
    <s v="C4"/>
    <x v="3"/>
    <s v="Afternoon"/>
    <s v="Saturday"/>
    <x v="1614"/>
  </r>
  <r>
    <x v="457"/>
    <s v="11:53"/>
    <s v="S8"/>
    <x v="3"/>
    <x v="3"/>
    <x v="3"/>
    <x v="1588"/>
    <x v="1"/>
    <s v="TX301627"/>
    <s v="C1"/>
    <x v="2"/>
    <s v="Morning"/>
    <s v="Saturday"/>
    <x v="1615"/>
  </r>
  <r>
    <x v="710"/>
    <s v="20:48"/>
    <s v="S4"/>
    <x v="3"/>
    <x v="4"/>
    <x v="3"/>
    <x v="1589"/>
    <x v="2"/>
    <s v="TX301628"/>
    <s v="C2"/>
    <x v="1"/>
    <s v="Evening"/>
    <s v="Saturday"/>
    <x v="1616"/>
  </r>
  <r>
    <x v="23"/>
    <s v="16:20"/>
    <s v="S1"/>
    <x v="1"/>
    <x v="6"/>
    <x v="5"/>
    <x v="1590"/>
    <x v="2"/>
    <s v="TX301629"/>
    <s v="C5"/>
    <x v="1"/>
    <s v="Afternoon"/>
    <s v="Friday"/>
    <x v="1617"/>
  </r>
  <r>
    <x v="632"/>
    <s v="20:38"/>
    <s v="S8"/>
    <x v="3"/>
    <x v="5"/>
    <x v="3"/>
    <x v="1591"/>
    <x v="1"/>
    <s v="TX301630"/>
    <s v="C2"/>
    <x v="2"/>
    <s v="Evening"/>
    <s v="Monday"/>
    <x v="1618"/>
  </r>
  <r>
    <x v="105"/>
    <s v="19:35"/>
    <s v="S1"/>
    <x v="0"/>
    <x v="6"/>
    <x v="6"/>
    <x v="1592"/>
    <x v="2"/>
    <s v="TX301631"/>
    <s v="C4"/>
    <x v="1"/>
    <s v="Evening"/>
    <s v="Friday"/>
    <x v="1619"/>
  </r>
  <r>
    <x v="439"/>
    <s v="18:27"/>
    <s v="S8"/>
    <x v="0"/>
    <x v="5"/>
    <x v="5"/>
    <x v="1593"/>
    <x v="3"/>
    <s v="TX301632"/>
    <s v="C1"/>
    <x v="2"/>
    <s v="Evening"/>
    <s v="Tuesday"/>
    <x v="1620"/>
  </r>
  <r>
    <x v="27"/>
    <s v="9:04"/>
    <s v="S1"/>
    <x v="1"/>
    <x v="6"/>
    <x v="9"/>
    <x v="1594"/>
    <x v="0"/>
    <s v="TX301633"/>
    <s v="C2"/>
    <x v="2"/>
    <s v="Morning"/>
    <s v="Monday"/>
    <x v="1621"/>
  </r>
  <r>
    <x v="652"/>
    <s v="21:07"/>
    <s v="S2"/>
    <x v="2"/>
    <x v="3"/>
    <x v="5"/>
    <x v="1595"/>
    <x v="3"/>
    <s v="TX301634"/>
    <s v="C2"/>
    <x v="2"/>
    <s v="Evening"/>
    <s v="Friday"/>
    <x v="1622"/>
  </r>
  <r>
    <x v="776"/>
    <s v="14:44"/>
    <s v="S1"/>
    <x v="0"/>
    <x v="3"/>
    <x v="4"/>
    <x v="1596"/>
    <x v="2"/>
    <s v="TX301635"/>
    <s v="C3"/>
    <x v="3"/>
    <s v="Afternoon"/>
    <s v="Monday"/>
    <x v="1623"/>
  </r>
  <r>
    <x v="777"/>
    <s v="14:07"/>
    <s v="S10"/>
    <x v="0"/>
    <x v="0"/>
    <x v="3"/>
    <x v="1597"/>
    <x v="1"/>
    <s v="TX301636"/>
    <s v="C2"/>
    <x v="0"/>
    <s v="Afternoon"/>
    <s v="Monday"/>
    <x v="1624"/>
  </r>
  <r>
    <x v="778"/>
    <s v="13:29"/>
    <s v="S8"/>
    <x v="0"/>
    <x v="6"/>
    <x v="1"/>
    <x v="1598"/>
    <x v="2"/>
    <s v="TX301637"/>
    <s v="C3"/>
    <x v="2"/>
    <s v="Afternoon"/>
    <s v="Sunday"/>
    <x v="1625"/>
  </r>
  <r>
    <x v="779"/>
    <s v="18:50"/>
    <s v="S6"/>
    <x v="3"/>
    <x v="3"/>
    <x v="8"/>
    <x v="1151"/>
    <x v="0"/>
    <s v="TX301638"/>
    <s v="C1"/>
    <x v="1"/>
    <s v="Evening"/>
    <s v="Sunday"/>
    <x v="1626"/>
  </r>
  <r>
    <x v="622"/>
    <s v="17:42"/>
    <s v="S8"/>
    <x v="3"/>
    <x v="3"/>
    <x v="4"/>
    <x v="1599"/>
    <x v="3"/>
    <s v="TX301639"/>
    <s v="C2"/>
    <x v="1"/>
    <s v="Evening"/>
    <s v="Saturday"/>
    <x v="1627"/>
  </r>
  <r>
    <x v="488"/>
    <s v="11:24"/>
    <s v="S6"/>
    <x v="3"/>
    <x v="2"/>
    <x v="9"/>
    <x v="1600"/>
    <x v="3"/>
    <s v="TX301640"/>
    <s v="C5"/>
    <x v="3"/>
    <s v="Morning"/>
    <s v="Tuesday"/>
    <x v="1628"/>
  </r>
  <r>
    <x v="780"/>
    <s v="10:27"/>
    <s v="S4"/>
    <x v="0"/>
    <x v="3"/>
    <x v="6"/>
    <x v="1601"/>
    <x v="0"/>
    <s v="TX301641"/>
    <s v="C2"/>
    <x v="3"/>
    <s v="Morning"/>
    <s v="Saturday"/>
    <x v="1629"/>
  </r>
  <r>
    <x v="323"/>
    <s v="11:13"/>
    <s v="S3"/>
    <x v="1"/>
    <x v="4"/>
    <x v="8"/>
    <x v="1602"/>
    <x v="2"/>
    <s v="TX301642"/>
    <s v="C1"/>
    <x v="3"/>
    <s v="Morning"/>
    <s v="Monday"/>
    <x v="1630"/>
  </r>
  <r>
    <x v="148"/>
    <s v="11:44"/>
    <s v="S7"/>
    <x v="0"/>
    <x v="4"/>
    <x v="6"/>
    <x v="1603"/>
    <x v="3"/>
    <s v="TX301643"/>
    <s v="C1"/>
    <x v="3"/>
    <s v="Morning"/>
    <s v="Tuesday"/>
    <x v="1631"/>
  </r>
  <r>
    <x v="730"/>
    <s v="21:42"/>
    <s v="S2"/>
    <x v="1"/>
    <x v="1"/>
    <x v="7"/>
    <x v="1604"/>
    <x v="2"/>
    <s v="TX301644"/>
    <s v="C2"/>
    <x v="2"/>
    <s v="Evening"/>
    <s v="Sunday"/>
    <x v="1632"/>
  </r>
  <r>
    <x v="781"/>
    <s v="12:15"/>
    <s v="S1"/>
    <x v="2"/>
    <x v="3"/>
    <x v="2"/>
    <x v="1605"/>
    <x v="1"/>
    <s v="TX301645"/>
    <s v="C1"/>
    <x v="2"/>
    <s v="Afternoon"/>
    <s v="Tuesday"/>
    <x v="1633"/>
  </r>
  <r>
    <x v="587"/>
    <s v="20:05"/>
    <s v="S9"/>
    <x v="3"/>
    <x v="5"/>
    <x v="2"/>
    <x v="1606"/>
    <x v="4"/>
    <s v="TX301646"/>
    <s v="C1"/>
    <x v="0"/>
    <s v="Evening"/>
    <s v="Monday"/>
    <x v="1634"/>
  </r>
  <r>
    <x v="584"/>
    <s v="20:02"/>
    <s v="S8"/>
    <x v="2"/>
    <x v="4"/>
    <x v="1"/>
    <x v="1607"/>
    <x v="2"/>
    <s v="TX301647"/>
    <s v="C5"/>
    <x v="1"/>
    <s v="Evening"/>
    <s v="Friday"/>
    <x v="1635"/>
  </r>
  <r>
    <x v="204"/>
    <s v="9:44"/>
    <s v="S7"/>
    <x v="2"/>
    <x v="0"/>
    <x v="3"/>
    <x v="1608"/>
    <x v="1"/>
    <s v="TX301648"/>
    <s v="C2"/>
    <x v="0"/>
    <s v="Morning"/>
    <s v="Tuesday"/>
    <x v="1636"/>
  </r>
  <r>
    <x v="113"/>
    <s v="15:36"/>
    <s v="S5"/>
    <x v="2"/>
    <x v="4"/>
    <x v="2"/>
    <x v="1609"/>
    <x v="4"/>
    <s v="TX301649"/>
    <s v="C2"/>
    <x v="2"/>
    <s v="Afternoon"/>
    <s v="Saturday"/>
    <x v="1637"/>
  </r>
  <r>
    <x v="226"/>
    <s v="9:39"/>
    <s v="S9"/>
    <x v="3"/>
    <x v="2"/>
    <x v="6"/>
    <x v="1610"/>
    <x v="2"/>
    <s v="TX301650"/>
    <s v="C5"/>
    <x v="0"/>
    <s v="Morning"/>
    <s v="Wednesday"/>
    <x v="1638"/>
  </r>
  <r>
    <x v="550"/>
    <s v="17:50"/>
    <s v="S10"/>
    <x v="0"/>
    <x v="1"/>
    <x v="2"/>
    <x v="1611"/>
    <x v="4"/>
    <s v="TX301651"/>
    <s v="C3"/>
    <x v="0"/>
    <s v="Evening"/>
    <s v="Tuesday"/>
    <x v="1639"/>
  </r>
  <r>
    <x v="245"/>
    <s v="14:24"/>
    <s v="S1"/>
    <x v="3"/>
    <x v="2"/>
    <x v="5"/>
    <x v="250"/>
    <x v="2"/>
    <s v="TX301652"/>
    <s v="C4"/>
    <x v="2"/>
    <s v="Afternoon"/>
    <s v="Monday"/>
    <x v="1640"/>
  </r>
  <r>
    <x v="319"/>
    <s v="19:52"/>
    <s v="S10"/>
    <x v="3"/>
    <x v="2"/>
    <x v="5"/>
    <x v="1612"/>
    <x v="1"/>
    <s v="TX301653"/>
    <s v="C1"/>
    <x v="1"/>
    <s v="Evening"/>
    <s v="Sunday"/>
    <x v="1641"/>
  </r>
  <r>
    <x v="73"/>
    <s v="18:09"/>
    <s v="S5"/>
    <x v="2"/>
    <x v="3"/>
    <x v="6"/>
    <x v="1613"/>
    <x v="3"/>
    <s v="TX301654"/>
    <s v="C1"/>
    <x v="0"/>
    <s v="Evening"/>
    <s v="Tuesday"/>
    <x v="1642"/>
  </r>
  <r>
    <x v="782"/>
    <s v="14:10"/>
    <s v="S5"/>
    <x v="1"/>
    <x v="4"/>
    <x v="6"/>
    <x v="1614"/>
    <x v="3"/>
    <s v="TX301655"/>
    <s v="C2"/>
    <x v="0"/>
    <s v="Afternoon"/>
    <s v="Thursday"/>
    <x v="1643"/>
  </r>
  <r>
    <x v="783"/>
    <s v="12:13"/>
    <s v="S7"/>
    <x v="2"/>
    <x v="1"/>
    <x v="0"/>
    <x v="1615"/>
    <x v="0"/>
    <s v="TX301656"/>
    <s v="C2"/>
    <x v="3"/>
    <s v="Afternoon"/>
    <s v="Friday"/>
    <x v="1644"/>
  </r>
  <r>
    <x v="500"/>
    <s v="20:14"/>
    <s v="S9"/>
    <x v="3"/>
    <x v="5"/>
    <x v="8"/>
    <x v="1616"/>
    <x v="2"/>
    <s v="TX301657"/>
    <s v="C1"/>
    <x v="0"/>
    <s v="Evening"/>
    <s v="Wednesday"/>
    <x v="1645"/>
  </r>
  <r>
    <x v="687"/>
    <s v="10:38"/>
    <s v="S6"/>
    <x v="2"/>
    <x v="3"/>
    <x v="1"/>
    <x v="1617"/>
    <x v="2"/>
    <s v="TX301658"/>
    <s v="C1"/>
    <x v="2"/>
    <s v="Morning"/>
    <s v="Saturday"/>
    <x v="1646"/>
  </r>
  <r>
    <x v="275"/>
    <s v="10:13"/>
    <s v="S9"/>
    <x v="3"/>
    <x v="3"/>
    <x v="5"/>
    <x v="1618"/>
    <x v="1"/>
    <s v="TX301659"/>
    <s v="C5"/>
    <x v="2"/>
    <s v="Morning"/>
    <s v="Thursday"/>
    <x v="1647"/>
  </r>
  <r>
    <x v="784"/>
    <s v="9:31"/>
    <s v="S2"/>
    <x v="1"/>
    <x v="0"/>
    <x v="2"/>
    <x v="1619"/>
    <x v="3"/>
    <s v="TX301660"/>
    <s v="C2"/>
    <x v="3"/>
    <s v="Morning"/>
    <s v="Tuesday"/>
    <x v="1648"/>
  </r>
  <r>
    <x v="785"/>
    <s v="20:45"/>
    <s v="S4"/>
    <x v="1"/>
    <x v="1"/>
    <x v="4"/>
    <x v="1620"/>
    <x v="4"/>
    <s v="TX301661"/>
    <s v="C5"/>
    <x v="3"/>
    <s v="Evening"/>
    <s v="Thursday"/>
    <x v="1649"/>
  </r>
  <r>
    <x v="583"/>
    <s v="20:05"/>
    <s v="S3"/>
    <x v="0"/>
    <x v="3"/>
    <x v="4"/>
    <x v="1621"/>
    <x v="0"/>
    <s v="TX301662"/>
    <s v="C4"/>
    <x v="1"/>
    <s v="Evening"/>
    <s v="Thursday"/>
    <x v="1650"/>
  </r>
  <r>
    <x v="29"/>
    <s v="11:43"/>
    <s v="S1"/>
    <x v="0"/>
    <x v="5"/>
    <x v="7"/>
    <x v="1622"/>
    <x v="3"/>
    <s v="TX301663"/>
    <s v="C3"/>
    <x v="3"/>
    <s v="Morning"/>
    <s v="Thursday"/>
    <x v="1651"/>
  </r>
  <r>
    <x v="199"/>
    <s v="19:03"/>
    <s v="S4"/>
    <x v="1"/>
    <x v="4"/>
    <x v="7"/>
    <x v="1623"/>
    <x v="2"/>
    <s v="TX301664"/>
    <s v="C4"/>
    <x v="2"/>
    <s v="Evening"/>
    <s v="Sunday"/>
    <x v="1652"/>
  </r>
  <r>
    <x v="541"/>
    <s v="17:07"/>
    <s v="S6"/>
    <x v="3"/>
    <x v="0"/>
    <x v="7"/>
    <x v="1624"/>
    <x v="3"/>
    <s v="TX301665"/>
    <s v="C3"/>
    <x v="0"/>
    <s v="Evening"/>
    <s v="Tuesday"/>
    <x v="1653"/>
  </r>
  <r>
    <x v="697"/>
    <s v="10:35"/>
    <s v="S9"/>
    <x v="0"/>
    <x v="2"/>
    <x v="8"/>
    <x v="1625"/>
    <x v="2"/>
    <s v="TX301666"/>
    <s v="C1"/>
    <x v="3"/>
    <s v="Morning"/>
    <s v="Sunday"/>
    <x v="1654"/>
  </r>
  <r>
    <x v="132"/>
    <s v="13:21"/>
    <s v="S2"/>
    <x v="0"/>
    <x v="6"/>
    <x v="0"/>
    <x v="1626"/>
    <x v="2"/>
    <s v="TX301667"/>
    <s v="C2"/>
    <x v="3"/>
    <s v="Afternoon"/>
    <s v="Friday"/>
    <x v="1655"/>
  </r>
  <r>
    <x v="194"/>
    <s v="16:52"/>
    <s v="S8"/>
    <x v="0"/>
    <x v="6"/>
    <x v="1"/>
    <x v="993"/>
    <x v="2"/>
    <s v="TX301668"/>
    <s v="C3"/>
    <x v="2"/>
    <s v="Afternoon"/>
    <s v="Sunday"/>
    <x v="1656"/>
  </r>
  <r>
    <x v="228"/>
    <s v="14:05"/>
    <s v="S9"/>
    <x v="0"/>
    <x v="1"/>
    <x v="8"/>
    <x v="1456"/>
    <x v="1"/>
    <s v="TX301669"/>
    <s v="C5"/>
    <x v="0"/>
    <s v="Afternoon"/>
    <s v="Saturday"/>
    <x v="1657"/>
  </r>
  <r>
    <x v="86"/>
    <s v="9:11"/>
    <s v="S2"/>
    <x v="3"/>
    <x v="6"/>
    <x v="2"/>
    <x v="1627"/>
    <x v="1"/>
    <s v="TX301670"/>
    <s v="C3"/>
    <x v="3"/>
    <s v="Morning"/>
    <s v="Tuesday"/>
    <x v="1658"/>
  </r>
  <r>
    <x v="541"/>
    <s v="18:14"/>
    <s v="S1"/>
    <x v="1"/>
    <x v="0"/>
    <x v="2"/>
    <x v="1628"/>
    <x v="4"/>
    <s v="TX301671"/>
    <s v="C1"/>
    <x v="0"/>
    <s v="Evening"/>
    <s v="Tuesday"/>
    <x v="1659"/>
  </r>
  <r>
    <x v="786"/>
    <s v="16:24"/>
    <s v="S10"/>
    <x v="0"/>
    <x v="1"/>
    <x v="9"/>
    <x v="1629"/>
    <x v="1"/>
    <s v="TX301672"/>
    <s v="C2"/>
    <x v="3"/>
    <s v="Afternoon"/>
    <s v="Friday"/>
    <x v="1660"/>
  </r>
  <r>
    <x v="744"/>
    <s v="9:49"/>
    <s v="S9"/>
    <x v="2"/>
    <x v="4"/>
    <x v="2"/>
    <x v="1630"/>
    <x v="2"/>
    <s v="TX301673"/>
    <s v="C2"/>
    <x v="3"/>
    <s v="Morning"/>
    <s v="Sunday"/>
    <x v="1661"/>
  </r>
  <r>
    <x v="496"/>
    <s v="15:53"/>
    <s v="S9"/>
    <x v="1"/>
    <x v="2"/>
    <x v="1"/>
    <x v="1631"/>
    <x v="4"/>
    <s v="TX301674"/>
    <s v="C3"/>
    <x v="3"/>
    <s v="Afternoon"/>
    <s v="Saturday"/>
    <x v="1662"/>
  </r>
  <r>
    <x v="517"/>
    <s v="20:41"/>
    <s v="S6"/>
    <x v="1"/>
    <x v="1"/>
    <x v="1"/>
    <x v="1632"/>
    <x v="4"/>
    <s v="TX301675"/>
    <s v="C2"/>
    <x v="1"/>
    <s v="Evening"/>
    <s v="Thursday"/>
    <x v="1663"/>
  </r>
  <r>
    <x v="509"/>
    <s v="11:56"/>
    <s v="S4"/>
    <x v="1"/>
    <x v="5"/>
    <x v="9"/>
    <x v="1633"/>
    <x v="4"/>
    <s v="TX301676"/>
    <s v="C5"/>
    <x v="2"/>
    <s v="Morning"/>
    <s v="Wednesday"/>
    <x v="1664"/>
  </r>
  <r>
    <x v="135"/>
    <s v="20:03"/>
    <s v="S4"/>
    <x v="2"/>
    <x v="1"/>
    <x v="4"/>
    <x v="1634"/>
    <x v="3"/>
    <s v="TX301677"/>
    <s v="C3"/>
    <x v="2"/>
    <s v="Evening"/>
    <s v="Thursday"/>
    <x v="1665"/>
  </r>
  <r>
    <x v="787"/>
    <s v="15:23"/>
    <s v="S8"/>
    <x v="2"/>
    <x v="1"/>
    <x v="0"/>
    <x v="1635"/>
    <x v="0"/>
    <s v="TX301678"/>
    <s v="C5"/>
    <x v="0"/>
    <s v="Afternoon"/>
    <s v="Sunday"/>
    <x v="1666"/>
  </r>
  <r>
    <x v="788"/>
    <s v="11:39"/>
    <s v="S3"/>
    <x v="2"/>
    <x v="0"/>
    <x v="4"/>
    <x v="1636"/>
    <x v="3"/>
    <s v="TX301679"/>
    <s v="C4"/>
    <x v="2"/>
    <s v="Morning"/>
    <s v="Saturday"/>
    <x v="1667"/>
  </r>
  <r>
    <x v="200"/>
    <s v="14:59"/>
    <s v="S4"/>
    <x v="1"/>
    <x v="6"/>
    <x v="3"/>
    <x v="1637"/>
    <x v="2"/>
    <s v="TX301680"/>
    <s v="C4"/>
    <x v="1"/>
    <s v="Afternoon"/>
    <s v="Sunday"/>
    <x v="1668"/>
  </r>
  <r>
    <x v="196"/>
    <s v="20:40"/>
    <s v="S1"/>
    <x v="1"/>
    <x v="5"/>
    <x v="7"/>
    <x v="1638"/>
    <x v="1"/>
    <s v="TX301681"/>
    <s v="C1"/>
    <x v="3"/>
    <s v="Evening"/>
    <s v="Friday"/>
    <x v="1669"/>
  </r>
  <r>
    <x v="764"/>
    <s v="15:34"/>
    <s v="S2"/>
    <x v="3"/>
    <x v="4"/>
    <x v="5"/>
    <x v="1639"/>
    <x v="2"/>
    <s v="TX301682"/>
    <s v="C3"/>
    <x v="0"/>
    <s v="Afternoon"/>
    <s v="Monday"/>
    <x v="1670"/>
  </r>
  <r>
    <x v="465"/>
    <s v="13:05"/>
    <s v="S8"/>
    <x v="2"/>
    <x v="2"/>
    <x v="2"/>
    <x v="1640"/>
    <x v="4"/>
    <s v="TX301683"/>
    <s v="C4"/>
    <x v="1"/>
    <s v="Afternoon"/>
    <s v="Tuesday"/>
    <x v="1671"/>
  </r>
  <r>
    <x v="36"/>
    <s v="10:17"/>
    <s v="S7"/>
    <x v="3"/>
    <x v="2"/>
    <x v="3"/>
    <x v="1641"/>
    <x v="3"/>
    <s v="TX301684"/>
    <s v="C3"/>
    <x v="2"/>
    <s v="Morning"/>
    <s v="Thursday"/>
    <x v="1672"/>
  </r>
  <r>
    <x v="610"/>
    <s v="9:39"/>
    <s v="S3"/>
    <x v="2"/>
    <x v="3"/>
    <x v="0"/>
    <x v="1642"/>
    <x v="3"/>
    <s v="TX301685"/>
    <s v="C2"/>
    <x v="0"/>
    <s v="Morning"/>
    <s v="Monday"/>
    <x v="1673"/>
  </r>
  <r>
    <x v="280"/>
    <s v="12:58"/>
    <s v="S6"/>
    <x v="2"/>
    <x v="6"/>
    <x v="6"/>
    <x v="1643"/>
    <x v="4"/>
    <s v="TX301686"/>
    <s v="C1"/>
    <x v="2"/>
    <s v="Afternoon"/>
    <s v="Friday"/>
    <x v="1674"/>
  </r>
  <r>
    <x v="626"/>
    <s v="10:08"/>
    <s v="S2"/>
    <x v="2"/>
    <x v="2"/>
    <x v="2"/>
    <x v="1644"/>
    <x v="2"/>
    <s v="TX301687"/>
    <s v="C2"/>
    <x v="0"/>
    <s v="Morning"/>
    <s v="Monday"/>
    <x v="1675"/>
  </r>
  <r>
    <x v="256"/>
    <s v="14:55"/>
    <s v="S4"/>
    <x v="0"/>
    <x v="1"/>
    <x v="4"/>
    <x v="1645"/>
    <x v="2"/>
    <s v="TX301688"/>
    <s v="C4"/>
    <x v="0"/>
    <s v="Afternoon"/>
    <s v="Wednesday"/>
    <x v="1676"/>
  </r>
  <r>
    <x v="432"/>
    <s v="12:27"/>
    <s v="S1"/>
    <x v="0"/>
    <x v="3"/>
    <x v="3"/>
    <x v="1646"/>
    <x v="2"/>
    <s v="TX301689"/>
    <s v="C3"/>
    <x v="3"/>
    <s v="Afternoon"/>
    <s v="Saturday"/>
    <x v="1677"/>
  </r>
  <r>
    <x v="789"/>
    <s v="21:07"/>
    <s v="S4"/>
    <x v="0"/>
    <x v="6"/>
    <x v="2"/>
    <x v="1647"/>
    <x v="4"/>
    <s v="TX301690"/>
    <s v="C1"/>
    <x v="0"/>
    <s v="Evening"/>
    <s v="Tuesday"/>
    <x v="1678"/>
  </r>
  <r>
    <x v="428"/>
    <s v="21:03"/>
    <s v="S2"/>
    <x v="0"/>
    <x v="5"/>
    <x v="1"/>
    <x v="1648"/>
    <x v="4"/>
    <s v="TX301691"/>
    <s v="C3"/>
    <x v="2"/>
    <s v="Evening"/>
    <s v="Tuesday"/>
    <x v="1679"/>
  </r>
  <r>
    <x v="556"/>
    <s v="13:33"/>
    <s v="S6"/>
    <x v="1"/>
    <x v="1"/>
    <x v="1"/>
    <x v="1649"/>
    <x v="1"/>
    <s v="TX301692"/>
    <s v="C1"/>
    <x v="0"/>
    <s v="Afternoon"/>
    <s v="Wednesday"/>
    <x v="1680"/>
  </r>
  <r>
    <x v="788"/>
    <s v="16:54"/>
    <s v="S4"/>
    <x v="1"/>
    <x v="0"/>
    <x v="6"/>
    <x v="1650"/>
    <x v="3"/>
    <s v="TX301693"/>
    <s v="C1"/>
    <x v="3"/>
    <s v="Afternoon"/>
    <s v="Saturday"/>
    <x v="1681"/>
  </r>
  <r>
    <x v="83"/>
    <s v="18:54"/>
    <s v="S10"/>
    <x v="2"/>
    <x v="1"/>
    <x v="5"/>
    <x v="1651"/>
    <x v="1"/>
    <s v="TX301694"/>
    <s v="C4"/>
    <x v="1"/>
    <s v="Evening"/>
    <s v="Tuesday"/>
    <x v="1682"/>
  </r>
  <r>
    <x v="335"/>
    <s v="9:07"/>
    <s v="S10"/>
    <x v="3"/>
    <x v="0"/>
    <x v="4"/>
    <x v="1652"/>
    <x v="1"/>
    <s v="TX301695"/>
    <s v="C5"/>
    <x v="0"/>
    <s v="Morning"/>
    <s v="Thursday"/>
    <x v="1683"/>
  </r>
  <r>
    <x v="435"/>
    <s v="18:36"/>
    <s v="S9"/>
    <x v="1"/>
    <x v="0"/>
    <x v="9"/>
    <x v="1653"/>
    <x v="1"/>
    <s v="TX301696"/>
    <s v="C5"/>
    <x v="3"/>
    <s v="Evening"/>
    <s v="Friday"/>
    <x v="1684"/>
  </r>
  <r>
    <x v="89"/>
    <s v="20:44"/>
    <s v="S8"/>
    <x v="1"/>
    <x v="2"/>
    <x v="5"/>
    <x v="1654"/>
    <x v="4"/>
    <s v="TX301697"/>
    <s v="C5"/>
    <x v="2"/>
    <s v="Evening"/>
    <s v="Friday"/>
    <x v="1685"/>
  </r>
  <r>
    <x v="26"/>
    <s v="17:21"/>
    <s v="S10"/>
    <x v="1"/>
    <x v="0"/>
    <x v="1"/>
    <x v="1655"/>
    <x v="1"/>
    <s v="TX301698"/>
    <s v="C4"/>
    <x v="3"/>
    <s v="Evening"/>
    <s v="Monday"/>
    <x v="1686"/>
  </r>
  <r>
    <x v="698"/>
    <s v="12:16"/>
    <s v="S6"/>
    <x v="1"/>
    <x v="4"/>
    <x v="5"/>
    <x v="1656"/>
    <x v="4"/>
    <s v="TX301699"/>
    <s v="C5"/>
    <x v="0"/>
    <s v="Afternoon"/>
    <s v="Monday"/>
    <x v="1687"/>
  </r>
  <r>
    <x v="126"/>
    <s v="20:03"/>
    <s v="S4"/>
    <x v="3"/>
    <x v="2"/>
    <x v="6"/>
    <x v="1657"/>
    <x v="1"/>
    <s v="TX301700"/>
    <s v="C4"/>
    <x v="2"/>
    <s v="Evening"/>
    <s v="Sunday"/>
    <x v="1688"/>
  </r>
  <r>
    <x v="722"/>
    <s v="20:14"/>
    <s v="S4"/>
    <x v="0"/>
    <x v="3"/>
    <x v="0"/>
    <x v="1658"/>
    <x v="1"/>
    <s v="TX301701"/>
    <s v="C1"/>
    <x v="0"/>
    <s v="Evening"/>
    <s v="Wednesday"/>
    <x v="1689"/>
  </r>
  <r>
    <x v="109"/>
    <s v="15:05"/>
    <s v="S1"/>
    <x v="2"/>
    <x v="1"/>
    <x v="2"/>
    <x v="1659"/>
    <x v="2"/>
    <s v="TX301702"/>
    <s v="C4"/>
    <x v="0"/>
    <s v="Afternoon"/>
    <s v="Wednesday"/>
    <x v="1690"/>
  </r>
  <r>
    <x v="591"/>
    <s v="15:35"/>
    <s v="S3"/>
    <x v="0"/>
    <x v="2"/>
    <x v="9"/>
    <x v="1660"/>
    <x v="2"/>
    <s v="TX301703"/>
    <s v="C1"/>
    <x v="1"/>
    <s v="Afternoon"/>
    <s v="Thursday"/>
    <x v="1691"/>
  </r>
  <r>
    <x v="28"/>
    <s v="21:23"/>
    <s v="S7"/>
    <x v="1"/>
    <x v="1"/>
    <x v="6"/>
    <x v="1661"/>
    <x v="4"/>
    <s v="TX301704"/>
    <s v="C2"/>
    <x v="0"/>
    <s v="Evening"/>
    <s v="Thursday"/>
    <x v="1692"/>
  </r>
  <r>
    <x v="790"/>
    <s v="11:23"/>
    <s v="S4"/>
    <x v="0"/>
    <x v="3"/>
    <x v="4"/>
    <x v="1662"/>
    <x v="3"/>
    <s v="TX301705"/>
    <s v="C1"/>
    <x v="1"/>
    <s v="Morning"/>
    <s v="Saturday"/>
    <x v="1693"/>
  </r>
  <r>
    <x v="231"/>
    <s v="11:34"/>
    <s v="S1"/>
    <x v="3"/>
    <x v="2"/>
    <x v="5"/>
    <x v="1663"/>
    <x v="0"/>
    <s v="TX301706"/>
    <s v="C4"/>
    <x v="2"/>
    <s v="Morning"/>
    <s v="Monday"/>
    <x v="1694"/>
  </r>
  <r>
    <x v="177"/>
    <s v="17:11"/>
    <s v="S7"/>
    <x v="2"/>
    <x v="6"/>
    <x v="4"/>
    <x v="1664"/>
    <x v="1"/>
    <s v="TX301707"/>
    <s v="C1"/>
    <x v="0"/>
    <s v="Evening"/>
    <s v="Thursday"/>
    <x v="1695"/>
  </r>
  <r>
    <x v="46"/>
    <s v="12:52"/>
    <s v="S3"/>
    <x v="0"/>
    <x v="0"/>
    <x v="4"/>
    <x v="1665"/>
    <x v="0"/>
    <s v="TX301708"/>
    <s v="C5"/>
    <x v="3"/>
    <s v="Afternoon"/>
    <s v="Friday"/>
    <x v="1696"/>
  </r>
  <r>
    <x v="124"/>
    <s v="14:53"/>
    <s v="S4"/>
    <x v="3"/>
    <x v="4"/>
    <x v="2"/>
    <x v="1666"/>
    <x v="1"/>
    <s v="TX301709"/>
    <s v="C2"/>
    <x v="0"/>
    <s v="Afternoon"/>
    <s v="Monday"/>
    <x v="1697"/>
  </r>
  <r>
    <x v="587"/>
    <s v="14:51"/>
    <s v="S7"/>
    <x v="2"/>
    <x v="5"/>
    <x v="4"/>
    <x v="1667"/>
    <x v="3"/>
    <s v="TX301710"/>
    <s v="C2"/>
    <x v="3"/>
    <s v="Afternoon"/>
    <s v="Monday"/>
    <x v="1698"/>
  </r>
  <r>
    <x v="791"/>
    <s v="10:36"/>
    <s v="S8"/>
    <x v="0"/>
    <x v="2"/>
    <x v="1"/>
    <x v="1668"/>
    <x v="2"/>
    <s v="TX301711"/>
    <s v="C2"/>
    <x v="2"/>
    <s v="Morning"/>
    <s v="Tuesday"/>
    <x v="1699"/>
  </r>
  <r>
    <x v="473"/>
    <s v="15:29"/>
    <s v="S1"/>
    <x v="0"/>
    <x v="5"/>
    <x v="6"/>
    <x v="1669"/>
    <x v="4"/>
    <s v="TX301712"/>
    <s v="C3"/>
    <x v="3"/>
    <s v="Afternoon"/>
    <s v="Monday"/>
    <x v="1700"/>
  </r>
  <r>
    <x v="611"/>
    <s v="14:07"/>
    <s v="S10"/>
    <x v="1"/>
    <x v="3"/>
    <x v="5"/>
    <x v="1670"/>
    <x v="1"/>
    <s v="TX301713"/>
    <s v="C1"/>
    <x v="3"/>
    <s v="Afternoon"/>
    <s v="Monday"/>
    <x v="1701"/>
  </r>
  <r>
    <x v="792"/>
    <s v="13:29"/>
    <s v="S2"/>
    <x v="1"/>
    <x v="6"/>
    <x v="1"/>
    <x v="1671"/>
    <x v="1"/>
    <s v="TX301714"/>
    <s v="C5"/>
    <x v="2"/>
    <s v="Afternoon"/>
    <s v="Sunday"/>
    <x v="1702"/>
  </r>
  <r>
    <x v="535"/>
    <s v="13:46"/>
    <s v="S7"/>
    <x v="0"/>
    <x v="1"/>
    <x v="5"/>
    <x v="1672"/>
    <x v="1"/>
    <s v="TX301715"/>
    <s v="C5"/>
    <x v="0"/>
    <s v="Afternoon"/>
    <s v="Tuesday"/>
    <x v="1703"/>
  </r>
  <r>
    <x v="346"/>
    <s v="19:46"/>
    <s v="S8"/>
    <x v="0"/>
    <x v="0"/>
    <x v="2"/>
    <x v="1673"/>
    <x v="4"/>
    <s v="TX301716"/>
    <s v="C2"/>
    <x v="1"/>
    <s v="Evening"/>
    <s v="Wednesday"/>
    <x v="1704"/>
  </r>
  <r>
    <x v="187"/>
    <s v="20:13"/>
    <s v="S9"/>
    <x v="3"/>
    <x v="0"/>
    <x v="1"/>
    <x v="1674"/>
    <x v="1"/>
    <s v="TX301717"/>
    <s v="C1"/>
    <x v="3"/>
    <s v="Evening"/>
    <s v="Sunday"/>
    <x v="1705"/>
  </r>
  <r>
    <x v="793"/>
    <s v="13:07"/>
    <s v="S3"/>
    <x v="1"/>
    <x v="1"/>
    <x v="6"/>
    <x v="1675"/>
    <x v="4"/>
    <s v="TX301718"/>
    <s v="C1"/>
    <x v="0"/>
    <s v="Afternoon"/>
    <s v="Wednesday"/>
    <x v="1706"/>
  </r>
  <r>
    <x v="481"/>
    <s v="14:01"/>
    <s v="S7"/>
    <x v="2"/>
    <x v="4"/>
    <x v="0"/>
    <x v="1676"/>
    <x v="2"/>
    <s v="TX301719"/>
    <s v="C1"/>
    <x v="2"/>
    <s v="Afternoon"/>
    <s v="Thursday"/>
    <x v="1707"/>
  </r>
  <r>
    <x v="516"/>
    <s v="9:47"/>
    <s v="S7"/>
    <x v="1"/>
    <x v="1"/>
    <x v="4"/>
    <x v="1677"/>
    <x v="1"/>
    <s v="TX301720"/>
    <s v="C4"/>
    <x v="3"/>
    <s v="Morning"/>
    <s v="Wednesday"/>
    <x v="1708"/>
  </r>
  <r>
    <x v="724"/>
    <s v="11:08"/>
    <s v="S4"/>
    <x v="0"/>
    <x v="1"/>
    <x v="2"/>
    <x v="1678"/>
    <x v="4"/>
    <s v="TX301721"/>
    <s v="C5"/>
    <x v="3"/>
    <s v="Morning"/>
    <s v="Sunday"/>
    <x v="1709"/>
  </r>
  <r>
    <x v="587"/>
    <s v="11:07"/>
    <s v="S6"/>
    <x v="0"/>
    <x v="6"/>
    <x v="1"/>
    <x v="1679"/>
    <x v="4"/>
    <s v="TX301722"/>
    <s v="C3"/>
    <x v="2"/>
    <s v="Morning"/>
    <s v="Monday"/>
    <x v="1710"/>
  </r>
  <r>
    <x v="326"/>
    <s v="18:49"/>
    <s v="S9"/>
    <x v="3"/>
    <x v="1"/>
    <x v="8"/>
    <x v="1680"/>
    <x v="2"/>
    <s v="TX301723"/>
    <s v="C1"/>
    <x v="1"/>
    <s v="Evening"/>
    <s v="Monday"/>
    <x v="1711"/>
  </r>
  <r>
    <x v="62"/>
    <s v="18:08"/>
    <s v="S4"/>
    <x v="2"/>
    <x v="1"/>
    <x v="0"/>
    <x v="1681"/>
    <x v="1"/>
    <s v="TX301724"/>
    <s v="C1"/>
    <x v="0"/>
    <s v="Evening"/>
    <s v="Thursday"/>
    <x v="1712"/>
  </r>
  <r>
    <x v="68"/>
    <s v="15:45"/>
    <s v="S10"/>
    <x v="3"/>
    <x v="5"/>
    <x v="8"/>
    <x v="1682"/>
    <x v="1"/>
    <s v="TX301725"/>
    <s v="C2"/>
    <x v="3"/>
    <s v="Afternoon"/>
    <s v="Monday"/>
    <x v="1713"/>
  </r>
  <r>
    <x v="633"/>
    <s v="21:28"/>
    <s v="S8"/>
    <x v="1"/>
    <x v="3"/>
    <x v="0"/>
    <x v="1683"/>
    <x v="0"/>
    <s v="TX301726"/>
    <s v="C1"/>
    <x v="3"/>
    <s v="Evening"/>
    <s v="Tuesday"/>
    <x v="1714"/>
  </r>
  <r>
    <x v="80"/>
    <s v="11:08"/>
    <s v="S7"/>
    <x v="1"/>
    <x v="6"/>
    <x v="3"/>
    <x v="1684"/>
    <x v="4"/>
    <s v="TX301727"/>
    <s v="C5"/>
    <x v="3"/>
    <s v="Morning"/>
    <s v="Saturday"/>
    <x v="1715"/>
  </r>
  <r>
    <x v="92"/>
    <s v="16:49"/>
    <s v="S3"/>
    <x v="3"/>
    <x v="5"/>
    <x v="6"/>
    <x v="1685"/>
    <x v="4"/>
    <s v="TX301728"/>
    <s v="C4"/>
    <x v="1"/>
    <s v="Afternoon"/>
    <s v="Thursday"/>
    <x v="1716"/>
  </r>
  <r>
    <x v="532"/>
    <s v="13:02"/>
    <s v="S3"/>
    <x v="0"/>
    <x v="3"/>
    <x v="6"/>
    <x v="1686"/>
    <x v="1"/>
    <s v="TX301729"/>
    <s v="C3"/>
    <x v="0"/>
    <s v="Afternoon"/>
    <s v="Tuesday"/>
    <x v="1717"/>
  </r>
  <r>
    <x v="423"/>
    <s v="10:30"/>
    <s v="S8"/>
    <x v="3"/>
    <x v="5"/>
    <x v="9"/>
    <x v="1687"/>
    <x v="4"/>
    <s v="TX301730"/>
    <s v="C2"/>
    <x v="1"/>
    <s v="Morning"/>
    <s v="Tuesday"/>
    <x v="1718"/>
  </r>
  <r>
    <x v="477"/>
    <s v="9:33"/>
    <s v="S2"/>
    <x v="1"/>
    <x v="6"/>
    <x v="4"/>
    <x v="1688"/>
    <x v="1"/>
    <s v="TX301731"/>
    <s v="C5"/>
    <x v="0"/>
    <s v="Morning"/>
    <s v="Friday"/>
    <x v="1719"/>
  </r>
  <r>
    <x v="325"/>
    <s v="16:37"/>
    <s v="S7"/>
    <x v="3"/>
    <x v="6"/>
    <x v="7"/>
    <x v="693"/>
    <x v="3"/>
    <s v="TX301732"/>
    <s v="C5"/>
    <x v="3"/>
    <s v="Afternoon"/>
    <s v="Thursday"/>
    <x v="697"/>
  </r>
  <r>
    <x v="348"/>
    <s v="10:18"/>
    <s v="S10"/>
    <x v="3"/>
    <x v="1"/>
    <x v="1"/>
    <x v="1689"/>
    <x v="4"/>
    <s v="TX301733"/>
    <s v="C4"/>
    <x v="0"/>
    <s v="Morning"/>
    <s v="Monday"/>
    <x v="1720"/>
  </r>
  <r>
    <x v="615"/>
    <s v="12:39"/>
    <s v="S4"/>
    <x v="0"/>
    <x v="2"/>
    <x v="1"/>
    <x v="1690"/>
    <x v="1"/>
    <s v="TX301734"/>
    <s v="C5"/>
    <x v="0"/>
    <s v="Afternoon"/>
    <s v="Sunday"/>
    <x v="1721"/>
  </r>
  <r>
    <x v="3"/>
    <s v="16:54"/>
    <s v="S4"/>
    <x v="3"/>
    <x v="2"/>
    <x v="4"/>
    <x v="1691"/>
    <x v="3"/>
    <s v="TX301735"/>
    <s v="C4"/>
    <x v="3"/>
    <s v="Afternoon"/>
    <s v="Saturday"/>
    <x v="1722"/>
  </r>
  <r>
    <x v="633"/>
    <s v="20:00"/>
    <s v="S10"/>
    <x v="1"/>
    <x v="4"/>
    <x v="4"/>
    <x v="1692"/>
    <x v="0"/>
    <s v="TX301736"/>
    <s v="C1"/>
    <x v="1"/>
    <s v="Evening"/>
    <s v="Tuesday"/>
    <x v="1723"/>
  </r>
  <r>
    <x v="787"/>
    <s v="11:49"/>
    <s v="S10"/>
    <x v="2"/>
    <x v="4"/>
    <x v="1"/>
    <x v="1693"/>
    <x v="2"/>
    <s v="TX301737"/>
    <s v="C2"/>
    <x v="1"/>
    <s v="Morning"/>
    <s v="Sunday"/>
    <x v="1724"/>
  </r>
  <r>
    <x v="195"/>
    <s v="15:00"/>
    <s v="S10"/>
    <x v="3"/>
    <x v="1"/>
    <x v="6"/>
    <x v="1694"/>
    <x v="4"/>
    <s v="TX301738"/>
    <s v="C1"/>
    <x v="1"/>
    <s v="Afternoon"/>
    <s v="Wednesday"/>
    <x v="1725"/>
  </r>
  <r>
    <x v="794"/>
    <s v="19:00"/>
    <s v="S2"/>
    <x v="0"/>
    <x v="1"/>
    <x v="0"/>
    <x v="1695"/>
    <x v="4"/>
    <s v="TX301739"/>
    <s v="C1"/>
    <x v="2"/>
    <s v="Evening"/>
    <s v="Monday"/>
    <x v="1726"/>
  </r>
  <r>
    <x v="626"/>
    <s v="12:06"/>
    <s v="S6"/>
    <x v="2"/>
    <x v="2"/>
    <x v="5"/>
    <x v="1696"/>
    <x v="3"/>
    <s v="TX301740"/>
    <s v="C5"/>
    <x v="2"/>
    <s v="Afternoon"/>
    <s v="Monday"/>
    <x v="1727"/>
  </r>
  <r>
    <x v="538"/>
    <s v="9:00"/>
    <s v="S6"/>
    <x v="1"/>
    <x v="4"/>
    <x v="7"/>
    <x v="1697"/>
    <x v="0"/>
    <s v="TX301741"/>
    <s v="C5"/>
    <x v="0"/>
    <s v="Morning"/>
    <s v="Sunday"/>
    <x v="1728"/>
  </r>
  <r>
    <x v="93"/>
    <s v="13:47"/>
    <s v="S8"/>
    <x v="3"/>
    <x v="5"/>
    <x v="5"/>
    <x v="1698"/>
    <x v="2"/>
    <s v="TX301742"/>
    <s v="C4"/>
    <x v="1"/>
    <s v="Afternoon"/>
    <s v="Monday"/>
    <x v="1729"/>
  </r>
  <r>
    <x v="356"/>
    <s v="12:13"/>
    <s v="S5"/>
    <x v="2"/>
    <x v="0"/>
    <x v="6"/>
    <x v="143"/>
    <x v="3"/>
    <s v="TX301743"/>
    <s v="C3"/>
    <x v="3"/>
    <s v="Afternoon"/>
    <s v="Friday"/>
    <x v="1730"/>
  </r>
  <r>
    <x v="383"/>
    <s v="15:37"/>
    <s v="S1"/>
    <x v="3"/>
    <x v="4"/>
    <x v="2"/>
    <x v="1699"/>
    <x v="3"/>
    <s v="TX301744"/>
    <s v="C2"/>
    <x v="3"/>
    <s v="Afternoon"/>
    <s v="Saturday"/>
    <x v="1731"/>
  </r>
  <r>
    <x v="482"/>
    <s v="17:44"/>
    <s v="S8"/>
    <x v="1"/>
    <x v="1"/>
    <x v="9"/>
    <x v="1700"/>
    <x v="2"/>
    <s v="TX301745"/>
    <s v="C3"/>
    <x v="2"/>
    <s v="Evening"/>
    <s v="Wednesday"/>
    <x v="1732"/>
  </r>
  <r>
    <x v="612"/>
    <s v="13:43"/>
    <s v="S6"/>
    <x v="0"/>
    <x v="1"/>
    <x v="9"/>
    <x v="1701"/>
    <x v="4"/>
    <s v="TX301746"/>
    <s v="C4"/>
    <x v="2"/>
    <s v="Afternoon"/>
    <s v="Sunday"/>
    <x v="1733"/>
  </r>
  <r>
    <x v="470"/>
    <s v="10:25"/>
    <s v="S8"/>
    <x v="0"/>
    <x v="0"/>
    <x v="3"/>
    <x v="1702"/>
    <x v="4"/>
    <s v="TX301747"/>
    <s v="C2"/>
    <x v="1"/>
    <s v="Morning"/>
    <s v="Saturday"/>
    <x v="1734"/>
  </r>
  <r>
    <x v="795"/>
    <s v="9:44"/>
    <s v="S3"/>
    <x v="1"/>
    <x v="1"/>
    <x v="1"/>
    <x v="600"/>
    <x v="4"/>
    <s v="TX301748"/>
    <s v="C3"/>
    <x v="2"/>
    <s v="Morning"/>
    <s v="Thursday"/>
    <x v="1735"/>
  </r>
  <r>
    <x v="93"/>
    <s v="16:25"/>
    <s v="S9"/>
    <x v="1"/>
    <x v="2"/>
    <x v="9"/>
    <x v="1703"/>
    <x v="0"/>
    <s v="TX301749"/>
    <s v="C1"/>
    <x v="2"/>
    <s v="Afternoon"/>
    <s v="Monday"/>
    <x v="1736"/>
  </r>
  <r>
    <x v="426"/>
    <s v="13:17"/>
    <s v="S5"/>
    <x v="3"/>
    <x v="4"/>
    <x v="5"/>
    <x v="1704"/>
    <x v="2"/>
    <s v="TX301750"/>
    <s v="C5"/>
    <x v="0"/>
    <s v="Afternoon"/>
    <s v="Friday"/>
    <x v="1737"/>
  </r>
  <r>
    <x v="562"/>
    <s v="12:56"/>
    <s v="S7"/>
    <x v="3"/>
    <x v="0"/>
    <x v="8"/>
    <x v="1705"/>
    <x v="1"/>
    <s v="TX301751"/>
    <s v="C4"/>
    <x v="0"/>
    <s v="Afternoon"/>
    <s v="Thursday"/>
    <x v="1738"/>
  </r>
  <r>
    <x v="729"/>
    <s v="19:38"/>
    <s v="S7"/>
    <x v="3"/>
    <x v="4"/>
    <x v="1"/>
    <x v="1706"/>
    <x v="2"/>
    <s v="TX301752"/>
    <s v="C5"/>
    <x v="2"/>
    <s v="Evening"/>
    <s v="Sunday"/>
    <x v="1739"/>
  </r>
  <r>
    <x v="290"/>
    <s v="20:07"/>
    <s v="S6"/>
    <x v="1"/>
    <x v="1"/>
    <x v="3"/>
    <x v="1707"/>
    <x v="3"/>
    <s v="TX301753"/>
    <s v="C2"/>
    <x v="2"/>
    <s v="Evening"/>
    <s v="Thursday"/>
    <x v="1740"/>
  </r>
  <r>
    <x v="796"/>
    <s v="17:05"/>
    <s v="S1"/>
    <x v="1"/>
    <x v="3"/>
    <x v="0"/>
    <x v="1708"/>
    <x v="0"/>
    <s v="TX301754"/>
    <s v="C3"/>
    <x v="2"/>
    <s v="Evening"/>
    <s v="Sunday"/>
    <x v="1741"/>
  </r>
  <r>
    <x v="797"/>
    <s v="18:59"/>
    <s v="S4"/>
    <x v="2"/>
    <x v="0"/>
    <x v="5"/>
    <x v="1709"/>
    <x v="4"/>
    <s v="TX301755"/>
    <s v="C2"/>
    <x v="0"/>
    <s v="Evening"/>
    <s v="Tuesday"/>
    <x v="1742"/>
  </r>
  <r>
    <x v="609"/>
    <s v="12:28"/>
    <s v="S6"/>
    <x v="2"/>
    <x v="0"/>
    <x v="4"/>
    <x v="1710"/>
    <x v="1"/>
    <s v="TX301756"/>
    <s v="C1"/>
    <x v="0"/>
    <s v="Afternoon"/>
    <s v="Friday"/>
    <x v="1743"/>
  </r>
  <r>
    <x v="722"/>
    <s v="15:08"/>
    <s v="S8"/>
    <x v="1"/>
    <x v="5"/>
    <x v="7"/>
    <x v="1711"/>
    <x v="3"/>
    <s v="TX301757"/>
    <s v="C1"/>
    <x v="1"/>
    <s v="Afternoon"/>
    <s v="Wednesday"/>
    <x v="1744"/>
  </r>
  <r>
    <x v="425"/>
    <s v="9:55"/>
    <s v="S5"/>
    <x v="2"/>
    <x v="5"/>
    <x v="8"/>
    <x v="1712"/>
    <x v="1"/>
    <s v="TX301758"/>
    <s v="C1"/>
    <x v="3"/>
    <s v="Morning"/>
    <s v="Friday"/>
    <x v="1745"/>
  </r>
  <r>
    <x v="798"/>
    <s v="20:02"/>
    <s v="S1"/>
    <x v="1"/>
    <x v="0"/>
    <x v="8"/>
    <x v="1713"/>
    <x v="0"/>
    <s v="TX301759"/>
    <s v="C3"/>
    <x v="2"/>
    <s v="Evening"/>
    <s v="Saturday"/>
    <x v="1746"/>
  </r>
  <r>
    <x v="377"/>
    <s v="15:47"/>
    <s v="S2"/>
    <x v="2"/>
    <x v="4"/>
    <x v="1"/>
    <x v="1246"/>
    <x v="4"/>
    <s v="TX301760"/>
    <s v="C5"/>
    <x v="2"/>
    <s v="Afternoon"/>
    <s v="Saturday"/>
    <x v="1747"/>
  </r>
  <r>
    <x v="433"/>
    <s v="10:09"/>
    <s v="S7"/>
    <x v="2"/>
    <x v="4"/>
    <x v="9"/>
    <x v="1714"/>
    <x v="4"/>
    <s v="TX301761"/>
    <s v="C1"/>
    <x v="2"/>
    <s v="Morning"/>
    <s v="Friday"/>
    <x v="1748"/>
  </r>
  <r>
    <x v="682"/>
    <s v="9:10"/>
    <s v="S4"/>
    <x v="0"/>
    <x v="5"/>
    <x v="5"/>
    <x v="1715"/>
    <x v="4"/>
    <s v="TX301762"/>
    <s v="C2"/>
    <x v="0"/>
    <s v="Morning"/>
    <s v="Saturday"/>
    <x v="1749"/>
  </r>
  <r>
    <x v="61"/>
    <s v="10:11"/>
    <s v="S2"/>
    <x v="3"/>
    <x v="0"/>
    <x v="3"/>
    <x v="1716"/>
    <x v="2"/>
    <s v="TX301763"/>
    <s v="C5"/>
    <x v="0"/>
    <s v="Morning"/>
    <s v="Wednesday"/>
    <x v="1750"/>
  </r>
  <r>
    <x v="787"/>
    <s v="14:46"/>
    <s v="S4"/>
    <x v="0"/>
    <x v="1"/>
    <x v="8"/>
    <x v="1717"/>
    <x v="1"/>
    <s v="TX301764"/>
    <s v="C5"/>
    <x v="3"/>
    <s v="Afternoon"/>
    <s v="Sunday"/>
    <x v="1751"/>
  </r>
  <r>
    <x v="271"/>
    <s v="17:55"/>
    <s v="S9"/>
    <x v="1"/>
    <x v="1"/>
    <x v="2"/>
    <x v="1718"/>
    <x v="3"/>
    <s v="TX301765"/>
    <s v="C3"/>
    <x v="2"/>
    <s v="Evening"/>
    <s v="Friday"/>
    <x v="1752"/>
  </r>
  <r>
    <x v="17"/>
    <s v="19:10"/>
    <s v="S6"/>
    <x v="1"/>
    <x v="3"/>
    <x v="5"/>
    <x v="1719"/>
    <x v="3"/>
    <s v="TX301766"/>
    <s v="C3"/>
    <x v="1"/>
    <s v="Evening"/>
    <s v="Saturday"/>
    <x v="1753"/>
  </r>
  <r>
    <x v="799"/>
    <s v="11:13"/>
    <s v="S4"/>
    <x v="0"/>
    <x v="6"/>
    <x v="1"/>
    <x v="1720"/>
    <x v="3"/>
    <s v="TX301767"/>
    <s v="C1"/>
    <x v="2"/>
    <s v="Morning"/>
    <s v="Thursday"/>
    <x v="1754"/>
  </r>
  <r>
    <x v="559"/>
    <s v="12:59"/>
    <s v="S6"/>
    <x v="3"/>
    <x v="4"/>
    <x v="0"/>
    <x v="1721"/>
    <x v="3"/>
    <s v="TX301768"/>
    <s v="C2"/>
    <x v="0"/>
    <s v="Afternoon"/>
    <s v="Wednesday"/>
    <x v="1755"/>
  </r>
  <r>
    <x v="118"/>
    <s v="18:22"/>
    <s v="S3"/>
    <x v="1"/>
    <x v="3"/>
    <x v="2"/>
    <x v="1722"/>
    <x v="3"/>
    <s v="TX301769"/>
    <s v="C1"/>
    <x v="2"/>
    <s v="Evening"/>
    <s v="Tuesday"/>
    <x v="1756"/>
  </r>
  <r>
    <x v="522"/>
    <s v="13:04"/>
    <s v="S5"/>
    <x v="1"/>
    <x v="1"/>
    <x v="0"/>
    <x v="1723"/>
    <x v="3"/>
    <s v="TX301770"/>
    <s v="C1"/>
    <x v="3"/>
    <s v="Afternoon"/>
    <s v="Monday"/>
    <x v="1757"/>
  </r>
  <r>
    <x v="519"/>
    <s v="11:55"/>
    <s v="S8"/>
    <x v="0"/>
    <x v="5"/>
    <x v="0"/>
    <x v="1724"/>
    <x v="3"/>
    <s v="TX301771"/>
    <s v="C3"/>
    <x v="2"/>
    <s v="Morning"/>
    <s v="Sunday"/>
    <x v="1758"/>
  </r>
  <r>
    <x v="134"/>
    <s v="15:40"/>
    <s v="S2"/>
    <x v="3"/>
    <x v="2"/>
    <x v="1"/>
    <x v="1725"/>
    <x v="4"/>
    <s v="TX301772"/>
    <s v="C5"/>
    <x v="3"/>
    <s v="Afternoon"/>
    <s v="Monday"/>
    <x v="1759"/>
  </r>
  <r>
    <x v="800"/>
    <s v="18:31"/>
    <s v="S4"/>
    <x v="0"/>
    <x v="0"/>
    <x v="6"/>
    <x v="1726"/>
    <x v="0"/>
    <s v="TX301773"/>
    <s v="C4"/>
    <x v="0"/>
    <s v="Evening"/>
    <s v="Monday"/>
    <x v="1760"/>
  </r>
  <r>
    <x v="473"/>
    <s v="13:52"/>
    <s v="S5"/>
    <x v="2"/>
    <x v="1"/>
    <x v="3"/>
    <x v="1727"/>
    <x v="4"/>
    <s v="TX301774"/>
    <s v="C5"/>
    <x v="3"/>
    <s v="Afternoon"/>
    <s v="Monday"/>
    <x v="1761"/>
  </r>
  <r>
    <x v="801"/>
    <s v="13:48"/>
    <s v="S8"/>
    <x v="2"/>
    <x v="2"/>
    <x v="7"/>
    <x v="1728"/>
    <x v="2"/>
    <s v="TX301775"/>
    <s v="C1"/>
    <x v="0"/>
    <s v="Afternoon"/>
    <s v="Friday"/>
    <x v="1762"/>
  </r>
  <r>
    <x v="505"/>
    <s v="9:50"/>
    <s v="S6"/>
    <x v="2"/>
    <x v="4"/>
    <x v="6"/>
    <x v="1729"/>
    <x v="4"/>
    <s v="TX301776"/>
    <s v="C5"/>
    <x v="3"/>
    <s v="Morning"/>
    <s v="Wednesday"/>
    <x v="1763"/>
  </r>
  <r>
    <x v="449"/>
    <s v="17:33"/>
    <s v="S6"/>
    <x v="1"/>
    <x v="3"/>
    <x v="2"/>
    <x v="1730"/>
    <x v="3"/>
    <s v="TX301777"/>
    <s v="C4"/>
    <x v="0"/>
    <s v="Evening"/>
    <s v="Tuesday"/>
    <x v="1764"/>
  </r>
  <r>
    <x v="782"/>
    <s v="16:20"/>
    <s v="S6"/>
    <x v="0"/>
    <x v="2"/>
    <x v="2"/>
    <x v="1731"/>
    <x v="3"/>
    <s v="TX301778"/>
    <s v="C2"/>
    <x v="3"/>
    <s v="Afternoon"/>
    <s v="Thursday"/>
    <x v="1765"/>
  </r>
  <r>
    <x v="802"/>
    <s v="11:25"/>
    <s v="S4"/>
    <x v="0"/>
    <x v="0"/>
    <x v="0"/>
    <x v="1732"/>
    <x v="2"/>
    <s v="TX301779"/>
    <s v="C5"/>
    <x v="2"/>
    <s v="Morning"/>
    <s v="Wednesday"/>
    <x v="1766"/>
  </r>
  <r>
    <x v="572"/>
    <s v="18:00"/>
    <s v="S10"/>
    <x v="0"/>
    <x v="4"/>
    <x v="8"/>
    <x v="1733"/>
    <x v="1"/>
    <s v="TX301780"/>
    <s v="C4"/>
    <x v="3"/>
    <s v="Evening"/>
    <s v="Saturday"/>
    <x v="1767"/>
  </r>
  <r>
    <x v="310"/>
    <s v="20:38"/>
    <s v="S1"/>
    <x v="2"/>
    <x v="3"/>
    <x v="9"/>
    <x v="1734"/>
    <x v="1"/>
    <s v="TX301781"/>
    <s v="C1"/>
    <x v="1"/>
    <s v="Evening"/>
    <s v="Wednesday"/>
    <x v="1768"/>
  </r>
  <r>
    <x v="356"/>
    <s v="18:51"/>
    <s v="S9"/>
    <x v="0"/>
    <x v="2"/>
    <x v="4"/>
    <x v="1735"/>
    <x v="3"/>
    <s v="TX301782"/>
    <s v="C1"/>
    <x v="3"/>
    <s v="Evening"/>
    <s v="Friday"/>
    <x v="1769"/>
  </r>
  <r>
    <x v="601"/>
    <s v="16:14"/>
    <s v="S8"/>
    <x v="3"/>
    <x v="6"/>
    <x v="2"/>
    <x v="1736"/>
    <x v="4"/>
    <s v="TX301783"/>
    <s v="C1"/>
    <x v="3"/>
    <s v="Afternoon"/>
    <s v="Thursday"/>
    <x v="1770"/>
  </r>
  <r>
    <x v="803"/>
    <s v="9:09"/>
    <s v="S9"/>
    <x v="0"/>
    <x v="2"/>
    <x v="2"/>
    <x v="1737"/>
    <x v="2"/>
    <s v="TX301784"/>
    <s v="C2"/>
    <x v="3"/>
    <s v="Morning"/>
    <s v="Tuesday"/>
    <x v="1771"/>
  </r>
  <r>
    <x v="81"/>
    <s v="14:09"/>
    <s v="S3"/>
    <x v="3"/>
    <x v="3"/>
    <x v="8"/>
    <x v="1738"/>
    <x v="3"/>
    <s v="TX301785"/>
    <s v="C4"/>
    <x v="3"/>
    <s v="Afternoon"/>
    <s v="Tuesday"/>
    <x v="1772"/>
  </r>
  <r>
    <x v="291"/>
    <s v="12:09"/>
    <s v="S10"/>
    <x v="3"/>
    <x v="4"/>
    <x v="1"/>
    <x v="1739"/>
    <x v="1"/>
    <s v="TX301786"/>
    <s v="C1"/>
    <x v="0"/>
    <s v="Afternoon"/>
    <s v="Wednesday"/>
    <x v="1773"/>
  </r>
  <r>
    <x v="434"/>
    <s v="14:36"/>
    <s v="S7"/>
    <x v="2"/>
    <x v="5"/>
    <x v="2"/>
    <x v="1740"/>
    <x v="4"/>
    <s v="TX301787"/>
    <s v="C2"/>
    <x v="1"/>
    <s v="Afternoon"/>
    <s v="Tuesday"/>
    <x v="1774"/>
  </r>
  <r>
    <x v="331"/>
    <s v="21:09"/>
    <s v="S1"/>
    <x v="2"/>
    <x v="1"/>
    <x v="1"/>
    <x v="1741"/>
    <x v="1"/>
    <s v="TX301788"/>
    <s v="C1"/>
    <x v="0"/>
    <s v="Evening"/>
    <s v="Tuesday"/>
    <x v="1775"/>
  </r>
  <r>
    <x v="530"/>
    <s v="21:09"/>
    <s v="S1"/>
    <x v="1"/>
    <x v="4"/>
    <x v="9"/>
    <x v="1742"/>
    <x v="3"/>
    <s v="TX301789"/>
    <s v="C2"/>
    <x v="3"/>
    <s v="Evening"/>
    <s v="Monday"/>
    <x v="1776"/>
  </r>
  <r>
    <x v="654"/>
    <s v="18:58"/>
    <s v="S10"/>
    <x v="3"/>
    <x v="1"/>
    <x v="6"/>
    <x v="1743"/>
    <x v="4"/>
    <s v="TX301790"/>
    <s v="C1"/>
    <x v="3"/>
    <s v="Evening"/>
    <s v="Monday"/>
    <x v="1777"/>
  </r>
  <r>
    <x v="266"/>
    <s v="9:32"/>
    <s v="S1"/>
    <x v="0"/>
    <x v="5"/>
    <x v="1"/>
    <x v="1744"/>
    <x v="4"/>
    <s v="TX301791"/>
    <s v="C1"/>
    <x v="0"/>
    <s v="Morning"/>
    <s v="Friday"/>
    <x v="1778"/>
  </r>
  <r>
    <x v="488"/>
    <s v="21:22"/>
    <s v="S6"/>
    <x v="3"/>
    <x v="4"/>
    <x v="0"/>
    <x v="1745"/>
    <x v="0"/>
    <s v="TX301792"/>
    <s v="C2"/>
    <x v="3"/>
    <s v="Evening"/>
    <s v="Tuesday"/>
    <x v="1779"/>
  </r>
  <r>
    <x v="396"/>
    <s v="21:12"/>
    <s v="S2"/>
    <x v="0"/>
    <x v="0"/>
    <x v="1"/>
    <x v="1746"/>
    <x v="1"/>
    <s v="TX301793"/>
    <s v="C3"/>
    <x v="1"/>
    <s v="Evening"/>
    <s v="Wednesday"/>
    <x v="1780"/>
  </r>
  <r>
    <x v="741"/>
    <s v="16:25"/>
    <s v="S5"/>
    <x v="1"/>
    <x v="6"/>
    <x v="5"/>
    <x v="1718"/>
    <x v="0"/>
    <s v="TX301794"/>
    <s v="C4"/>
    <x v="0"/>
    <s v="Afternoon"/>
    <s v="Sunday"/>
    <x v="1781"/>
  </r>
  <r>
    <x v="495"/>
    <s v="18:50"/>
    <s v="S3"/>
    <x v="2"/>
    <x v="4"/>
    <x v="1"/>
    <x v="1747"/>
    <x v="0"/>
    <s v="TX301795"/>
    <s v="C5"/>
    <x v="3"/>
    <s v="Evening"/>
    <s v="Tuesday"/>
    <x v="1782"/>
  </r>
  <r>
    <x v="466"/>
    <s v="19:22"/>
    <s v="S9"/>
    <x v="1"/>
    <x v="2"/>
    <x v="7"/>
    <x v="1748"/>
    <x v="2"/>
    <s v="TX301796"/>
    <s v="C2"/>
    <x v="1"/>
    <s v="Evening"/>
    <s v="Wednesday"/>
    <x v="1783"/>
  </r>
  <r>
    <x v="751"/>
    <s v="19:28"/>
    <s v="S4"/>
    <x v="2"/>
    <x v="0"/>
    <x v="3"/>
    <x v="1749"/>
    <x v="2"/>
    <s v="TX301797"/>
    <s v="C1"/>
    <x v="3"/>
    <s v="Evening"/>
    <s v="Saturday"/>
    <x v="1784"/>
  </r>
  <r>
    <x v="804"/>
    <s v="11:38"/>
    <s v="S8"/>
    <x v="1"/>
    <x v="1"/>
    <x v="0"/>
    <x v="1750"/>
    <x v="2"/>
    <s v="TX301798"/>
    <s v="C1"/>
    <x v="0"/>
    <s v="Morning"/>
    <s v="Sunday"/>
    <x v="1785"/>
  </r>
  <r>
    <x v="293"/>
    <s v="14:03"/>
    <s v="S2"/>
    <x v="0"/>
    <x v="2"/>
    <x v="9"/>
    <x v="1751"/>
    <x v="0"/>
    <s v="TX301799"/>
    <s v="C1"/>
    <x v="2"/>
    <s v="Afternoon"/>
    <s v="Thursday"/>
    <x v="1786"/>
  </r>
  <r>
    <x v="142"/>
    <s v="20:55"/>
    <s v="S7"/>
    <x v="2"/>
    <x v="6"/>
    <x v="2"/>
    <x v="1752"/>
    <x v="1"/>
    <s v="TX301800"/>
    <s v="C2"/>
    <x v="2"/>
    <s v="Evening"/>
    <s v="Wednesday"/>
    <x v="1787"/>
  </r>
  <r>
    <x v="424"/>
    <s v="10:55"/>
    <s v="S8"/>
    <x v="2"/>
    <x v="6"/>
    <x v="0"/>
    <x v="1753"/>
    <x v="2"/>
    <s v="TX301801"/>
    <s v="C2"/>
    <x v="2"/>
    <s v="Morning"/>
    <s v="Friday"/>
    <x v="1788"/>
  </r>
  <r>
    <x v="493"/>
    <s v="17:45"/>
    <s v="S10"/>
    <x v="0"/>
    <x v="0"/>
    <x v="2"/>
    <x v="1754"/>
    <x v="0"/>
    <s v="TX301802"/>
    <s v="C5"/>
    <x v="1"/>
    <s v="Evening"/>
    <s v="Monday"/>
    <x v="1789"/>
  </r>
  <r>
    <x v="805"/>
    <s v="16:59"/>
    <s v="S10"/>
    <x v="0"/>
    <x v="1"/>
    <x v="6"/>
    <x v="1755"/>
    <x v="2"/>
    <s v="TX301803"/>
    <s v="C1"/>
    <x v="3"/>
    <s v="Afternoon"/>
    <s v="Saturday"/>
    <x v="1790"/>
  </r>
  <r>
    <x v="548"/>
    <s v="20:56"/>
    <s v="S10"/>
    <x v="0"/>
    <x v="0"/>
    <x v="1"/>
    <x v="1756"/>
    <x v="4"/>
    <s v="TX301804"/>
    <s v="C5"/>
    <x v="2"/>
    <s v="Evening"/>
    <s v="Friday"/>
    <x v="1791"/>
  </r>
  <r>
    <x v="527"/>
    <s v="14:37"/>
    <s v="S7"/>
    <x v="3"/>
    <x v="2"/>
    <x v="0"/>
    <x v="1757"/>
    <x v="4"/>
    <s v="TX301805"/>
    <s v="C3"/>
    <x v="2"/>
    <s v="Afternoon"/>
    <s v="Saturday"/>
    <x v="1792"/>
  </r>
  <r>
    <x v="138"/>
    <s v="21:26"/>
    <s v="S7"/>
    <x v="1"/>
    <x v="2"/>
    <x v="4"/>
    <x v="1758"/>
    <x v="0"/>
    <s v="TX301806"/>
    <s v="C1"/>
    <x v="1"/>
    <s v="Evening"/>
    <s v="Monday"/>
    <x v="1793"/>
  </r>
  <r>
    <x v="202"/>
    <s v="14:32"/>
    <s v="S10"/>
    <x v="2"/>
    <x v="2"/>
    <x v="6"/>
    <x v="1759"/>
    <x v="0"/>
    <s v="TX301807"/>
    <s v="C3"/>
    <x v="0"/>
    <s v="Afternoon"/>
    <s v="Saturday"/>
    <x v="1794"/>
  </r>
  <r>
    <x v="806"/>
    <s v="16:53"/>
    <s v="S4"/>
    <x v="0"/>
    <x v="1"/>
    <x v="1"/>
    <x v="1760"/>
    <x v="0"/>
    <s v="TX301808"/>
    <s v="C2"/>
    <x v="0"/>
    <s v="Afternoon"/>
    <s v="Saturday"/>
    <x v="1795"/>
  </r>
  <r>
    <x v="138"/>
    <s v="10:10"/>
    <s v="S3"/>
    <x v="0"/>
    <x v="4"/>
    <x v="9"/>
    <x v="1761"/>
    <x v="4"/>
    <s v="TX301809"/>
    <s v="C5"/>
    <x v="1"/>
    <s v="Morning"/>
    <s v="Monday"/>
    <x v="1796"/>
  </r>
  <r>
    <x v="65"/>
    <s v="16:45"/>
    <s v="S7"/>
    <x v="2"/>
    <x v="0"/>
    <x v="0"/>
    <x v="1762"/>
    <x v="2"/>
    <s v="TX301810"/>
    <s v="C4"/>
    <x v="3"/>
    <s v="Afternoon"/>
    <s v="Tuesday"/>
    <x v="1797"/>
  </r>
  <r>
    <x v="203"/>
    <s v="12:10"/>
    <s v="S4"/>
    <x v="1"/>
    <x v="5"/>
    <x v="2"/>
    <x v="1763"/>
    <x v="2"/>
    <s v="TX301811"/>
    <s v="C5"/>
    <x v="1"/>
    <s v="Afternoon"/>
    <s v="Sunday"/>
    <x v="1798"/>
  </r>
  <r>
    <x v="807"/>
    <s v="11:33"/>
    <s v="S8"/>
    <x v="0"/>
    <x v="5"/>
    <x v="3"/>
    <x v="1764"/>
    <x v="3"/>
    <s v="TX301812"/>
    <s v="C2"/>
    <x v="3"/>
    <s v="Morning"/>
    <s v="Wednesday"/>
    <x v="1799"/>
  </r>
  <r>
    <x v="476"/>
    <s v="16:20"/>
    <s v="S3"/>
    <x v="1"/>
    <x v="1"/>
    <x v="4"/>
    <x v="947"/>
    <x v="3"/>
    <s v="TX301813"/>
    <s v="C1"/>
    <x v="1"/>
    <s v="Afternoon"/>
    <s v="Friday"/>
    <x v="1800"/>
  </r>
  <r>
    <x v="101"/>
    <s v="20:52"/>
    <s v="S2"/>
    <x v="2"/>
    <x v="4"/>
    <x v="2"/>
    <x v="1765"/>
    <x v="2"/>
    <s v="TX301814"/>
    <s v="C1"/>
    <x v="1"/>
    <s v="Evening"/>
    <s v="Friday"/>
    <x v="1801"/>
  </r>
  <r>
    <x v="54"/>
    <s v="11:02"/>
    <s v="S1"/>
    <x v="1"/>
    <x v="1"/>
    <x v="3"/>
    <x v="1766"/>
    <x v="4"/>
    <s v="TX301815"/>
    <s v="C4"/>
    <x v="0"/>
    <s v="Morning"/>
    <s v="Saturday"/>
    <x v="1802"/>
  </r>
  <r>
    <x v="513"/>
    <s v="12:33"/>
    <s v="S4"/>
    <x v="2"/>
    <x v="3"/>
    <x v="0"/>
    <x v="1767"/>
    <x v="3"/>
    <s v="TX301816"/>
    <s v="C5"/>
    <x v="0"/>
    <s v="Afternoon"/>
    <s v="Sunday"/>
    <x v="1803"/>
  </r>
  <r>
    <x v="481"/>
    <s v="10:29"/>
    <s v="S8"/>
    <x v="2"/>
    <x v="4"/>
    <x v="6"/>
    <x v="26"/>
    <x v="0"/>
    <s v="TX301817"/>
    <s v="C4"/>
    <x v="0"/>
    <s v="Morning"/>
    <s v="Thursday"/>
    <x v="1804"/>
  </r>
  <r>
    <x v="439"/>
    <s v="15:12"/>
    <s v="S7"/>
    <x v="2"/>
    <x v="6"/>
    <x v="8"/>
    <x v="1768"/>
    <x v="4"/>
    <s v="TX301818"/>
    <s v="C2"/>
    <x v="0"/>
    <s v="Afternoon"/>
    <s v="Tuesday"/>
    <x v="1805"/>
  </r>
  <r>
    <x v="142"/>
    <s v="18:02"/>
    <s v="S6"/>
    <x v="3"/>
    <x v="4"/>
    <x v="7"/>
    <x v="1769"/>
    <x v="1"/>
    <s v="TX301819"/>
    <s v="C4"/>
    <x v="1"/>
    <s v="Evening"/>
    <s v="Wednesday"/>
    <x v="1806"/>
  </r>
  <r>
    <x v="399"/>
    <s v="14:49"/>
    <s v="S10"/>
    <x v="2"/>
    <x v="4"/>
    <x v="1"/>
    <x v="1770"/>
    <x v="1"/>
    <s v="TX301820"/>
    <s v="C3"/>
    <x v="3"/>
    <s v="Afternoon"/>
    <s v="Saturday"/>
    <x v="1807"/>
  </r>
  <r>
    <x v="740"/>
    <s v="13:04"/>
    <s v="S7"/>
    <x v="0"/>
    <x v="3"/>
    <x v="0"/>
    <x v="1771"/>
    <x v="1"/>
    <s v="TX301821"/>
    <s v="C4"/>
    <x v="0"/>
    <s v="Afternoon"/>
    <s v="Sunday"/>
    <x v="1808"/>
  </r>
  <r>
    <x v="655"/>
    <s v="16:34"/>
    <s v="S5"/>
    <x v="3"/>
    <x v="0"/>
    <x v="2"/>
    <x v="1772"/>
    <x v="2"/>
    <s v="TX301822"/>
    <s v="C1"/>
    <x v="0"/>
    <s v="Afternoon"/>
    <s v="Saturday"/>
    <x v="1809"/>
  </r>
  <r>
    <x v="663"/>
    <s v="19:36"/>
    <s v="S9"/>
    <x v="2"/>
    <x v="4"/>
    <x v="7"/>
    <x v="1773"/>
    <x v="0"/>
    <s v="TX301823"/>
    <s v="C3"/>
    <x v="2"/>
    <s v="Evening"/>
    <s v="Thursday"/>
    <x v="1810"/>
  </r>
  <r>
    <x v="96"/>
    <s v="19:02"/>
    <s v="S8"/>
    <x v="2"/>
    <x v="4"/>
    <x v="7"/>
    <x v="1774"/>
    <x v="1"/>
    <s v="TX301824"/>
    <s v="C1"/>
    <x v="0"/>
    <s v="Evening"/>
    <s v="Thursday"/>
    <x v="1811"/>
  </r>
  <r>
    <x v="196"/>
    <s v="19:45"/>
    <s v="S10"/>
    <x v="2"/>
    <x v="1"/>
    <x v="6"/>
    <x v="1775"/>
    <x v="2"/>
    <s v="TX301825"/>
    <s v="C3"/>
    <x v="2"/>
    <s v="Evening"/>
    <s v="Friday"/>
    <x v="1812"/>
  </r>
  <r>
    <x v="45"/>
    <s v="16:22"/>
    <s v="S4"/>
    <x v="3"/>
    <x v="5"/>
    <x v="6"/>
    <x v="1776"/>
    <x v="3"/>
    <s v="TX301826"/>
    <s v="C1"/>
    <x v="1"/>
    <s v="Afternoon"/>
    <s v="Tuesday"/>
    <x v="1813"/>
  </r>
  <r>
    <x v="347"/>
    <s v="10:45"/>
    <s v="S10"/>
    <x v="1"/>
    <x v="2"/>
    <x v="8"/>
    <x v="1777"/>
    <x v="4"/>
    <s v="TX301827"/>
    <s v="C4"/>
    <x v="1"/>
    <s v="Morning"/>
    <s v="Sunday"/>
    <x v="1814"/>
  </r>
  <r>
    <x v="68"/>
    <s v="11:34"/>
    <s v="S4"/>
    <x v="3"/>
    <x v="2"/>
    <x v="1"/>
    <x v="1778"/>
    <x v="3"/>
    <s v="TX301828"/>
    <s v="C2"/>
    <x v="2"/>
    <s v="Morning"/>
    <s v="Monday"/>
    <x v="1815"/>
  </r>
  <r>
    <x v="593"/>
    <s v="12:12"/>
    <s v="S4"/>
    <x v="1"/>
    <x v="2"/>
    <x v="9"/>
    <x v="1779"/>
    <x v="1"/>
    <s v="TX301829"/>
    <s v="C5"/>
    <x v="1"/>
    <s v="Afternoon"/>
    <s v="Friday"/>
    <x v="1816"/>
  </r>
  <r>
    <x v="41"/>
    <s v="9:52"/>
    <s v="S3"/>
    <x v="2"/>
    <x v="0"/>
    <x v="4"/>
    <x v="1780"/>
    <x v="2"/>
    <s v="TX301830"/>
    <s v="C1"/>
    <x v="3"/>
    <s v="Morning"/>
    <s v="Sunday"/>
    <x v="1817"/>
  </r>
  <r>
    <x v="66"/>
    <s v="19:32"/>
    <s v="S6"/>
    <x v="1"/>
    <x v="6"/>
    <x v="9"/>
    <x v="1781"/>
    <x v="1"/>
    <s v="TX301831"/>
    <s v="C2"/>
    <x v="0"/>
    <s v="Evening"/>
    <s v="Thursday"/>
    <x v="1818"/>
  </r>
  <r>
    <x v="299"/>
    <s v="9:18"/>
    <s v="S10"/>
    <x v="3"/>
    <x v="0"/>
    <x v="7"/>
    <x v="1782"/>
    <x v="0"/>
    <s v="TX301832"/>
    <s v="C3"/>
    <x v="2"/>
    <s v="Morning"/>
    <s v="Tuesday"/>
    <x v="1819"/>
  </r>
  <r>
    <x v="188"/>
    <s v="18:10"/>
    <s v="S10"/>
    <x v="1"/>
    <x v="6"/>
    <x v="2"/>
    <x v="1783"/>
    <x v="0"/>
    <s v="TX301833"/>
    <s v="C4"/>
    <x v="2"/>
    <s v="Evening"/>
    <s v="Thursday"/>
    <x v="1820"/>
  </r>
  <r>
    <x v="195"/>
    <s v="13:06"/>
    <s v="S7"/>
    <x v="2"/>
    <x v="3"/>
    <x v="2"/>
    <x v="1784"/>
    <x v="2"/>
    <s v="TX301834"/>
    <s v="C1"/>
    <x v="2"/>
    <s v="Afternoon"/>
    <s v="Wednesday"/>
    <x v="1821"/>
  </r>
  <r>
    <x v="808"/>
    <s v="16:03"/>
    <s v="S2"/>
    <x v="0"/>
    <x v="5"/>
    <x v="1"/>
    <x v="1785"/>
    <x v="1"/>
    <s v="TX301835"/>
    <s v="C4"/>
    <x v="1"/>
    <s v="Afternoon"/>
    <s v="Saturday"/>
    <x v="1822"/>
  </r>
  <r>
    <x v="7"/>
    <s v="9:01"/>
    <s v="S1"/>
    <x v="2"/>
    <x v="1"/>
    <x v="3"/>
    <x v="1786"/>
    <x v="1"/>
    <s v="TX301836"/>
    <s v="C2"/>
    <x v="3"/>
    <s v="Morning"/>
    <s v="Sunday"/>
    <x v="1823"/>
  </r>
  <r>
    <x v="61"/>
    <s v="9:45"/>
    <s v="S5"/>
    <x v="1"/>
    <x v="2"/>
    <x v="1"/>
    <x v="1787"/>
    <x v="3"/>
    <s v="TX301837"/>
    <s v="C2"/>
    <x v="3"/>
    <s v="Morning"/>
    <s v="Wednesday"/>
    <x v="1824"/>
  </r>
  <r>
    <x v="131"/>
    <s v="19:55"/>
    <s v="S5"/>
    <x v="1"/>
    <x v="2"/>
    <x v="5"/>
    <x v="1788"/>
    <x v="4"/>
    <s v="TX301838"/>
    <s v="C5"/>
    <x v="3"/>
    <s v="Evening"/>
    <s v="Sunday"/>
    <x v="1825"/>
  </r>
  <r>
    <x v="747"/>
    <s v="12:06"/>
    <s v="S5"/>
    <x v="2"/>
    <x v="4"/>
    <x v="3"/>
    <x v="1789"/>
    <x v="3"/>
    <s v="TX301839"/>
    <s v="C5"/>
    <x v="0"/>
    <s v="Afternoon"/>
    <s v="Monday"/>
    <x v="1826"/>
  </r>
  <r>
    <x v="189"/>
    <s v="15:32"/>
    <s v="S6"/>
    <x v="1"/>
    <x v="3"/>
    <x v="3"/>
    <x v="1790"/>
    <x v="3"/>
    <s v="TX301840"/>
    <s v="C5"/>
    <x v="0"/>
    <s v="Afternoon"/>
    <s v="Sunday"/>
    <x v="1827"/>
  </r>
  <r>
    <x v="279"/>
    <s v="20:33"/>
    <s v="S10"/>
    <x v="0"/>
    <x v="3"/>
    <x v="1"/>
    <x v="1791"/>
    <x v="0"/>
    <s v="TX301841"/>
    <s v="C4"/>
    <x v="0"/>
    <s v="Evening"/>
    <s v="Thursday"/>
    <x v="1828"/>
  </r>
  <r>
    <x v="723"/>
    <s v="14:58"/>
    <s v="S5"/>
    <x v="2"/>
    <x v="0"/>
    <x v="3"/>
    <x v="1792"/>
    <x v="1"/>
    <s v="TX301842"/>
    <s v="C4"/>
    <x v="2"/>
    <s v="Afternoon"/>
    <s v="Wednesday"/>
    <x v="1829"/>
  </r>
  <r>
    <x v="249"/>
    <s v="9:31"/>
    <s v="S9"/>
    <x v="1"/>
    <x v="1"/>
    <x v="5"/>
    <x v="1793"/>
    <x v="1"/>
    <s v="TX301843"/>
    <s v="C1"/>
    <x v="1"/>
    <s v="Morning"/>
    <s v="Thursday"/>
    <x v="1830"/>
  </r>
  <r>
    <x v="712"/>
    <s v="9:39"/>
    <s v="S7"/>
    <x v="2"/>
    <x v="1"/>
    <x v="0"/>
    <x v="1794"/>
    <x v="3"/>
    <s v="TX301844"/>
    <s v="C1"/>
    <x v="1"/>
    <s v="Morning"/>
    <s v="Tuesday"/>
    <x v="1831"/>
  </r>
  <r>
    <x v="747"/>
    <s v="9:31"/>
    <s v="S6"/>
    <x v="3"/>
    <x v="6"/>
    <x v="9"/>
    <x v="1795"/>
    <x v="1"/>
    <s v="TX301845"/>
    <s v="C5"/>
    <x v="1"/>
    <s v="Morning"/>
    <s v="Monday"/>
    <x v="1832"/>
  </r>
  <r>
    <x v="496"/>
    <s v="20:04"/>
    <s v="S2"/>
    <x v="2"/>
    <x v="1"/>
    <x v="5"/>
    <x v="1796"/>
    <x v="0"/>
    <s v="TX301846"/>
    <s v="C5"/>
    <x v="0"/>
    <s v="Evening"/>
    <s v="Saturday"/>
    <x v="1833"/>
  </r>
  <r>
    <x v="340"/>
    <s v="15:40"/>
    <s v="S10"/>
    <x v="2"/>
    <x v="0"/>
    <x v="3"/>
    <x v="1797"/>
    <x v="3"/>
    <s v="TX301847"/>
    <s v="C3"/>
    <x v="2"/>
    <s v="Afternoon"/>
    <s v="Monday"/>
    <x v="1834"/>
  </r>
  <r>
    <x v="371"/>
    <s v="16:12"/>
    <s v="S7"/>
    <x v="0"/>
    <x v="6"/>
    <x v="7"/>
    <x v="1798"/>
    <x v="0"/>
    <s v="TX301848"/>
    <s v="C5"/>
    <x v="2"/>
    <s v="Afternoon"/>
    <s v="Tuesday"/>
    <x v="1835"/>
  </r>
  <r>
    <x v="790"/>
    <s v="12:15"/>
    <s v="S7"/>
    <x v="1"/>
    <x v="0"/>
    <x v="7"/>
    <x v="1799"/>
    <x v="2"/>
    <s v="TX301849"/>
    <s v="C1"/>
    <x v="2"/>
    <s v="Afternoon"/>
    <s v="Saturday"/>
    <x v="1836"/>
  </r>
  <r>
    <x v="382"/>
    <s v="14:05"/>
    <s v="S3"/>
    <x v="0"/>
    <x v="1"/>
    <x v="3"/>
    <x v="1800"/>
    <x v="0"/>
    <s v="TX301850"/>
    <s v="C4"/>
    <x v="3"/>
    <s v="Afternoon"/>
    <s v="Monday"/>
    <x v="1837"/>
  </r>
  <r>
    <x v="485"/>
    <s v="21:53"/>
    <s v="S2"/>
    <x v="0"/>
    <x v="1"/>
    <x v="9"/>
    <x v="1801"/>
    <x v="0"/>
    <s v="TX301851"/>
    <s v="C1"/>
    <x v="0"/>
    <s v="Evening"/>
    <s v="Monday"/>
    <x v="1838"/>
  </r>
  <r>
    <x v="420"/>
    <s v="19:53"/>
    <s v="S1"/>
    <x v="3"/>
    <x v="1"/>
    <x v="6"/>
    <x v="1802"/>
    <x v="3"/>
    <s v="TX301852"/>
    <s v="C1"/>
    <x v="1"/>
    <s v="Evening"/>
    <s v="Wednesday"/>
    <x v="1839"/>
  </r>
  <r>
    <x v="310"/>
    <s v="14:37"/>
    <s v="S7"/>
    <x v="1"/>
    <x v="2"/>
    <x v="1"/>
    <x v="1803"/>
    <x v="0"/>
    <s v="TX301853"/>
    <s v="C1"/>
    <x v="3"/>
    <s v="Afternoon"/>
    <s v="Wednesday"/>
    <x v="1840"/>
  </r>
  <r>
    <x v="465"/>
    <s v="14:59"/>
    <s v="S5"/>
    <x v="3"/>
    <x v="1"/>
    <x v="4"/>
    <x v="1804"/>
    <x v="0"/>
    <s v="TX301854"/>
    <s v="C3"/>
    <x v="0"/>
    <s v="Afternoon"/>
    <s v="Tuesday"/>
    <x v="1841"/>
  </r>
  <r>
    <x v="745"/>
    <s v="15:35"/>
    <s v="S3"/>
    <x v="2"/>
    <x v="2"/>
    <x v="2"/>
    <x v="1805"/>
    <x v="3"/>
    <s v="TX301855"/>
    <s v="C4"/>
    <x v="0"/>
    <s v="Afternoon"/>
    <s v="Thursday"/>
    <x v="1842"/>
  </r>
  <r>
    <x v="86"/>
    <s v="11:02"/>
    <s v="S1"/>
    <x v="3"/>
    <x v="3"/>
    <x v="6"/>
    <x v="1806"/>
    <x v="2"/>
    <s v="TX301856"/>
    <s v="C5"/>
    <x v="1"/>
    <s v="Morning"/>
    <s v="Tuesday"/>
    <x v="1843"/>
  </r>
  <r>
    <x v="332"/>
    <s v="11:19"/>
    <s v="S1"/>
    <x v="0"/>
    <x v="4"/>
    <x v="2"/>
    <x v="1807"/>
    <x v="4"/>
    <s v="TX301857"/>
    <s v="C2"/>
    <x v="0"/>
    <s v="Morning"/>
    <s v="Friday"/>
    <x v="1844"/>
  </r>
  <r>
    <x v="276"/>
    <s v="16:22"/>
    <s v="S5"/>
    <x v="3"/>
    <x v="5"/>
    <x v="8"/>
    <x v="1808"/>
    <x v="2"/>
    <s v="TX301858"/>
    <s v="C4"/>
    <x v="0"/>
    <s v="Afternoon"/>
    <s v="Monday"/>
    <x v="1845"/>
  </r>
  <r>
    <x v="809"/>
    <s v="9:00"/>
    <s v="S4"/>
    <x v="0"/>
    <x v="0"/>
    <x v="6"/>
    <x v="1809"/>
    <x v="2"/>
    <s v="TX301859"/>
    <s v="C3"/>
    <x v="0"/>
    <s v="Morning"/>
    <s v="Tuesday"/>
    <x v="1846"/>
  </r>
  <r>
    <x v="356"/>
    <s v="9:13"/>
    <s v="S10"/>
    <x v="3"/>
    <x v="3"/>
    <x v="6"/>
    <x v="1810"/>
    <x v="1"/>
    <s v="TX301860"/>
    <s v="C5"/>
    <x v="1"/>
    <s v="Morning"/>
    <s v="Friday"/>
    <x v="1847"/>
  </r>
  <r>
    <x v="495"/>
    <s v="21:56"/>
    <s v="S10"/>
    <x v="0"/>
    <x v="3"/>
    <x v="9"/>
    <x v="1811"/>
    <x v="2"/>
    <s v="TX301861"/>
    <s v="C2"/>
    <x v="0"/>
    <s v="Evening"/>
    <s v="Tuesday"/>
    <x v="1848"/>
  </r>
  <r>
    <x v="583"/>
    <s v="18:02"/>
    <s v="S9"/>
    <x v="2"/>
    <x v="4"/>
    <x v="9"/>
    <x v="1812"/>
    <x v="2"/>
    <s v="TX301862"/>
    <s v="C1"/>
    <x v="2"/>
    <s v="Evening"/>
    <s v="Thursday"/>
    <x v="1849"/>
  </r>
  <r>
    <x v="456"/>
    <s v="15:24"/>
    <s v="S7"/>
    <x v="0"/>
    <x v="0"/>
    <x v="6"/>
    <x v="1813"/>
    <x v="3"/>
    <s v="TX301863"/>
    <s v="C1"/>
    <x v="2"/>
    <s v="Afternoon"/>
    <s v="Sunday"/>
    <x v="1850"/>
  </r>
  <r>
    <x v="368"/>
    <s v="14:28"/>
    <s v="S8"/>
    <x v="2"/>
    <x v="0"/>
    <x v="9"/>
    <x v="1814"/>
    <x v="1"/>
    <s v="TX301864"/>
    <s v="C1"/>
    <x v="1"/>
    <s v="Afternoon"/>
    <s v="Wednesday"/>
    <x v="1851"/>
  </r>
  <r>
    <x v="692"/>
    <s v="16:12"/>
    <s v="S9"/>
    <x v="3"/>
    <x v="3"/>
    <x v="2"/>
    <x v="667"/>
    <x v="4"/>
    <s v="TX301865"/>
    <s v="C5"/>
    <x v="2"/>
    <s v="Afternoon"/>
    <s v="Monday"/>
    <x v="1852"/>
  </r>
  <r>
    <x v="553"/>
    <s v="11:42"/>
    <s v="S3"/>
    <x v="3"/>
    <x v="1"/>
    <x v="6"/>
    <x v="1815"/>
    <x v="3"/>
    <s v="TX301866"/>
    <s v="C4"/>
    <x v="3"/>
    <s v="Morning"/>
    <s v="Tuesday"/>
    <x v="1853"/>
  </r>
  <r>
    <x v="249"/>
    <s v="15:12"/>
    <s v="S6"/>
    <x v="2"/>
    <x v="3"/>
    <x v="0"/>
    <x v="1816"/>
    <x v="1"/>
    <s v="TX301867"/>
    <s v="C5"/>
    <x v="3"/>
    <s v="Afternoon"/>
    <s v="Thursday"/>
    <x v="1854"/>
  </r>
  <r>
    <x v="305"/>
    <s v="16:27"/>
    <s v="S2"/>
    <x v="2"/>
    <x v="2"/>
    <x v="5"/>
    <x v="1817"/>
    <x v="4"/>
    <s v="TX301868"/>
    <s v="C4"/>
    <x v="2"/>
    <s v="Afternoon"/>
    <s v="Tuesday"/>
    <x v="1855"/>
  </r>
  <r>
    <x v="31"/>
    <s v="10:55"/>
    <s v="S2"/>
    <x v="0"/>
    <x v="0"/>
    <x v="4"/>
    <x v="1818"/>
    <x v="0"/>
    <s v="TX301869"/>
    <s v="C4"/>
    <x v="2"/>
    <s v="Morning"/>
    <s v="Friday"/>
    <x v="1420"/>
  </r>
  <r>
    <x v="786"/>
    <s v="16:51"/>
    <s v="S9"/>
    <x v="0"/>
    <x v="5"/>
    <x v="4"/>
    <x v="1819"/>
    <x v="3"/>
    <s v="TX301870"/>
    <s v="C3"/>
    <x v="2"/>
    <s v="Afternoon"/>
    <s v="Friday"/>
    <x v="1856"/>
  </r>
  <r>
    <x v="685"/>
    <s v="21:31"/>
    <s v="S5"/>
    <x v="0"/>
    <x v="0"/>
    <x v="5"/>
    <x v="1820"/>
    <x v="0"/>
    <s v="TX301871"/>
    <s v="C1"/>
    <x v="3"/>
    <s v="Evening"/>
    <s v="Tuesday"/>
    <x v="1857"/>
  </r>
  <r>
    <x v="521"/>
    <s v="15:24"/>
    <s v="S9"/>
    <x v="2"/>
    <x v="6"/>
    <x v="2"/>
    <x v="1821"/>
    <x v="1"/>
    <s v="TX301872"/>
    <s v="C4"/>
    <x v="0"/>
    <s v="Afternoon"/>
    <s v="Sunday"/>
    <x v="1858"/>
  </r>
  <r>
    <x v="148"/>
    <s v="21:42"/>
    <s v="S4"/>
    <x v="2"/>
    <x v="4"/>
    <x v="0"/>
    <x v="1822"/>
    <x v="0"/>
    <s v="TX301873"/>
    <s v="C5"/>
    <x v="3"/>
    <s v="Evening"/>
    <s v="Tuesday"/>
    <x v="1859"/>
  </r>
  <r>
    <x v="167"/>
    <s v="14:17"/>
    <s v="S4"/>
    <x v="3"/>
    <x v="2"/>
    <x v="7"/>
    <x v="1823"/>
    <x v="3"/>
    <s v="TX301874"/>
    <s v="C5"/>
    <x v="0"/>
    <s v="Afternoon"/>
    <s v="Thursday"/>
    <x v="1860"/>
  </r>
  <r>
    <x v="619"/>
    <s v="9:58"/>
    <s v="S5"/>
    <x v="0"/>
    <x v="1"/>
    <x v="5"/>
    <x v="721"/>
    <x v="4"/>
    <s v="TX301875"/>
    <s v="C2"/>
    <x v="3"/>
    <s v="Morning"/>
    <s v="Monday"/>
    <x v="725"/>
  </r>
  <r>
    <x v="784"/>
    <s v="13:25"/>
    <s v="S4"/>
    <x v="2"/>
    <x v="3"/>
    <x v="0"/>
    <x v="1824"/>
    <x v="0"/>
    <s v="TX301876"/>
    <s v="C2"/>
    <x v="0"/>
    <s v="Afternoon"/>
    <s v="Tuesday"/>
    <x v="1861"/>
  </r>
  <r>
    <x v="810"/>
    <s v="11:16"/>
    <s v="S5"/>
    <x v="1"/>
    <x v="2"/>
    <x v="0"/>
    <x v="1825"/>
    <x v="4"/>
    <s v="TX301877"/>
    <s v="C2"/>
    <x v="3"/>
    <s v="Morning"/>
    <s v="Friday"/>
    <x v="1862"/>
  </r>
  <r>
    <x v="59"/>
    <s v="20:54"/>
    <s v="S10"/>
    <x v="0"/>
    <x v="5"/>
    <x v="2"/>
    <x v="1826"/>
    <x v="2"/>
    <s v="TX301878"/>
    <s v="C1"/>
    <x v="2"/>
    <s v="Evening"/>
    <s v="Sunday"/>
    <x v="1863"/>
  </r>
  <r>
    <x v="158"/>
    <s v="11:38"/>
    <s v="S7"/>
    <x v="1"/>
    <x v="5"/>
    <x v="3"/>
    <x v="1827"/>
    <x v="2"/>
    <s v="TX301879"/>
    <s v="C3"/>
    <x v="2"/>
    <s v="Morning"/>
    <s v="Tuesday"/>
    <x v="1864"/>
  </r>
  <r>
    <x v="811"/>
    <s v="9:19"/>
    <s v="S2"/>
    <x v="2"/>
    <x v="0"/>
    <x v="9"/>
    <x v="1828"/>
    <x v="4"/>
    <s v="TX301880"/>
    <s v="C3"/>
    <x v="0"/>
    <s v="Morning"/>
    <s v="Monday"/>
    <x v="1865"/>
  </r>
  <r>
    <x v="348"/>
    <s v="16:38"/>
    <s v="S8"/>
    <x v="2"/>
    <x v="1"/>
    <x v="6"/>
    <x v="1829"/>
    <x v="0"/>
    <s v="TX301881"/>
    <s v="C3"/>
    <x v="3"/>
    <s v="Afternoon"/>
    <s v="Monday"/>
    <x v="1866"/>
  </r>
  <r>
    <x v="698"/>
    <s v="11:19"/>
    <s v="S3"/>
    <x v="1"/>
    <x v="4"/>
    <x v="4"/>
    <x v="1830"/>
    <x v="4"/>
    <s v="TX301882"/>
    <s v="C1"/>
    <x v="0"/>
    <s v="Morning"/>
    <s v="Monday"/>
    <x v="1867"/>
  </r>
  <r>
    <x v="363"/>
    <s v="11:19"/>
    <s v="S8"/>
    <x v="1"/>
    <x v="5"/>
    <x v="3"/>
    <x v="1831"/>
    <x v="2"/>
    <s v="TX301883"/>
    <s v="C5"/>
    <x v="2"/>
    <s v="Morning"/>
    <s v="Saturday"/>
    <x v="1868"/>
  </r>
  <r>
    <x v="274"/>
    <s v="9:16"/>
    <s v="S1"/>
    <x v="1"/>
    <x v="0"/>
    <x v="9"/>
    <x v="1832"/>
    <x v="2"/>
    <s v="TX301884"/>
    <s v="C5"/>
    <x v="3"/>
    <s v="Morning"/>
    <s v="Friday"/>
    <x v="1869"/>
  </r>
  <r>
    <x v="686"/>
    <s v="16:39"/>
    <s v="S6"/>
    <x v="1"/>
    <x v="4"/>
    <x v="8"/>
    <x v="1833"/>
    <x v="0"/>
    <s v="TX301885"/>
    <s v="C4"/>
    <x v="0"/>
    <s v="Afternoon"/>
    <s v="Friday"/>
    <x v="1870"/>
  </r>
  <r>
    <x v="796"/>
    <s v="13:44"/>
    <s v="S9"/>
    <x v="3"/>
    <x v="6"/>
    <x v="1"/>
    <x v="1834"/>
    <x v="2"/>
    <s v="TX301886"/>
    <s v="C5"/>
    <x v="2"/>
    <s v="Afternoon"/>
    <s v="Sunday"/>
    <x v="1871"/>
  </r>
  <r>
    <x v="142"/>
    <s v="9:23"/>
    <s v="S2"/>
    <x v="3"/>
    <x v="4"/>
    <x v="4"/>
    <x v="1835"/>
    <x v="2"/>
    <s v="TX301887"/>
    <s v="C4"/>
    <x v="0"/>
    <s v="Morning"/>
    <s v="Wednesday"/>
    <x v="1872"/>
  </r>
  <r>
    <x v="812"/>
    <s v="17:05"/>
    <s v="S5"/>
    <x v="0"/>
    <x v="4"/>
    <x v="2"/>
    <x v="1836"/>
    <x v="3"/>
    <s v="TX301888"/>
    <s v="C4"/>
    <x v="2"/>
    <s v="Evening"/>
    <s v="Friday"/>
    <x v="1873"/>
  </r>
  <r>
    <x v="644"/>
    <s v="14:13"/>
    <s v="S3"/>
    <x v="0"/>
    <x v="5"/>
    <x v="5"/>
    <x v="1837"/>
    <x v="3"/>
    <s v="TX301889"/>
    <s v="C1"/>
    <x v="1"/>
    <s v="Afternoon"/>
    <s v="Monday"/>
    <x v="1874"/>
  </r>
  <r>
    <x v="813"/>
    <s v="16:01"/>
    <s v="S4"/>
    <x v="0"/>
    <x v="6"/>
    <x v="2"/>
    <x v="1838"/>
    <x v="4"/>
    <s v="TX301890"/>
    <s v="C3"/>
    <x v="3"/>
    <s v="Afternoon"/>
    <s v="Tuesday"/>
    <x v="1875"/>
  </r>
  <r>
    <x v="596"/>
    <s v="9:07"/>
    <s v="S4"/>
    <x v="1"/>
    <x v="0"/>
    <x v="9"/>
    <x v="1839"/>
    <x v="0"/>
    <s v="TX301891"/>
    <s v="C2"/>
    <x v="3"/>
    <s v="Morning"/>
    <s v="Monday"/>
    <x v="1876"/>
  </r>
  <r>
    <x v="333"/>
    <s v="10:28"/>
    <s v="S8"/>
    <x v="0"/>
    <x v="1"/>
    <x v="3"/>
    <x v="1840"/>
    <x v="3"/>
    <s v="TX301892"/>
    <s v="C5"/>
    <x v="3"/>
    <s v="Morning"/>
    <s v="Wednesday"/>
    <x v="1877"/>
  </r>
  <r>
    <x v="350"/>
    <s v="14:48"/>
    <s v="S1"/>
    <x v="3"/>
    <x v="6"/>
    <x v="6"/>
    <x v="1841"/>
    <x v="2"/>
    <s v="TX301893"/>
    <s v="C5"/>
    <x v="3"/>
    <s v="Afternoon"/>
    <s v="Thursday"/>
    <x v="1878"/>
  </r>
  <r>
    <x v="814"/>
    <s v="20:12"/>
    <s v="S10"/>
    <x v="2"/>
    <x v="1"/>
    <x v="5"/>
    <x v="1842"/>
    <x v="0"/>
    <s v="TX301894"/>
    <s v="C4"/>
    <x v="3"/>
    <s v="Evening"/>
    <s v="Thursday"/>
    <x v="1879"/>
  </r>
  <r>
    <x v="432"/>
    <s v="13:53"/>
    <s v="S6"/>
    <x v="3"/>
    <x v="3"/>
    <x v="4"/>
    <x v="1843"/>
    <x v="4"/>
    <s v="TX301895"/>
    <s v="C1"/>
    <x v="1"/>
    <s v="Afternoon"/>
    <s v="Saturday"/>
    <x v="1880"/>
  </r>
  <r>
    <x v="695"/>
    <s v="11:24"/>
    <s v="S4"/>
    <x v="2"/>
    <x v="3"/>
    <x v="5"/>
    <x v="1844"/>
    <x v="1"/>
    <s v="TX301896"/>
    <s v="C3"/>
    <x v="2"/>
    <s v="Morning"/>
    <s v="Saturday"/>
    <x v="1881"/>
  </r>
  <r>
    <x v="269"/>
    <s v="16:13"/>
    <s v="S8"/>
    <x v="1"/>
    <x v="5"/>
    <x v="9"/>
    <x v="1845"/>
    <x v="2"/>
    <s v="TX301897"/>
    <s v="C3"/>
    <x v="3"/>
    <s v="Afternoon"/>
    <s v="Monday"/>
    <x v="1882"/>
  </r>
  <r>
    <x v="463"/>
    <s v="17:20"/>
    <s v="S3"/>
    <x v="2"/>
    <x v="6"/>
    <x v="5"/>
    <x v="1846"/>
    <x v="3"/>
    <s v="TX301898"/>
    <s v="C3"/>
    <x v="3"/>
    <s v="Evening"/>
    <s v="Monday"/>
    <x v="1883"/>
  </r>
  <r>
    <x v="815"/>
    <s v="9:38"/>
    <s v="S2"/>
    <x v="1"/>
    <x v="1"/>
    <x v="9"/>
    <x v="1847"/>
    <x v="1"/>
    <s v="TX301899"/>
    <s v="C3"/>
    <x v="0"/>
    <s v="Morning"/>
    <s v="Wednesday"/>
    <x v="1884"/>
  </r>
  <r>
    <x v="346"/>
    <s v="11:41"/>
    <s v="S7"/>
    <x v="3"/>
    <x v="6"/>
    <x v="3"/>
    <x v="1848"/>
    <x v="0"/>
    <s v="TX301900"/>
    <s v="C4"/>
    <x v="0"/>
    <s v="Morning"/>
    <s v="Wednesday"/>
    <x v="1885"/>
  </r>
  <r>
    <x v="56"/>
    <s v="15:07"/>
    <s v="S6"/>
    <x v="2"/>
    <x v="1"/>
    <x v="5"/>
    <x v="1849"/>
    <x v="0"/>
    <s v="TX301901"/>
    <s v="C3"/>
    <x v="3"/>
    <s v="Afternoon"/>
    <s v="Monday"/>
    <x v="1886"/>
  </r>
  <r>
    <x v="713"/>
    <s v="11:11"/>
    <s v="S2"/>
    <x v="0"/>
    <x v="4"/>
    <x v="2"/>
    <x v="1850"/>
    <x v="2"/>
    <s v="TX301902"/>
    <s v="C4"/>
    <x v="0"/>
    <s v="Morning"/>
    <s v="Friday"/>
    <x v="1887"/>
  </r>
  <r>
    <x v="647"/>
    <s v="20:12"/>
    <s v="S3"/>
    <x v="1"/>
    <x v="6"/>
    <x v="8"/>
    <x v="1851"/>
    <x v="3"/>
    <s v="TX301903"/>
    <s v="C5"/>
    <x v="0"/>
    <s v="Evening"/>
    <s v="Sunday"/>
    <x v="1888"/>
  </r>
  <r>
    <x v="554"/>
    <s v="16:59"/>
    <s v="S10"/>
    <x v="2"/>
    <x v="0"/>
    <x v="7"/>
    <x v="1852"/>
    <x v="0"/>
    <s v="TX301904"/>
    <s v="C4"/>
    <x v="3"/>
    <s v="Afternoon"/>
    <s v="Thursday"/>
    <x v="1889"/>
  </r>
  <r>
    <x v="429"/>
    <s v="14:18"/>
    <s v="S3"/>
    <x v="1"/>
    <x v="6"/>
    <x v="2"/>
    <x v="1853"/>
    <x v="0"/>
    <s v="TX301905"/>
    <s v="C4"/>
    <x v="3"/>
    <s v="Afternoon"/>
    <s v="Monday"/>
    <x v="1890"/>
  </r>
  <r>
    <x v="600"/>
    <s v="14:47"/>
    <s v="S6"/>
    <x v="0"/>
    <x v="6"/>
    <x v="1"/>
    <x v="1854"/>
    <x v="1"/>
    <s v="TX301906"/>
    <s v="C4"/>
    <x v="1"/>
    <s v="Afternoon"/>
    <s v="Saturday"/>
    <x v="1891"/>
  </r>
  <r>
    <x v="738"/>
    <s v="17:03"/>
    <s v="S5"/>
    <x v="3"/>
    <x v="0"/>
    <x v="8"/>
    <x v="1855"/>
    <x v="3"/>
    <s v="TX301907"/>
    <s v="C4"/>
    <x v="2"/>
    <s v="Evening"/>
    <s v="Thursday"/>
    <x v="1892"/>
  </r>
  <r>
    <x v="8"/>
    <s v="17:18"/>
    <s v="S8"/>
    <x v="2"/>
    <x v="3"/>
    <x v="9"/>
    <x v="1856"/>
    <x v="3"/>
    <s v="TX301908"/>
    <s v="C5"/>
    <x v="3"/>
    <s v="Evening"/>
    <s v="Friday"/>
    <x v="1893"/>
  </r>
  <r>
    <x v="816"/>
    <s v="11:57"/>
    <s v="S10"/>
    <x v="0"/>
    <x v="2"/>
    <x v="1"/>
    <x v="1857"/>
    <x v="4"/>
    <s v="TX301909"/>
    <s v="C4"/>
    <x v="1"/>
    <s v="Morning"/>
    <s v="Tuesday"/>
    <x v="1894"/>
  </r>
  <r>
    <x v="416"/>
    <s v="21:11"/>
    <s v="S8"/>
    <x v="0"/>
    <x v="5"/>
    <x v="7"/>
    <x v="1858"/>
    <x v="3"/>
    <s v="TX301910"/>
    <s v="C4"/>
    <x v="3"/>
    <s v="Evening"/>
    <s v="Thursday"/>
    <x v="1895"/>
  </r>
  <r>
    <x v="507"/>
    <s v="10:49"/>
    <s v="S6"/>
    <x v="0"/>
    <x v="3"/>
    <x v="1"/>
    <x v="1859"/>
    <x v="1"/>
    <s v="TX301911"/>
    <s v="C4"/>
    <x v="0"/>
    <s v="Morning"/>
    <s v="Sunday"/>
    <x v="1896"/>
  </r>
  <r>
    <x v="622"/>
    <s v="9:52"/>
    <s v="S10"/>
    <x v="2"/>
    <x v="1"/>
    <x v="1"/>
    <x v="1860"/>
    <x v="1"/>
    <s v="TX301912"/>
    <s v="C4"/>
    <x v="0"/>
    <s v="Morning"/>
    <s v="Saturday"/>
    <x v="1897"/>
  </r>
  <r>
    <x v="395"/>
    <s v="17:57"/>
    <s v="S8"/>
    <x v="2"/>
    <x v="3"/>
    <x v="6"/>
    <x v="1861"/>
    <x v="2"/>
    <s v="TX301913"/>
    <s v="C5"/>
    <x v="2"/>
    <s v="Evening"/>
    <s v="Monday"/>
    <x v="1898"/>
  </r>
  <r>
    <x v="138"/>
    <s v="11:44"/>
    <s v="S6"/>
    <x v="0"/>
    <x v="3"/>
    <x v="4"/>
    <x v="1862"/>
    <x v="2"/>
    <s v="TX301914"/>
    <s v="C5"/>
    <x v="1"/>
    <s v="Morning"/>
    <s v="Monday"/>
    <x v="1899"/>
  </r>
  <r>
    <x v="495"/>
    <s v="20:46"/>
    <s v="S7"/>
    <x v="1"/>
    <x v="6"/>
    <x v="0"/>
    <x v="1863"/>
    <x v="4"/>
    <s v="TX301915"/>
    <s v="C4"/>
    <x v="0"/>
    <s v="Evening"/>
    <s v="Tuesday"/>
    <x v="1900"/>
  </r>
  <r>
    <x v="335"/>
    <s v="10:29"/>
    <s v="S8"/>
    <x v="1"/>
    <x v="6"/>
    <x v="5"/>
    <x v="1864"/>
    <x v="1"/>
    <s v="TX301916"/>
    <s v="C3"/>
    <x v="2"/>
    <s v="Morning"/>
    <s v="Thursday"/>
    <x v="1901"/>
  </r>
  <r>
    <x v="505"/>
    <s v="19:42"/>
    <s v="S7"/>
    <x v="2"/>
    <x v="4"/>
    <x v="9"/>
    <x v="1865"/>
    <x v="4"/>
    <s v="TX301917"/>
    <s v="C2"/>
    <x v="3"/>
    <s v="Evening"/>
    <s v="Wednesday"/>
    <x v="1902"/>
  </r>
  <r>
    <x v="817"/>
    <s v="14:28"/>
    <s v="S7"/>
    <x v="2"/>
    <x v="1"/>
    <x v="4"/>
    <x v="1866"/>
    <x v="0"/>
    <s v="TX301918"/>
    <s v="C4"/>
    <x v="2"/>
    <s v="Afternoon"/>
    <s v="Sunday"/>
    <x v="1903"/>
  </r>
  <r>
    <x v="509"/>
    <s v="21:42"/>
    <s v="S3"/>
    <x v="1"/>
    <x v="3"/>
    <x v="6"/>
    <x v="1867"/>
    <x v="3"/>
    <s v="TX301919"/>
    <s v="C1"/>
    <x v="3"/>
    <s v="Evening"/>
    <s v="Wednesday"/>
    <x v="1904"/>
  </r>
  <r>
    <x v="384"/>
    <s v="21:44"/>
    <s v="S3"/>
    <x v="3"/>
    <x v="1"/>
    <x v="6"/>
    <x v="1868"/>
    <x v="4"/>
    <s v="TX301920"/>
    <s v="C4"/>
    <x v="2"/>
    <s v="Evening"/>
    <s v="Friday"/>
    <x v="1905"/>
  </r>
  <r>
    <x v="10"/>
    <s v="13:40"/>
    <s v="S4"/>
    <x v="3"/>
    <x v="3"/>
    <x v="2"/>
    <x v="1869"/>
    <x v="0"/>
    <s v="TX301921"/>
    <s v="C2"/>
    <x v="1"/>
    <s v="Afternoon"/>
    <s v="Wednesday"/>
    <x v="1906"/>
  </r>
  <r>
    <x v="212"/>
    <s v="17:33"/>
    <s v="S8"/>
    <x v="3"/>
    <x v="5"/>
    <x v="6"/>
    <x v="1870"/>
    <x v="2"/>
    <s v="TX301922"/>
    <s v="C3"/>
    <x v="0"/>
    <s v="Evening"/>
    <s v="Thursday"/>
    <x v="1907"/>
  </r>
  <r>
    <x v="151"/>
    <s v="15:44"/>
    <s v="S2"/>
    <x v="0"/>
    <x v="4"/>
    <x v="4"/>
    <x v="1871"/>
    <x v="1"/>
    <s v="TX301923"/>
    <s v="C5"/>
    <x v="0"/>
    <s v="Afternoon"/>
    <s v="Saturday"/>
    <x v="1908"/>
  </r>
  <r>
    <x v="818"/>
    <s v="14:12"/>
    <s v="S2"/>
    <x v="2"/>
    <x v="1"/>
    <x v="2"/>
    <x v="1872"/>
    <x v="3"/>
    <s v="TX301924"/>
    <s v="C3"/>
    <x v="1"/>
    <s v="Afternoon"/>
    <s v="Saturday"/>
    <x v="1909"/>
  </r>
  <r>
    <x v="590"/>
    <s v="20:37"/>
    <s v="S2"/>
    <x v="3"/>
    <x v="4"/>
    <x v="4"/>
    <x v="1873"/>
    <x v="3"/>
    <s v="TX301925"/>
    <s v="C3"/>
    <x v="3"/>
    <s v="Evening"/>
    <s v="Thursday"/>
    <x v="1910"/>
  </r>
  <r>
    <x v="819"/>
    <s v="15:56"/>
    <s v="S4"/>
    <x v="1"/>
    <x v="2"/>
    <x v="4"/>
    <x v="1874"/>
    <x v="4"/>
    <s v="TX301926"/>
    <s v="C5"/>
    <x v="1"/>
    <s v="Afternoon"/>
    <s v="Monday"/>
    <x v="1911"/>
  </r>
  <r>
    <x v="268"/>
    <s v="9:09"/>
    <s v="S1"/>
    <x v="2"/>
    <x v="5"/>
    <x v="6"/>
    <x v="1875"/>
    <x v="3"/>
    <s v="TX301927"/>
    <s v="C2"/>
    <x v="2"/>
    <s v="Morning"/>
    <s v="Sunday"/>
    <x v="1912"/>
  </r>
  <r>
    <x v="449"/>
    <s v="12:16"/>
    <s v="S3"/>
    <x v="3"/>
    <x v="6"/>
    <x v="3"/>
    <x v="1876"/>
    <x v="3"/>
    <s v="TX301928"/>
    <s v="C3"/>
    <x v="2"/>
    <s v="Afternoon"/>
    <s v="Tuesday"/>
    <x v="1913"/>
  </r>
  <r>
    <x v="286"/>
    <s v="9:07"/>
    <s v="S10"/>
    <x v="2"/>
    <x v="1"/>
    <x v="5"/>
    <x v="1877"/>
    <x v="4"/>
    <s v="TX301929"/>
    <s v="C5"/>
    <x v="1"/>
    <s v="Morning"/>
    <s v="Monday"/>
    <x v="1914"/>
  </r>
  <r>
    <x v="132"/>
    <s v="19:44"/>
    <s v="S3"/>
    <x v="2"/>
    <x v="3"/>
    <x v="7"/>
    <x v="1878"/>
    <x v="0"/>
    <s v="TX301930"/>
    <s v="C5"/>
    <x v="0"/>
    <s v="Evening"/>
    <s v="Friday"/>
    <x v="1915"/>
  </r>
  <r>
    <x v="585"/>
    <s v="10:19"/>
    <s v="S3"/>
    <x v="3"/>
    <x v="0"/>
    <x v="6"/>
    <x v="1879"/>
    <x v="3"/>
    <s v="TX301931"/>
    <s v="C5"/>
    <x v="0"/>
    <s v="Morning"/>
    <s v="Friday"/>
    <x v="1916"/>
  </r>
  <r>
    <x v="472"/>
    <s v="11:59"/>
    <s v="S2"/>
    <x v="2"/>
    <x v="6"/>
    <x v="1"/>
    <x v="1880"/>
    <x v="4"/>
    <s v="TX301932"/>
    <s v="C1"/>
    <x v="0"/>
    <s v="Morning"/>
    <s v="Saturday"/>
    <x v="1917"/>
  </r>
  <r>
    <x v="131"/>
    <s v="20:17"/>
    <s v="S1"/>
    <x v="2"/>
    <x v="2"/>
    <x v="9"/>
    <x v="1881"/>
    <x v="2"/>
    <s v="TX301933"/>
    <s v="C1"/>
    <x v="3"/>
    <s v="Evening"/>
    <s v="Sunday"/>
    <x v="1918"/>
  </r>
  <r>
    <x v="195"/>
    <s v="17:59"/>
    <s v="S2"/>
    <x v="0"/>
    <x v="3"/>
    <x v="8"/>
    <x v="1882"/>
    <x v="0"/>
    <s v="TX301934"/>
    <s v="C5"/>
    <x v="0"/>
    <s v="Evening"/>
    <s v="Wednesday"/>
    <x v="1919"/>
  </r>
  <r>
    <x v="532"/>
    <s v="19:55"/>
    <s v="S2"/>
    <x v="2"/>
    <x v="4"/>
    <x v="1"/>
    <x v="1883"/>
    <x v="0"/>
    <s v="TX301935"/>
    <s v="C4"/>
    <x v="3"/>
    <s v="Evening"/>
    <s v="Tuesday"/>
    <x v="1920"/>
  </r>
  <r>
    <x v="577"/>
    <s v="10:31"/>
    <s v="S2"/>
    <x v="3"/>
    <x v="0"/>
    <x v="3"/>
    <x v="1884"/>
    <x v="2"/>
    <s v="TX301936"/>
    <s v="C1"/>
    <x v="1"/>
    <s v="Morning"/>
    <s v="Friday"/>
    <x v="1921"/>
  </r>
  <r>
    <x v="43"/>
    <s v="13:24"/>
    <s v="S9"/>
    <x v="3"/>
    <x v="5"/>
    <x v="2"/>
    <x v="1885"/>
    <x v="2"/>
    <s v="TX301937"/>
    <s v="C3"/>
    <x v="2"/>
    <s v="Afternoon"/>
    <s v="Friday"/>
    <x v="1922"/>
  </r>
  <r>
    <x v="706"/>
    <s v="18:31"/>
    <s v="S8"/>
    <x v="3"/>
    <x v="4"/>
    <x v="8"/>
    <x v="1886"/>
    <x v="2"/>
    <s v="TX301938"/>
    <s v="C3"/>
    <x v="3"/>
    <s v="Evening"/>
    <s v="Thursday"/>
    <x v="1923"/>
  </r>
  <r>
    <x v="492"/>
    <s v="13:22"/>
    <s v="S6"/>
    <x v="3"/>
    <x v="5"/>
    <x v="4"/>
    <x v="1887"/>
    <x v="4"/>
    <s v="TX301939"/>
    <s v="C3"/>
    <x v="0"/>
    <s v="Afternoon"/>
    <s v="Wednesday"/>
    <x v="1924"/>
  </r>
  <r>
    <x v="733"/>
    <s v="20:24"/>
    <s v="S10"/>
    <x v="0"/>
    <x v="3"/>
    <x v="2"/>
    <x v="1888"/>
    <x v="0"/>
    <s v="TX301940"/>
    <s v="C2"/>
    <x v="3"/>
    <s v="Evening"/>
    <s v="Friday"/>
    <x v="1925"/>
  </r>
  <r>
    <x v="493"/>
    <s v="18:47"/>
    <s v="S8"/>
    <x v="3"/>
    <x v="0"/>
    <x v="1"/>
    <x v="1889"/>
    <x v="3"/>
    <s v="TX301941"/>
    <s v="C4"/>
    <x v="1"/>
    <s v="Evening"/>
    <s v="Monday"/>
    <x v="1926"/>
  </r>
  <r>
    <x v="592"/>
    <s v="21:03"/>
    <s v="S9"/>
    <x v="1"/>
    <x v="4"/>
    <x v="0"/>
    <x v="1890"/>
    <x v="2"/>
    <s v="TX301942"/>
    <s v="C3"/>
    <x v="3"/>
    <s v="Evening"/>
    <s v="Sunday"/>
    <x v="1927"/>
  </r>
  <r>
    <x v="820"/>
    <s v="16:07"/>
    <s v="S5"/>
    <x v="0"/>
    <x v="1"/>
    <x v="8"/>
    <x v="1891"/>
    <x v="3"/>
    <s v="TX301943"/>
    <s v="C4"/>
    <x v="3"/>
    <s v="Afternoon"/>
    <s v="Saturday"/>
    <x v="1928"/>
  </r>
  <r>
    <x v="629"/>
    <s v="9:40"/>
    <s v="S7"/>
    <x v="2"/>
    <x v="1"/>
    <x v="0"/>
    <x v="1892"/>
    <x v="1"/>
    <s v="TX301944"/>
    <s v="C4"/>
    <x v="2"/>
    <s v="Morning"/>
    <s v="Sunday"/>
    <x v="1929"/>
  </r>
  <r>
    <x v="778"/>
    <s v="9:49"/>
    <s v="S7"/>
    <x v="2"/>
    <x v="0"/>
    <x v="2"/>
    <x v="1893"/>
    <x v="2"/>
    <s v="TX301945"/>
    <s v="C1"/>
    <x v="0"/>
    <s v="Morning"/>
    <s v="Sunday"/>
    <x v="1930"/>
  </r>
  <r>
    <x v="613"/>
    <s v="14:44"/>
    <s v="S1"/>
    <x v="3"/>
    <x v="2"/>
    <x v="1"/>
    <x v="1230"/>
    <x v="0"/>
    <s v="TX301946"/>
    <s v="C3"/>
    <x v="3"/>
    <s v="Afternoon"/>
    <s v="Sunday"/>
    <x v="1931"/>
  </r>
  <r>
    <x v="330"/>
    <s v="13:07"/>
    <s v="S6"/>
    <x v="3"/>
    <x v="6"/>
    <x v="5"/>
    <x v="1894"/>
    <x v="1"/>
    <s v="TX301947"/>
    <s v="C4"/>
    <x v="2"/>
    <s v="Afternoon"/>
    <s v="Wednesday"/>
    <x v="1932"/>
  </r>
  <r>
    <x v="54"/>
    <s v="9:07"/>
    <s v="S8"/>
    <x v="1"/>
    <x v="4"/>
    <x v="1"/>
    <x v="1895"/>
    <x v="3"/>
    <s v="TX301948"/>
    <s v="C3"/>
    <x v="2"/>
    <s v="Morning"/>
    <s v="Saturday"/>
    <x v="1933"/>
  </r>
  <r>
    <x v="668"/>
    <s v="17:58"/>
    <s v="S2"/>
    <x v="0"/>
    <x v="0"/>
    <x v="5"/>
    <x v="1896"/>
    <x v="0"/>
    <s v="TX301949"/>
    <s v="C4"/>
    <x v="1"/>
    <s v="Evening"/>
    <s v="Thursday"/>
    <x v="1934"/>
  </r>
  <r>
    <x v="359"/>
    <s v="18:57"/>
    <s v="S8"/>
    <x v="2"/>
    <x v="4"/>
    <x v="0"/>
    <x v="1897"/>
    <x v="1"/>
    <s v="TX301950"/>
    <s v="C2"/>
    <x v="0"/>
    <s v="Evening"/>
    <s v="Sunday"/>
    <x v="1935"/>
  </r>
  <r>
    <x v="357"/>
    <s v="15:06"/>
    <s v="S2"/>
    <x v="0"/>
    <x v="6"/>
    <x v="6"/>
    <x v="1898"/>
    <x v="4"/>
    <s v="TX301951"/>
    <s v="C4"/>
    <x v="3"/>
    <s v="Afternoon"/>
    <s v="Thursday"/>
    <x v="1936"/>
  </r>
  <r>
    <x v="319"/>
    <s v="13:30"/>
    <s v="S2"/>
    <x v="3"/>
    <x v="4"/>
    <x v="2"/>
    <x v="1899"/>
    <x v="0"/>
    <s v="TX301952"/>
    <s v="C2"/>
    <x v="1"/>
    <s v="Afternoon"/>
    <s v="Sunday"/>
    <x v="1937"/>
  </r>
  <r>
    <x v="427"/>
    <s v="18:08"/>
    <s v="S10"/>
    <x v="1"/>
    <x v="4"/>
    <x v="8"/>
    <x v="1900"/>
    <x v="2"/>
    <s v="TX301953"/>
    <s v="C1"/>
    <x v="3"/>
    <s v="Evening"/>
    <s v="Thursday"/>
    <x v="1938"/>
  </r>
  <r>
    <x v="279"/>
    <s v="17:54"/>
    <s v="S3"/>
    <x v="0"/>
    <x v="2"/>
    <x v="3"/>
    <x v="1901"/>
    <x v="2"/>
    <s v="TX301954"/>
    <s v="C3"/>
    <x v="3"/>
    <s v="Evening"/>
    <s v="Thursday"/>
    <x v="1939"/>
  </r>
  <r>
    <x v="581"/>
    <s v="18:02"/>
    <s v="S1"/>
    <x v="1"/>
    <x v="5"/>
    <x v="9"/>
    <x v="1902"/>
    <x v="1"/>
    <s v="TX301955"/>
    <s v="C5"/>
    <x v="3"/>
    <s v="Evening"/>
    <s v="Saturday"/>
    <x v="1940"/>
  </r>
  <r>
    <x v="406"/>
    <s v="10:21"/>
    <s v="S2"/>
    <x v="1"/>
    <x v="3"/>
    <x v="4"/>
    <x v="1903"/>
    <x v="1"/>
    <s v="TX301956"/>
    <s v="C5"/>
    <x v="3"/>
    <s v="Morning"/>
    <s v="Monday"/>
    <x v="1941"/>
  </r>
  <r>
    <x v="366"/>
    <s v="10:06"/>
    <s v="S9"/>
    <x v="3"/>
    <x v="1"/>
    <x v="3"/>
    <x v="1904"/>
    <x v="4"/>
    <s v="TX301957"/>
    <s v="C1"/>
    <x v="0"/>
    <s v="Morning"/>
    <s v="Thursday"/>
    <x v="1942"/>
  </r>
  <r>
    <x v="102"/>
    <s v="15:16"/>
    <s v="S8"/>
    <x v="3"/>
    <x v="0"/>
    <x v="5"/>
    <x v="1905"/>
    <x v="4"/>
    <s v="TX301958"/>
    <s v="C3"/>
    <x v="0"/>
    <s v="Afternoon"/>
    <s v="Friday"/>
    <x v="1943"/>
  </r>
  <r>
    <x v="728"/>
    <s v="13:50"/>
    <s v="S3"/>
    <x v="0"/>
    <x v="2"/>
    <x v="3"/>
    <x v="1906"/>
    <x v="4"/>
    <s v="TX301959"/>
    <s v="C4"/>
    <x v="3"/>
    <s v="Afternoon"/>
    <s v="Sunday"/>
    <x v="1944"/>
  </r>
  <r>
    <x v="530"/>
    <s v="17:23"/>
    <s v="S5"/>
    <x v="0"/>
    <x v="5"/>
    <x v="3"/>
    <x v="1907"/>
    <x v="1"/>
    <s v="TX301960"/>
    <s v="C1"/>
    <x v="0"/>
    <s v="Evening"/>
    <s v="Monday"/>
    <x v="1945"/>
  </r>
  <r>
    <x v="517"/>
    <s v="13:40"/>
    <s v="S2"/>
    <x v="0"/>
    <x v="0"/>
    <x v="0"/>
    <x v="130"/>
    <x v="1"/>
    <s v="TX301961"/>
    <s v="C3"/>
    <x v="0"/>
    <s v="Afternoon"/>
    <s v="Thursday"/>
    <x v="1946"/>
  </r>
  <r>
    <x v="431"/>
    <s v="10:22"/>
    <s v="S7"/>
    <x v="2"/>
    <x v="4"/>
    <x v="9"/>
    <x v="1908"/>
    <x v="4"/>
    <s v="TX301962"/>
    <s v="C4"/>
    <x v="2"/>
    <s v="Morning"/>
    <s v="Saturday"/>
    <x v="1947"/>
  </r>
  <r>
    <x v="776"/>
    <s v="14:57"/>
    <s v="S8"/>
    <x v="3"/>
    <x v="5"/>
    <x v="1"/>
    <x v="1909"/>
    <x v="0"/>
    <s v="TX301963"/>
    <s v="C3"/>
    <x v="3"/>
    <s v="Afternoon"/>
    <s v="Monday"/>
    <x v="1948"/>
  </r>
  <r>
    <x v="706"/>
    <s v="10:35"/>
    <s v="S8"/>
    <x v="3"/>
    <x v="5"/>
    <x v="5"/>
    <x v="1910"/>
    <x v="3"/>
    <s v="TX301964"/>
    <s v="C3"/>
    <x v="2"/>
    <s v="Morning"/>
    <s v="Thursday"/>
    <x v="1949"/>
  </r>
  <r>
    <x v="688"/>
    <s v="12:45"/>
    <s v="S5"/>
    <x v="3"/>
    <x v="3"/>
    <x v="2"/>
    <x v="1911"/>
    <x v="4"/>
    <s v="TX301965"/>
    <s v="C3"/>
    <x v="2"/>
    <s v="Afternoon"/>
    <s v="Tuesday"/>
    <x v="1950"/>
  </r>
  <r>
    <x v="821"/>
    <s v="12:49"/>
    <s v="S3"/>
    <x v="3"/>
    <x v="4"/>
    <x v="7"/>
    <x v="1912"/>
    <x v="4"/>
    <s v="TX301966"/>
    <s v="C4"/>
    <x v="0"/>
    <s v="Afternoon"/>
    <s v="Saturday"/>
    <x v="1951"/>
  </r>
  <r>
    <x v="241"/>
    <s v="20:11"/>
    <s v="S7"/>
    <x v="0"/>
    <x v="4"/>
    <x v="4"/>
    <x v="1913"/>
    <x v="4"/>
    <s v="TX301967"/>
    <s v="C2"/>
    <x v="1"/>
    <s v="Evening"/>
    <s v="Wednesday"/>
    <x v="1952"/>
  </r>
  <r>
    <x v="659"/>
    <s v="13:45"/>
    <s v="S9"/>
    <x v="1"/>
    <x v="6"/>
    <x v="0"/>
    <x v="1914"/>
    <x v="3"/>
    <s v="TX301968"/>
    <s v="C3"/>
    <x v="3"/>
    <s v="Afternoon"/>
    <s v="Saturday"/>
    <x v="1953"/>
  </r>
  <r>
    <x v="406"/>
    <s v="9:46"/>
    <s v="S10"/>
    <x v="2"/>
    <x v="2"/>
    <x v="2"/>
    <x v="1915"/>
    <x v="1"/>
    <s v="TX301969"/>
    <s v="C3"/>
    <x v="2"/>
    <s v="Morning"/>
    <s v="Monday"/>
    <x v="1954"/>
  </r>
  <r>
    <x v="109"/>
    <s v="19:43"/>
    <s v="S6"/>
    <x v="1"/>
    <x v="0"/>
    <x v="6"/>
    <x v="1916"/>
    <x v="0"/>
    <s v="TX301970"/>
    <s v="C3"/>
    <x v="0"/>
    <s v="Evening"/>
    <s v="Wednesday"/>
    <x v="1955"/>
  </r>
  <r>
    <x v="173"/>
    <s v="14:27"/>
    <s v="S8"/>
    <x v="0"/>
    <x v="1"/>
    <x v="4"/>
    <x v="1917"/>
    <x v="2"/>
    <s v="TX301971"/>
    <s v="C5"/>
    <x v="3"/>
    <s v="Afternoon"/>
    <s v="Tuesday"/>
    <x v="1956"/>
  </r>
  <r>
    <x v="238"/>
    <s v="10:33"/>
    <s v="S6"/>
    <x v="0"/>
    <x v="3"/>
    <x v="9"/>
    <x v="1918"/>
    <x v="3"/>
    <s v="TX301972"/>
    <s v="C4"/>
    <x v="1"/>
    <s v="Morning"/>
    <s v="Saturday"/>
    <x v="1957"/>
  </r>
  <r>
    <x v="643"/>
    <s v="21:24"/>
    <s v="S1"/>
    <x v="3"/>
    <x v="0"/>
    <x v="0"/>
    <x v="1919"/>
    <x v="4"/>
    <s v="TX301973"/>
    <s v="C1"/>
    <x v="0"/>
    <s v="Evening"/>
    <s v="Thursday"/>
    <x v="1958"/>
  </r>
  <r>
    <x v="219"/>
    <s v="18:45"/>
    <s v="S7"/>
    <x v="3"/>
    <x v="5"/>
    <x v="8"/>
    <x v="1920"/>
    <x v="4"/>
    <s v="TX301974"/>
    <s v="C2"/>
    <x v="1"/>
    <s v="Evening"/>
    <s v="Saturday"/>
    <x v="1959"/>
  </r>
  <r>
    <x v="160"/>
    <s v="16:44"/>
    <s v="S5"/>
    <x v="3"/>
    <x v="6"/>
    <x v="3"/>
    <x v="1921"/>
    <x v="1"/>
    <s v="TX301975"/>
    <s v="C1"/>
    <x v="2"/>
    <s v="Afternoon"/>
    <s v="Tuesday"/>
    <x v="1960"/>
  </r>
  <r>
    <x v="432"/>
    <s v="15:59"/>
    <s v="S3"/>
    <x v="0"/>
    <x v="1"/>
    <x v="1"/>
    <x v="1922"/>
    <x v="3"/>
    <s v="TX301976"/>
    <s v="C5"/>
    <x v="3"/>
    <s v="Afternoon"/>
    <s v="Saturday"/>
    <x v="1961"/>
  </r>
  <r>
    <x v="785"/>
    <s v="21:03"/>
    <s v="S6"/>
    <x v="3"/>
    <x v="0"/>
    <x v="8"/>
    <x v="1923"/>
    <x v="4"/>
    <s v="TX301977"/>
    <s v="C2"/>
    <x v="3"/>
    <s v="Evening"/>
    <s v="Thursday"/>
    <x v="1962"/>
  </r>
  <r>
    <x v="772"/>
    <s v="20:43"/>
    <s v="S4"/>
    <x v="1"/>
    <x v="1"/>
    <x v="4"/>
    <x v="1924"/>
    <x v="0"/>
    <s v="TX301978"/>
    <s v="C3"/>
    <x v="0"/>
    <s v="Evening"/>
    <s v="Monday"/>
    <x v="1963"/>
  </r>
  <r>
    <x v="271"/>
    <s v="16:15"/>
    <s v="S5"/>
    <x v="1"/>
    <x v="2"/>
    <x v="4"/>
    <x v="1925"/>
    <x v="2"/>
    <s v="TX301979"/>
    <s v="C5"/>
    <x v="3"/>
    <s v="Afternoon"/>
    <s v="Friday"/>
    <x v="1964"/>
  </r>
  <r>
    <x v="251"/>
    <s v="19:29"/>
    <s v="S7"/>
    <x v="3"/>
    <x v="2"/>
    <x v="6"/>
    <x v="1926"/>
    <x v="1"/>
    <s v="TX301980"/>
    <s v="C1"/>
    <x v="2"/>
    <s v="Evening"/>
    <s v="Friday"/>
    <x v="1965"/>
  </r>
  <r>
    <x v="751"/>
    <s v="20:13"/>
    <s v="S6"/>
    <x v="0"/>
    <x v="0"/>
    <x v="4"/>
    <x v="1927"/>
    <x v="0"/>
    <s v="TX301981"/>
    <s v="C1"/>
    <x v="2"/>
    <s v="Evening"/>
    <s v="Saturday"/>
    <x v="1966"/>
  </r>
  <r>
    <x v="822"/>
    <s v="21:45"/>
    <s v="S4"/>
    <x v="3"/>
    <x v="2"/>
    <x v="3"/>
    <x v="1928"/>
    <x v="4"/>
    <s v="TX301982"/>
    <s v="C3"/>
    <x v="0"/>
    <s v="Evening"/>
    <s v="Sunday"/>
    <x v="1967"/>
  </r>
  <r>
    <x v="724"/>
    <s v="19:24"/>
    <s v="S2"/>
    <x v="1"/>
    <x v="1"/>
    <x v="9"/>
    <x v="1929"/>
    <x v="2"/>
    <s v="TX301983"/>
    <s v="C3"/>
    <x v="0"/>
    <s v="Evening"/>
    <s v="Sunday"/>
    <x v="1968"/>
  </r>
  <r>
    <x v="394"/>
    <s v="10:14"/>
    <s v="S3"/>
    <x v="2"/>
    <x v="2"/>
    <x v="0"/>
    <x v="1930"/>
    <x v="1"/>
    <s v="TX301984"/>
    <s v="C1"/>
    <x v="3"/>
    <s v="Morning"/>
    <s v="Wednesday"/>
    <x v="1969"/>
  </r>
  <r>
    <x v="766"/>
    <s v="15:07"/>
    <s v="S4"/>
    <x v="2"/>
    <x v="5"/>
    <x v="3"/>
    <x v="1931"/>
    <x v="1"/>
    <s v="TX301985"/>
    <s v="C4"/>
    <x v="1"/>
    <s v="Afternoon"/>
    <s v="Tuesday"/>
    <x v="1970"/>
  </r>
  <r>
    <x v="765"/>
    <s v="9:36"/>
    <s v="S10"/>
    <x v="3"/>
    <x v="6"/>
    <x v="0"/>
    <x v="1932"/>
    <x v="0"/>
    <s v="TX301986"/>
    <s v="C4"/>
    <x v="0"/>
    <s v="Morning"/>
    <s v="Sunday"/>
    <x v="1971"/>
  </r>
  <r>
    <x v="53"/>
    <s v="13:34"/>
    <s v="S2"/>
    <x v="0"/>
    <x v="2"/>
    <x v="7"/>
    <x v="1933"/>
    <x v="1"/>
    <s v="TX301987"/>
    <s v="C3"/>
    <x v="0"/>
    <s v="Afternoon"/>
    <s v="Monday"/>
    <x v="1972"/>
  </r>
  <r>
    <x v="753"/>
    <s v="16:42"/>
    <s v="S2"/>
    <x v="2"/>
    <x v="3"/>
    <x v="9"/>
    <x v="1934"/>
    <x v="0"/>
    <s v="TX301988"/>
    <s v="C2"/>
    <x v="2"/>
    <s v="Afternoon"/>
    <s v="Saturday"/>
    <x v="1973"/>
  </r>
  <r>
    <x v="242"/>
    <s v="11:21"/>
    <s v="S4"/>
    <x v="1"/>
    <x v="2"/>
    <x v="5"/>
    <x v="1935"/>
    <x v="0"/>
    <s v="TX301989"/>
    <s v="C2"/>
    <x v="3"/>
    <s v="Morning"/>
    <s v="Wednesday"/>
    <x v="1974"/>
  </r>
  <r>
    <x v="436"/>
    <s v="9:29"/>
    <s v="S1"/>
    <x v="2"/>
    <x v="2"/>
    <x v="4"/>
    <x v="1936"/>
    <x v="4"/>
    <s v="TX301990"/>
    <s v="C2"/>
    <x v="1"/>
    <s v="Morning"/>
    <s v="Thursday"/>
    <x v="1975"/>
  </r>
  <r>
    <x v="285"/>
    <s v="18:02"/>
    <s v="S9"/>
    <x v="3"/>
    <x v="3"/>
    <x v="4"/>
    <x v="1937"/>
    <x v="0"/>
    <s v="TX301991"/>
    <s v="C1"/>
    <x v="2"/>
    <s v="Evening"/>
    <s v="Monday"/>
    <x v="1976"/>
  </r>
  <r>
    <x v="774"/>
    <s v="12:24"/>
    <s v="S10"/>
    <x v="3"/>
    <x v="0"/>
    <x v="1"/>
    <x v="1938"/>
    <x v="1"/>
    <s v="TX301992"/>
    <s v="C2"/>
    <x v="2"/>
    <s v="Afternoon"/>
    <s v="Monday"/>
    <x v="1977"/>
  </r>
  <r>
    <x v="810"/>
    <s v="12:14"/>
    <s v="S4"/>
    <x v="2"/>
    <x v="4"/>
    <x v="4"/>
    <x v="1939"/>
    <x v="2"/>
    <s v="TX301993"/>
    <s v="C3"/>
    <x v="2"/>
    <s v="Afternoon"/>
    <s v="Friday"/>
    <x v="1978"/>
  </r>
  <r>
    <x v="114"/>
    <s v="14:46"/>
    <s v="S1"/>
    <x v="3"/>
    <x v="0"/>
    <x v="5"/>
    <x v="1940"/>
    <x v="0"/>
    <s v="TX301994"/>
    <s v="C2"/>
    <x v="2"/>
    <s v="Afternoon"/>
    <s v="Sunday"/>
    <x v="1979"/>
  </r>
  <r>
    <x v="823"/>
    <s v="21:37"/>
    <s v="S5"/>
    <x v="1"/>
    <x v="6"/>
    <x v="1"/>
    <x v="1941"/>
    <x v="0"/>
    <s v="TX301995"/>
    <s v="C1"/>
    <x v="3"/>
    <s v="Evening"/>
    <s v="Wednesday"/>
    <x v="1980"/>
  </r>
  <r>
    <x v="702"/>
    <s v="9:10"/>
    <s v="S1"/>
    <x v="2"/>
    <x v="4"/>
    <x v="2"/>
    <x v="1942"/>
    <x v="3"/>
    <s v="TX301996"/>
    <s v="C4"/>
    <x v="1"/>
    <s v="Morning"/>
    <s v="Wednesday"/>
    <x v="1981"/>
  </r>
  <r>
    <x v="822"/>
    <s v="21:11"/>
    <s v="S9"/>
    <x v="2"/>
    <x v="6"/>
    <x v="5"/>
    <x v="1943"/>
    <x v="1"/>
    <s v="TX301997"/>
    <s v="C5"/>
    <x v="1"/>
    <s v="Evening"/>
    <s v="Sunday"/>
    <x v="1982"/>
  </r>
  <r>
    <x v="490"/>
    <s v="13:25"/>
    <s v="S1"/>
    <x v="2"/>
    <x v="4"/>
    <x v="5"/>
    <x v="1944"/>
    <x v="2"/>
    <s v="TX301998"/>
    <s v="C2"/>
    <x v="3"/>
    <s v="Afternoon"/>
    <s v="Tuesday"/>
    <x v="1983"/>
  </r>
  <r>
    <x v="754"/>
    <s v="11:39"/>
    <s v="S3"/>
    <x v="0"/>
    <x v="5"/>
    <x v="5"/>
    <x v="1945"/>
    <x v="0"/>
    <s v="TX301999"/>
    <s v="C5"/>
    <x v="2"/>
    <s v="Morning"/>
    <s v="Thursday"/>
    <x v="19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D5FA02-FE1F-41C4-A7BF-CAD2BB504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C37" firstHeaderRow="0" firstDataRow="1" firstDataCol="1"/>
  <pivotFields count="16">
    <pivotField numFmtId="14" showAll="0">
      <items count="825">
        <item x="504"/>
        <item x="246"/>
        <item x="306"/>
        <item x="723"/>
        <item x="380"/>
        <item x="153"/>
        <item x="526"/>
        <item x="804"/>
        <item x="819"/>
        <item x="685"/>
        <item x="71"/>
        <item x="537"/>
        <item x="196"/>
        <item x="165"/>
        <item x="592"/>
        <item x="743"/>
        <item x="293"/>
        <item x="641"/>
        <item x="123"/>
        <item x="456"/>
        <item x="530"/>
        <item x="148"/>
        <item x="236"/>
        <item x="5"/>
        <item x="384"/>
        <item x="69"/>
        <item x="124"/>
        <item x="63"/>
        <item x="312"/>
        <item x="181"/>
        <item x="14"/>
        <item x="701"/>
        <item x="680"/>
        <item x="623"/>
        <item x="159"/>
        <item x="769"/>
        <item x="552"/>
        <item x="759"/>
        <item x="792"/>
        <item x="770"/>
        <item x="594"/>
        <item x="509"/>
        <item x="89"/>
        <item x="821"/>
        <item x="732"/>
        <item x="179"/>
        <item x="411"/>
        <item x="103"/>
        <item x="191"/>
        <item x="18"/>
        <item x="410"/>
        <item x="225"/>
        <item x="50"/>
        <item x="693"/>
        <item x="607"/>
        <item x="193"/>
        <item x="437"/>
        <item x="472"/>
        <item x="248"/>
        <item x="27"/>
        <item x="502"/>
        <item x="441"/>
        <item x="233"/>
        <item x="80"/>
        <item x="730"/>
        <item x="231"/>
        <item x="305"/>
        <item x="515"/>
        <item x="1"/>
        <item x="448"/>
        <item x="240"/>
        <item x="329"/>
        <item x="364"/>
        <item x="118"/>
        <item x="379"/>
        <item x="111"/>
        <item x="169"/>
        <item x="353"/>
        <item x="194"/>
        <item x="450"/>
        <item x="452"/>
        <item x="807"/>
        <item x="638"/>
        <item x="548"/>
        <item x="184"/>
        <item x="543"/>
        <item x="423"/>
        <item x="144"/>
        <item x="404"/>
        <item x="435"/>
        <item x="360"/>
        <item x="302"/>
        <item x="469"/>
        <item x="213"/>
        <item x="259"/>
        <item x="430"/>
        <item x="38"/>
        <item x="178"/>
        <item x="671"/>
        <item x="365"/>
        <item x="66"/>
        <item x="221"/>
        <item x="321"/>
        <item x="653"/>
        <item x="415"/>
        <item x="133"/>
        <item x="694"/>
        <item x="742"/>
        <item x="426"/>
        <item x="760"/>
        <item x="414"/>
        <item x="327"/>
        <item x="712"/>
        <item x="109"/>
        <item x="264"/>
        <item x="375"/>
        <item x="229"/>
        <item x="647"/>
        <item x="145"/>
        <item x="336"/>
        <item x="566"/>
        <item x="244"/>
        <item x="735"/>
        <item x="398"/>
        <item x="53"/>
        <item x="67"/>
        <item x="242"/>
        <item x="517"/>
        <item x="122"/>
        <item x="74"/>
        <item x="484"/>
        <item x="611"/>
        <item x="174"/>
        <item x="152"/>
        <item x="177"/>
        <item x="370"/>
        <item x="161"/>
        <item x="114"/>
        <item x="352"/>
        <item x="354"/>
        <item x="427"/>
        <item x="752"/>
        <item x="17"/>
        <item x="787"/>
        <item x="326"/>
        <item x="711"/>
        <item x="316"/>
        <item x="464"/>
        <item x="320"/>
        <item x="564"/>
        <item x="198"/>
        <item x="490"/>
        <item x="190"/>
        <item x="76"/>
        <item x="82"/>
        <item x="220"/>
        <item x="166"/>
        <item x="250"/>
        <item x="428"/>
        <item x="396"/>
        <item x="681"/>
        <item x="214"/>
        <item x="622"/>
        <item x="176"/>
        <item x="604"/>
        <item x="631"/>
        <item x="237"/>
        <item x="586"/>
        <item x="132"/>
        <item x="201"/>
        <item x="121"/>
        <item x="434"/>
        <item x="60"/>
        <item x="745"/>
        <item x="438"/>
        <item x="531"/>
        <item x="741"/>
        <item x="217"/>
        <item x="731"/>
        <item x="447"/>
        <item x="779"/>
        <item x="348"/>
        <item x="160"/>
        <item x="562"/>
        <item x="75"/>
        <item x="288"/>
        <item x="767"/>
        <item x="19"/>
        <item x="506"/>
        <item x="713"/>
        <item x="806"/>
        <item x="318"/>
        <item x="22"/>
        <item x="618"/>
        <item x="637"/>
        <item x="761"/>
        <item x="219"/>
        <item x="781"/>
        <item x="222"/>
        <item x="418"/>
        <item x="704"/>
        <item x="675"/>
        <item x="7"/>
        <item x="698"/>
        <item x="809"/>
        <item x="192"/>
        <item x="577"/>
        <item x="818"/>
        <item x="315"/>
        <item x="626"/>
        <item x="803"/>
        <item x="296"/>
        <item x="62"/>
        <item x="274"/>
        <item x="343"/>
        <item x="359"/>
        <item x="579"/>
        <item x="514"/>
        <item x="588"/>
        <item x="202"/>
        <item x="59"/>
        <item x="345"/>
        <item x="466"/>
        <item x="106"/>
        <item x="9"/>
        <item x="496"/>
        <item x="613"/>
        <item x="660"/>
        <item x="211"/>
        <item x="569"/>
        <item x="356"/>
        <item x="798"/>
        <item x="811"/>
        <item x="270"/>
        <item x="10"/>
        <item x="155"/>
        <item x="425"/>
        <item x="16"/>
        <item x="610"/>
        <item x="299"/>
        <item x="656"/>
        <item x="212"/>
        <item x="593"/>
        <item x="483"/>
        <item x="740"/>
        <item x="495"/>
        <item x="482"/>
        <item x="341"/>
        <item x="739"/>
        <item x="238"/>
        <item x="521"/>
        <item x="137"/>
        <item x="550"/>
        <item x="30"/>
        <item x="57"/>
        <item x="251"/>
        <item x="527"/>
        <item x="207"/>
        <item x="20"/>
        <item x="688"/>
        <item x="254"/>
        <item x="317"/>
        <item x="230"/>
        <item x="708"/>
        <item x="573"/>
        <item x="574"/>
        <item x="673"/>
        <item x="29"/>
        <item x="810"/>
        <item x="115"/>
        <item x="697"/>
        <item x="669"/>
        <item x="442"/>
        <item x="171"/>
        <item x="763"/>
        <item x="812"/>
        <item x="788"/>
        <item x="720"/>
        <item x="64"/>
        <item x="157"/>
        <item x="51"/>
        <item x="366"/>
        <item x="215"/>
        <item x="187"/>
        <item x="223"/>
        <item x="322"/>
        <item x="61"/>
        <item x="290"/>
        <item x="620"/>
        <item x="172"/>
        <item x="692"/>
        <item x="532"/>
        <item x="719"/>
        <item x="292"/>
        <item x="536"/>
        <item x="471"/>
        <item x="519"/>
        <item x="776"/>
        <item x="158"/>
        <item x="505"/>
        <item x="337"/>
        <item x="140"/>
        <item x="445"/>
        <item x="313"/>
        <item x="47"/>
        <item x="439"/>
        <item x="108"/>
        <item x="705"/>
        <item x="486"/>
        <item x="314"/>
        <item x="6"/>
        <item x="308"/>
        <item x="749"/>
        <item x="403"/>
        <item x="683"/>
        <item x="580"/>
        <item x="762"/>
        <item x="565"/>
        <item x="339"/>
        <item x="420"/>
        <item x="350"/>
        <item x="563"/>
        <item x="358"/>
        <item x="632"/>
        <item x="646"/>
        <item x="374"/>
        <item x="335"/>
        <item x="130"/>
        <item x="657"/>
        <item x="273"/>
        <item x="284"/>
        <item x="42"/>
        <item x="325"/>
        <item x="164"/>
        <item x="540"/>
        <item x="629"/>
        <item x="68"/>
        <item x="263"/>
        <item x="545"/>
        <item x="652"/>
        <item x="432"/>
        <item x="755"/>
        <item x="382"/>
        <item x="758"/>
        <item x="338"/>
        <item x="738"/>
        <item x="475"/>
        <item x="780"/>
        <item x="628"/>
        <item x="272"/>
        <item x="664"/>
        <item x="707"/>
        <item x="101"/>
        <item x="710"/>
        <item x="41"/>
        <item x="800"/>
        <item x="146"/>
        <item x="15"/>
        <item x="33"/>
        <item x="820"/>
        <item x="765"/>
        <item x="138"/>
        <item x="393"/>
        <item x="714"/>
        <item x="616"/>
        <item x="409"/>
        <item x="78"/>
        <item x="24"/>
        <item x="85"/>
        <item x="387"/>
        <item x="11"/>
        <item x="113"/>
        <item x="319"/>
        <item x="134"/>
        <item x="88"/>
        <item x="582"/>
        <item x="294"/>
        <item x="578"/>
        <item x="751"/>
        <item x="125"/>
        <item x="408"/>
        <item x="110"/>
        <item x="756"/>
        <item x="591"/>
        <item x="271"/>
        <item x="600"/>
        <item x="344"/>
        <item x="518"/>
        <item x="170"/>
        <item x="304"/>
        <item x="46"/>
        <item x="129"/>
        <item x="468"/>
        <item x="334"/>
        <item x="553"/>
        <item x="226"/>
        <item x="662"/>
        <item x="783"/>
        <item x="127"/>
        <item x="796"/>
        <item x="596"/>
        <item x="173"/>
        <item x="49"/>
        <item x="107"/>
        <item x="503"/>
        <item x="183"/>
        <item x="303"/>
        <item x="525"/>
        <item x="511"/>
        <item x="757"/>
        <item x="606"/>
        <item x="725"/>
        <item x="0"/>
        <item x="268"/>
        <item x="619"/>
        <item x="381"/>
        <item x="397"/>
        <item x="639"/>
        <item x="687"/>
        <item x="260"/>
        <item x="451"/>
        <item x="331"/>
        <item x="510"/>
        <item x="571"/>
        <item x="141"/>
        <item x="487"/>
        <item x="630"/>
        <item x="689"/>
        <item x="256"/>
        <item x="663"/>
        <item x="686"/>
        <item x="659"/>
        <item x="278"/>
        <item x="116"/>
        <item x="750"/>
        <item x="255"/>
        <item x="2"/>
        <item x="206"/>
        <item x="538"/>
        <item x="678"/>
        <item x="104"/>
        <item x="773"/>
        <item x="309"/>
        <item x="156"/>
        <item x="93"/>
        <item x="651"/>
        <item x="112"/>
        <item x="436"/>
        <item x="609"/>
        <item x="54"/>
        <item x="422"/>
        <item x="367"/>
        <item x="474"/>
        <item x="8"/>
        <item x="342"/>
        <item x="822"/>
        <item x="285"/>
        <item x="465"/>
        <item x="416"/>
        <item x="440"/>
        <item x="383"/>
        <item x="182"/>
        <item x="587"/>
        <item x="677"/>
        <item x="516"/>
        <item x="706"/>
        <item x="43"/>
        <item x="392"/>
        <item x="199"/>
        <item x="774"/>
        <item x="823"/>
        <item x="257"/>
        <item x="555"/>
        <item x="431"/>
        <item x="203"/>
        <item x="764"/>
        <item x="535"/>
        <item x="330"/>
        <item x="533"/>
        <item x="400"/>
        <item x="4"/>
        <item x="32"/>
        <item x="667"/>
        <item x="39"/>
        <item x="40"/>
        <item x="598"/>
        <item x="413"/>
        <item x="777"/>
        <item x="766"/>
        <item x="793"/>
        <item x="249"/>
        <item x="210"/>
        <item x="388"/>
        <item x="557"/>
        <item x="349"/>
        <item x="90"/>
        <item x="281"/>
        <item x="205"/>
        <item x="801"/>
        <item x="399"/>
        <item x="700"/>
        <item x="412"/>
        <item x="539"/>
        <item x="310"/>
        <item x="668"/>
        <item x="737"/>
        <item x="126"/>
        <item x="676"/>
        <item x="696"/>
        <item x="368"/>
        <item x="597"/>
        <item x="91"/>
        <item x="568"/>
        <item x="265"/>
        <item x="295"/>
        <item x="83"/>
        <item x="346"/>
        <item x="401"/>
        <item x="94"/>
        <item x="70"/>
        <item x="347"/>
        <item x="389"/>
        <item x="498"/>
        <item x="142"/>
        <item x="92"/>
        <item x="23"/>
        <item x="277"/>
        <item x="154"/>
        <item x="150"/>
        <item x="633"/>
        <item x="709"/>
        <item x="726"/>
        <item x="37"/>
        <item x="599"/>
        <item x="136"/>
        <item x="340"/>
        <item x="77"/>
        <item x="590"/>
        <item x="185"/>
        <item x="361"/>
        <item x="21"/>
        <item x="276"/>
        <item x="462"/>
        <item x="799"/>
        <item x="640"/>
        <item x="218"/>
        <item x="721"/>
        <item x="478"/>
        <item x="666"/>
        <item x="753"/>
        <item x="117"/>
        <item x="286"/>
        <item x="289"/>
        <item x="175"/>
        <item x="546"/>
        <item x="287"/>
        <item x="635"/>
        <item x="625"/>
        <item x="458"/>
        <item x="444"/>
        <item x="544"/>
        <item x="12"/>
        <item x="151"/>
        <item x="575"/>
        <item x="247"/>
        <item x="624"/>
        <item x="386"/>
        <item x="523"/>
        <item x="605"/>
        <item x="729"/>
        <item x="570"/>
        <item x="262"/>
        <item x="307"/>
        <item x="332"/>
        <item x="252"/>
        <item x="817"/>
        <item x="323"/>
        <item x="791"/>
        <item x="556"/>
        <item x="561"/>
        <item x="391"/>
        <item x="679"/>
        <item x="699"/>
        <item x="73"/>
        <item x="672"/>
        <item x="460"/>
        <item x="786"/>
        <item x="528"/>
        <item x="494"/>
        <item x="216"/>
        <item x="253"/>
        <item x="815"/>
        <item x="279"/>
        <item x="224"/>
        <item x="655"/>
        <item x="186"/>
        <item x="784"/>
        <item x="209"/>
        <item x="261"/>
        <item x="79"/>
        <item x="805"/>
        <item x="35"/>
        <item x="429"/>
        <item x="163"/>
        <item x="559"/>
        <item x="96"/>
        <item x="433"/>
        <item x="727"/>
        <item x="507"/>
        <item x="395"/>
        <item x="84"/>
        <item x="394"/>
        <item x="72"/>
        <item x="390"/>
        <item x="467"/>
        <item x="131"/>
        <item x="508"/>
        <item x="541"/>
        <item x="491"/>
        <item x="782"/>
        <item x="733"/>
        <item x="617"/>
        <item x="139"/>
        <item x="372"/>
        <item x="301"/>
        <item x="328"/>
        <item x="232"/>
        <item x="48"/>
        <item x="376"/>
        <item x="300"/>
        <item x="324"/>
        <item x="549"/>
        <item x="691"/>
        <item x="135"/>
        <item x="585"/>
        <item x="529"/>
        <item x="189"/>
        <item x="644"/>
        <item x="642"/>
        <item x="243"/>
        <item x="188"/>
        <item x="477"/>
        <item x="808"/>
        <item x="56"/>
        <item x="421"/>
        <item x="195"/>
        <item x="634"/>
        <item x="31"/>
        <item x="405"/>
        <item x="771"/>
        <item x="128"/>
        <item x="34"/>
        <item x="650"/>
        <item x="446"/>
        <item x="736"/>
        <item x="612"/>
        <item x="234"/>
        <item x="95"/>
        <item x="814"/>
        <item x="424"/>
        <item x="682"/>
        <item x="665"/>
        <item x="97"/>
        <item x="235"/>
        <item x="542"/>
        <item x="167"/>
        <item x="55"/>
        <item x="744"/>
        <item x="362"/>
        <item x="333"/>
        <item x="453"/>
        <item x="197"/>
        <item x="572"/>
        <item x="778"/>
        <item x="589"/>
        <item x="204"/>
        <item x="297"/>
        <item x="560"/>
        <item x="621"/>
        <item x="715"/>
        <item x="149"/>
        <item x="25"/>
        <item x="500"/>
        <item x="567"/>
        <item x="105"/>
        <item x="52"/>
        <item x="512"/>
        <item x="789"/>
        <item x="351"/>
        <item x="558"/>
        <item x="480"/>
        <item x="98"/>
        <item x="369"/>
        <item x="208"/>
        <item x="499"/>
        <item x="658"/>
        <item x="3"/>
        <item x="724"/>
        <item x="406"/>
        <item x="797"/>
        <item x="534"/>
        <item x="795"/>
        <item x="280"/>
        <item x="501"/>
        <item x="245"/>
        <item x="455"/>
        <item x="119"/>
        <item x="584"/>
        <item x="695"/>
        <item x="716"/>
        <item x="443"/>
        <item x="58"/>
        <item x="702"/>
        <item x="481"/>
        <item x="703"/>
        <item x="615"/>
        <item x="485"/>
        <item x="65"/>
        <item x="385"/>
        <item x="554"/>
        <item x="267"/>
        <item x="470"/>
        <item x="728"/>
        <item x="239"/>
        <item x="649"/>
        <item x="602"/>
        <item x="595"/>
        <item x="476"/>
        <item x="718"/>
        <item x="180"/>
        <item x="473"/>
        <item x="488"/>
        <item x="603"/>
        <item x="643"/>
        <item x="513"/>
        <item x="26"/>
        <item x="813"/>
        <item x="489"/>
        <item x="497"/>
        <item x="266"/>
        <item x="614"/>
        <item x="479"/>
        <item x="269"/>
        <item x="547"/>
        <item x="258"/>
        <item x="601"/>
        <item x="373"/>
        <item x="100"/>
        <item x="355"/>
        <item x="463"/>
        <item x="371"/>
        <item x="802"/>
        <item x="378"/>
        <item x="627"/>
        <item x="168"/>
        <item x="44"/>
        <item x="283"/>
        <item x="722"/>
        <item x="754"/>
        <item x="661"/>
        <item x="775"/>
        <item x="576"/>
        <item x="794"/>
        <item x="81"/>
        <item x="551"/>
        <item x="357"/>
        <item x="417"/>
        <item x="790"/>
        <item x="670"/>
        <item x="654"/>
        <item x="45"/>
        <item x="99"/>
        <item x="785"/>
        <item x="454"/>
        <item x="363"/>
        <item x="608"/>
        <item x="522"/>
        <item x="461"/>
        <item x="36"/>
        <item x="457"/>
        <item x="674"/>
        <item x="493"/>
        <item x="816"/>
        <item x="690"/>
        <item x="636"/>
        <item x="459"/>
        <item x="228"/>
        <item x="748"/>
        <item x="768"/>
        <item x="86"/>
        <item x="520"/>
        <item x="583"/>
        <item x="147"/>
        <item x="419"/>
        <item x="407"/>
        <item x="648"/>
        <item x="120"/>
        <item x="402"/>
        <item x="200"/>
        <item x="772"/>
        <item x="449"/>
        <item x="291"/>
        <item x="311"/>
        <item x="377"/>
        <item x="143"/>
        <item x="734"/>
        <item x="746"/>
        <item x="241"/>
        <item x="227"/>
        <item x="102"/>
        <item x="298"/>
        <item x="162"/>
        <item x="13"/>
        <item x="275"/>
        <item x="87"/>
        <item x="717"/>
        <item x="684"/>
        <item x="524"/>
        <item x="492"/>
        <item x="28"/>
        <item x="282"/>
        <item x="581"/>
        <item x="645"/>
        <item x="747"/>
        <item t="default"/>
      </items>
    </pivotField>
    <pivotField showAll="0"/>
    <pivotField showAll="0"/>
    <pivotField showAll="0">
      <items count="5">
        <item x="2"/>
        <item x="1"/>
        <item x="0"/>
        <item x="3"/>
        <item t="default"/>
      </items>
    </pivotField>
    <pivotField showAll="0">
      <items count="8">
        <item x="5"/>
        <item x="4"/>
        <item x="2"/>
        <item x="3"/>
        <item x="6"/>
        <item x="1"/>
        <item x="0"/>
        <item t="default"/>
      </items>
    </pivotField>
    <pivotField dataField="1" showAll="0">
      <items count="11">
        <item x="5"/>
        <item x="4"/>
        <item x="0"/>
        <item x="9"/>
        <item x="6"/>
        <item x="8"/>
        <item x="2"/>
        <item x="7"/>
        <item x="1"/>
        <item x="3"/>
        <item t="default"/>
      </items>
    </pivotField>
    <pivotField showAll="0">
      <items count="1947">
        <item x="1378"/>
        <item x="660"/>
        <item x="1801"/>
        <item x="360"/>
        <item x="1754"/>
        <item x="1370"/>
        <item x="83"/>
        <item x="1101"/>
        <item x="1446"/>
        <item x="1909"/>
        <item x="1884"/>
        <item x="153"/>
        <item x="1463"/>
        <item x="728"/>
        <item x="6"/>
        <item x="680"/>
        <item x="53"/>
        <item x="1277"/>
        <item x="535"/>
        <item x="1036"/>
        <item x="1219"/>
        <item x="1059"/>
        <item x="1797"/>
        <item x="353"/>
        <item x="1302"/>
        <item x="699"/>
        <item x="763"/>
        <item x="1127"/>
        <item x="1287"/>
        <item x="381"/>
        <item x="469"/>
        <item x="1290"/>
        <item x="338"/>
        <item x="17"/>
        <item x="903"/>
        <item x="1550"/>
        <item x="936"/>
        <item x="1910"/>
        <item x="1147"/>
        <item x="1735"/>
        <item x="720"/>
        <item x="496"/>
        <item x="183"/>
        <item x="844"/>
        <item x="1728"/>
        <item x="951"/>
        <item x="491"/>
        <item x="1373"/>
        <item x="607"/>
        <item x="1273"/>
        <item x="1109"/>
        <item x="1586"/>
        <item x="1608"/>
        <item x="716"/>
        <item x="1672"/>
        <item x="956"/>
        <item x="1701"/>
        <item x="719"/>
        <item x="1535"/>
        <item x="634"/>
        <item x="1259"/>
        <item x="270"/>
        <item x="1807"/>
        <item x="731"/>
        <item x="278"/>
        <item x="1736"/>
        <item x="1399"/>
        <item x="298"/>
        <item x="150"/>
        <item x="295"/>
        <item x="495"/>
        <item x="1313"/>
        <item x="1438"/>
        <item x="241"/>
        <item x="922"/>
        <item x="1660"/>
        <item x="48"/>
        <item x="1658"/>
        <item x="693"/>
        <item x="1379"/>
        <item x="1372"/>
        <item x="1013"/>
        <item x="1757"/>
        <item x="1340"/>
        <item x="1184"/>
        <item x="1368"/>
        <item x="695"/>
        <item x="705"/>
        <item x="1015"/>
        <item x="813"/>
        <item x="1840"/>
        <item x="1872"/>
        <item x="1937"/>
        <item x="475"/>
        <item x="293"/>
        <item x="523"/>
        <item x="1351"/>
        <item x="1907"/>
        <item x="1543"/>
        <item x="1226"/>
        <item x="924"/>
        <item x="1162"/>
        <item x="677"/>
        <item x="807"/>
        <item x="84"/>
        <item x="16"/>
        <item x="771"/>
        <item x="850"/>
        <item x="1360"/>
        <item x="198"/>
        <item x="1799"/>
        <item x="157"/>
        <item x="1170"/>
        <item x="620"/>
        <item x="1891"/>
        <item x="202"/>
        <item x="262"/>
        <item x="1632"/>
        <item x="1666"/>
        <item x="602"/>
        <item x="1196"/>
        <item x="1389"/>
        <item x="1700"/>
        <item x="808"/>
        <item x="170"/>
        <item x="129"/>
        <item x="1425"/>
        <item x="546"/>
        <item x="1902"/>
        <item x="1621"/>
        <item x="527"/>
        <item x="1044"/>
        <item x="156"/>
        <item x="652"/>
        <item x="216"/>
        <item x="1630"/>
        <item x="207"/>
        <item x="803"/>
        <item x="1230"/>
        <item x="1688"/>
        <item x="1806"/>
        <item x="1272"/>
        <item x="1918"/>
        <item x="451"/>
        <item x="1605"/>
        <item x="119"/>
        <item x="1473"/>
        <item x="158"/>
        <item x="1856"/>
        <item x="1380"/>
        <item x="1150"/>
        <item x="1853"/>
        <item x="446"/>
        <item x="1796"/>
        <item x="1057"/>
        <item x="1865"/>
        <item x="738"/>
        <item x="454"/>
        <item x="1098"/>
        <item x="688"/>
        <item x="1086"/>
        <item x="573"/>
        <item x="957"/>
        <item x="320"/>
        <item x="631"/>
        <item x="958"/>
        <item x="1537"/>
        <item x="1595"/>
        <item x="1091"/>
        <item x="49"/>
        <item x="648"/>
        <item x="126"/>
        <item x="933"/>
        <item x="395"/>
        <item x="468"/>
        <item x="13"/>
        <item x="29"/>
        <item x="1552"/>
        <item x="977"/>
        <item x="644"/>
        <item x="896"/>
        <item x="50"/>
        <item x="449"/>
        <item x="1663"/>
        <item x="212"/>
        <item x="1011"/>
        <item x="1564"/>
        <item x="934"/>
        <item x="43"/>
        <item x="645"/>
        <item x="1626"/>
        <item x="1457"/>
        <item x="1208"/>
        <item x="1048"/>
        <item x="737"/>
        <item x="1889"/>
        <item x="1678"/>
        <item x="1618"/>
        <item x="1772"/>
        <item x="343"/>
        <item x="96"/>
        <item x="1569"/>
        <item x="1484"/>
        <item x="1448"/>
        <item x="251"/>
        <item x="275"/>
        <item x="1848"/>
        <item x="545"/>
        <item x="741"/>
        <item x="329"/>
        <item x="1409"/>
        <item x="925"/>
        <item x="702"/>
        <item x="75"/>
        <item x="847"/>
        <item x="1900"/>
        <item x="1921"/>
        <item x="218"/>
        <item x="1762"/>
        <item x="1017"/>
        <item x="630"/>
        <item x="1421"/>
        <item x="1250"/>
        <item x="51"/>
        <item x="1916"/>
        <item x="1392"/>
        <item x="1805"/>
        <item x="5"/>
        <item x="1912"/>
        <item x="1430"/>
        <item x="316"/>
        <item x="748"/>
        <item x="233"/>
        <item x="1760"/>
        <item x="783"/>
        <item x="1783"/>
        <item x="1544"/>
        <item x="1065"/>
        <item x="1588"/>
        <item x="757"/>
        <item x="1068"/>
        <item x="112"/>
        <item x="842"/>
        <item x="1836"/>
        <item x="1878"/>
        <item x="1852"/>
        <item x="673"/>
        <item x="282"/>
        <item x="633"/>
        <item x="762"/>
        <item x="617"/>
        <item x="1477"/>
        <item x="776"/>
        <item x="505"/>
        <item x="1644"/>
        <item x="1830"/>
        <item x="698"/>
        <item x="1195"/>
        <item x="163"/>
        <item x="826"/>
        <item x="1755"/>
        <item x="1800"/>
        <item x="1903"/>
        <item x="501"/>
        <item x="1193"/>
        <item x="1472"/>
        <item x="1133"/>
        <item x="323"/>
        <item x="317"/>
        <item x="178"/>
        <item x="234"/>
        <item x="148"/>
        <item x="1400"/>
        <item x="162"/>
        <item x="1040"/>
        <item x="1609"/>
        <item x="1019"/>
        <item x="296"/>
        <item x="1635"/>
        <item x="1727"/>
        <item x="1862"/>
        <item x="932"/>
        <item x="1642"/>
        <item x="1041"/>
        <item x="1615"/>
        <item x="1060"/>
        <item x="1594"/>
        <item x="1565"/>
        <item x="85"/>
        <item x="1175"/>
        <item x="566"/>
        <item x="1384"/>
        <item x="982"/>
        <item x="529"/>
        <item x="1342"/>
        <item x="1385"/>
        <item x="1833"/>
        <item x="290"/>
        <item x="1227"/>
        <item x="411"/>
        <item x="41"/>
        <item x="480"/>
        <item x="1160"/>
        <item x="57"/>
        <item x="1713"/>
        <item x="1225"/>
        <item x="1304"/>
        <item x="418"/>
        <item x="1750"/>
        <item x="988"/>
        <item x="603"/>
        <item x="1382"/>
        <item x="235"/>
        <item x="674"/>
        <item x="974"/>
        <item x="1038"/>
        <item x="1722"/>
        <item x="552"/>
        <item x="52"/>
        <item x="1323"/>
        <item x="81"/>
        <item x="144"/>
        <item x="147"/>
        <item x="679"/>
        <item x="1104"/>
        <item x="1344"/>
        <item x="1529"/>
        <item x="1583"/>
        <item x="260"/>
        <item x="829"/>
        <item x="759"/>
        <item x="1275"/>
        <item x="855"/>
        <item x="559"/>
        <item x="1686"/>
        <item x="580"/>
        <item x="794"/>
        <item x="1551"/>
        <item x="1596"/>
        <item x="656"/>
        <item x="1906"/>
        <item x="332"/>
        <item x="928"/>
        <item x="473"/>
        <item x="894"/>
        <item x="1461"/>
        <item x="69"/>
        <item x="1764"/>
        <item x="208"/>
        <item x="558"/>
        <item x="236"/>
        <item x="1295"/>
        <item x="1297"/>
        <item x="1417"/>
        <item x="1531"/>
        <item x="1008"/>
        <item x="358"/>
        <item x="189"/>
        <item x="991"/>
        <item x="1289"/>
        <item x="1202"/>
        <item x="1697"/>
        <item x="155"/>
        <item x="167"/>
        <item x="402"/>
        <item x="806"/>
        <item x="1387"/>
        <item x="1010"/>
        <item x="1607"/>
        <item x="22"/>
        <item x="799"/>
        <item x="663"/>
        <item x="1808"/>
        <item x="1598"/>
        <item x="188"/>
        <item x="1787"/>
        <item x="1908"/>
        <item x="432"/>
        <item x="864"/>
        <item x="596"/>
        <item x="1803"/>
        <item x="3"/>
        <item x="205"/>
        <item x="1331"/>
        <item x="462"/>
        <item x="1030"/>
        <item x="697"/>
        <item x="1749"/>
        <item x="1843"/>
        <item x="921"/>
        <item x="1210"/>
        <item x="487"/>
        <item x="1610"/>
        <item x="1822"/>
        <item x="113"/>
        <item x="1117"/>
        <item x="341"/>
        <item x="102"/>
        <item x="923"/>
        <item x="1576"/>
        <item x="1699"/>
        <item x="779"/>
        <item x="1641"/>
        <item x="1037"/>
        <item x="1738"/>
        <item x="1585"/>
        <item x="246"/>
        <item x="1126"/>
        <item x="920"/>
        <item x="1149"/>
        <item x="1025"/>
        <item x="1200"/>
        <item x="1915"/>
        <item x="375"/>
        <item x="892"/>
        <item x="274"/>
        <item x="1357"/>
        <item x="1828"/>
        <item x="1793"/>
        <item x="507"/>
        <item x="746"/>
        <item x="1381"/>
        <item x="368"/>
        <item x="14"/>
        <item x="46"/>
        <item x="1314"/>
        <item x="992"/>
        <item x="1479"/>
        <item x="1024"/>
        <item x="1765"/>
        <item x="861"/>
        <item x="734"/>
        <item x="1137"/>
        <item x="774"/>
        <item x="474"/>
        <item x="898"/>
        <item x="437"/>
        <item x="1138"/>
        <item x="796"/>
        <item x="669"/>
        <item x="1475"/>
        <item x="1069"/>
        <item x="1309"/>
        <item x="1536"/>
        <item x="1406"/>
        <item x="519"/>
        <item x="1146"/>
        <item x="937"/>
        <item x="347"/>
        <item x="989"/>
        <item x="1633"/>
        <item x="1780"/>
        <item x="1394"/>
        <item x="209"/>
        <item x="751"/>
        <item x="1114"/>
        <item x="1709"/>
        <item x="1530"/>
        <item x="1263"/>
        <item x="575"/>
        <item x="1016"/>
        <item x="784"/>
        <item x="1234"/>
        <item x="557"/>
        <item x="1776"/>
        <item x="1753"/>
        <item x="874"/>
        <item x="1229"/>
        <item x="426"/>
        <item x="841"/>
        <item x="1696"/>
        <item x="352"/>
        <item x="376"/>
        <item x="914"/>
        <item x="10"/>
        <item x="877"/>
        <item x="1222"/>
        <item x="74"/>
        <item x="421"/>
        <item x="1042"/>
        <item x="1320"/>
        <item x="1581"/>
        <item x="887"/>
        <item x="595"/>
        <item x="1241"/>
        <item x="1716"/>
        <item x="1774"/>
        <item x="1158"/>
        <item x="1652"/>
        <item x="357"/>
        <item x="1452"/>
        <item x="880"/>
        <item x="55"/>
        <item x="640"/>
        <item x="1148"/>
        <item x="137"/>
        <item x="1217"/>
        <item x="1435"/>
        <item x="1924"/>
        <item x="110"/>
        <item x="1426"/>
        <item x="1798"/>
        <item x="1267"/>
        <item x="1156"/>
        <item x="288"/>
        <item x="1078"/>
        <item x="1775"/>
        <item x="670"/>
        <item x="1398"/>
        <item x="1466"/>
        <item x="528"/>
        <item x="965"/>
        <item x="611"/>
        <item x="1669"/>
        <item x="503"/>
        <item x="1111"/>
        <item x="1113"/>
        <item x="90"/>
        <item x="1328"/>
        <item x="1875"/>
        <item x="1673"/>
        <item x="1494"/>
        <item x="577"/>
        <item x="1487"/>
        <item x="966"/>
        <item x="194"/>
        <item x="585"/>
        <item x="1336"/>
        <item x="1262"/>
        <item x="978"/>
        <item x="1825"/>
        <item x="777"/>
        <item x="1056"/>
        <item x="1408"/>
        <item x="1383"/>
        <item x="1631"/>
        <item x="238"/>
        <item x="605"/>
        <item x="297"/>
        <item x="1622"/>
        <item x="1135"/>
        <item x="172"/>
        <item x="902"/>
        <item x="497"/>
        <item x="650"/>
        <item x="1575"/>
        <item x="177"/>
        <item x="1312"/>
        <item x="365"/>
        <item x="1447"/>
        <item x="1330"/>
        <item x="1187"/>
        <item x="399"/>
        <item x="1278"/>
        <item x="1009"/>
        <item x="1165"/>
        <item x="1179"/>
        <item x="594"/>
        <item x="1671"/>
        <item x="1014"/>
        <item x="1203"/>
        <item x="453"/>
        <item x="1364"/>
        <item x="1844"/>
        <item x="999"/>
        <item x="1118"/>
        <item x="1253"/>
        <item x="592"/>
        <item x="130"/>
        <item x="366"/>
        <item x="1720"/>
        <item x="1739"/>
        <item x="1343"/>
        <item x="891"/>
        <item x="312"/>
        <item x="1746"/>
        <item x="1418"/>
        <item x="1914"/>
        <item x="1293"/>
        <item x="983"/>
        <item x="64"/>
        <item x="1864"/>
        <item x="1518"/>
        <item x="1188"/>
        <item x="1442"/>
        <item x="224"/>
        <item x="1931"/>
        <item x="1547"/>
        <item x="1619"/>
        <item x="917"/>
        <item x="1018"/>
        <item x="1717"/>
        <item x="1172"/>
        <item x="517"/>
        <item x="1325"/>
        <item x="749"/>
        <item x="1614"/>
        <item x="434"/>
        <item x="1063"/>
        <item x="45"/>
        <item x="1021"/>
        <item x="1186"/>
        <item x="359"/>
        <item x="214"/>
        <item x="1215"/>
        <item x="1212"/>
        <item x="814"/>
        <item x="1689"/>
        <item x="1664"/>
        <item x="131"/>
        <item x="593"/>
        <item x="1377"/>
        <item x="1821"/>
        <item x="362"/>
        <item x="973"/>
        <item x="1440"/>
        <item x="502"/>
        <item x="1112"/>
        <item x="1358"/>
        <item x="416"/>
        <item x="1003"/>
        <item x="164"/>
        <item x="1444"/>
        <item x="1556"/>
        <item x="1653"/>
        <item x="1587"/>
        <item x="417"/>
        <item x="1401"/>
        <item x="1097"/>
        <item x="1310"/>
        <item x="1726"/>
        <item x="1167"/>
        <item x="1492"/>
        <item x="243"/>
        <item x="1933"/>
        <item x="1625"/>
        <item x="1507"/>
        <item x="1002"/>
        <item x="941"/>
        <item x="106"/>
        <item x="464"/>
        <item x="486"/>
        <item x="1566"/>
        <item x="1468"/>
        <item x="1209"/>
        <item x="690"/>
        <item x="1657"/>
        <item x="809"/>
        <item x="379"/>
        <item x="68"/>
        <item x="1027"/>
        <item x="1692"/>
        <item x="225"/>
        <item x="967"/>
        <item x="222"/>
        <item x="284"/>
        <item x="1680"/>
        <item x="305"/>
        <item x="1568"/>
        <item x="825"/>
        <item x="1743"/>
        <item x="324"/>
        <item x="1178"/>
        <item x="1725"/>
        <item x="1213"/>
        <item x="44"/>
        <item x="1674"/>
        <item x="485"/>
        <item x="1851"/>
        <item x="1941"/>
        <item x="1205"/>
        <item x="1824"/>
        <item x="1508"/>
        <item x="313"/>
        <item x="990"/>
        <item x="1450"/>
        <item x="1888"/>
        <item x="1365"/>
        <item x="1393"/>
        <item x="860"/>
        <item x="1476"/>
        <item x="1464"/>
        <item x="627"/>
        <item x="97"/>
        <item x="33"/>
        <item x="1863"/>
        <item x="942"/>
        <item x="1636"/>
        <item x="1239"/>
        <item x="1823"/>
        <item x="78"/>
        <item x="1269"/>
        <item x="299"/>
        <item x="346"/>
        <item x="906"/>
        <item x="504"/>
        <item x="888"/>
        <item x="1744"/>
        <item x="384"/>
        <item x="460"/>
        <item x="508"/>
        <item x="1600"/>
        <item x="560"/>
        <item x="9"/>
        <item x="1333"/>
        <item x="1099"/>
        <item x="733"/>
        <item x="229"/>
        <item x="1235"/>
        <item x="1934"/>
        <item x="435"/>
        <item x="1181"/>
        <item x="1752"/>
        <item x="574"/>
        <item x="1804"/>
        <item x="1189"/>
        <item x="584"/>
        <item x="871"/>
        <item x="913"/>
        <item x="1932"/>
        <item x="655"/>
        <item x="1500"/>
        <item x="166"/>
        <item x="1702"/>
        <item x="542"/>
        <item x="997"/>
        <item x="1072"/>
        <item x="1085"/>
        <item x="866"/>
        <item x="1792"/>
        <item x="175"/>
        <item x="1561"/>
        <item x="1283"/>
        <item x="534"/>
        <item x="330"/>
        <item x="1375"/>
        <item x="1714"/>
        <item x="732"/>
        <item x="576"/>
        <item x="1415"/>
        <item x="283"/>
        <item x="1274"/>
        <item x="795"/>
        <item x="581"/>
        <item x="1740"/>
        <item x="616"/>
        <item x="410"/>
        <item x="863"/>
        <item x="319"/>
        <item x="1733"/>
        <item x="1665"/>
        <item x="32"/>
        <item x="893"/>
        <item x="1319"/>
        <item x="1055"/>
        <item x="760"/>
        <item x="1945"/>
        <item x="1228"/>
        <item x="897"/>
        <item x="793"/>
        <item x="263"/>
        <item x="1574"/>
        <item x="1650"/>
        <item x="1006"/>
        <item x="1166"/>
        <item x="881"/>
        <item x="986"/>
        <item x="292"/>
        <item x="88"/>
        <item x="724"/>
        <item x="1058"/>
        <item x="708"/>
        <item x="1499"/>
        <item x="1603"/>
        <item x="1718"/>
        <item x="926"/>
        <item x="1075"/>
        <item x="1482"/>
        <item x="1741"/>
        <item x="1084"/>
        <item x="181"/>
        <item x="1192"/>
        <item x="1789"/>
        <item x="835"/>
        <item x="1074"/>
        <item x="899"/>
        <item x="615"/>
        <item x="1094"/>
        <item x="1698"/>
        <item x="307"/>
        <item x="335"/>
        <item x="539"/>
        <item x="1471"/>
        <item x="121"/>
        <item x="252"/>
        <item x="952"/>
        <item x="73"/>
        <item x="315"/>
        <item x="604"/>
        <item x="798"/>
        <item x="1456"/>
        <item x="1624"/>
        <item x="1567"/>
        <item x="862"/>
        <item x="1155"/>
        <item x="858"/>
        <item x="1898"/>
        <item x="99"/>
        <item x="961"/>
        <item x="1176"/>
        <item x="875"/>
        <item x="868"/>
        <item x="1729"/>
        <item x="1572"/>
        <item x="370"/>
        <item x="439"/>
        <item x="1917"/>
        <item x="654"/>
        <item x="1782"/>
        <item x="1096"/>
        <item x="400"/>
        <item x="1731"/>
        <item x="420"/>
        <item x="1929"/>
        <item x="165"/>
        <item x="1758"/>
        <item x="1883"/>
        <item x="311"/>
        <item x="643"/>
        <item x="401"/>
        <item x="1911"/>
        <item x="436"/>
        <item x="1047"/>
        <item x="279"/>
        <item x="1616"/>
        <item x="443"/>
        <item x="429"/>
        <item x="642"/>
        <item x="1061"/>
        <item x="1777"/>
        <item x="1867"/>
        <item x="1922"/>
        <item x="562"/>
        <item x="525"/>
        <item x="900"/>
        <item x="1761"/>
        <item x="383"/>
        <item x="291"/>
        <item x="927"/>
        <item x="1206"/>
        <item x="1298"/>
        <item x="1001"/>
        <item x="424"/>
        <item x="1899"/>
        <item x="1742"/>
        <item x="556"/>
        <item x="269"/>
        <item x="870"/>
        <item x="1528"/>
        <item x="1136"/>
        <item x="579"/>
        <item x="1715"/>
        <item x="1246"/>
        <item x="569"/>
        <item x="72"/>
        <item x="960"/>
        <item x="667"/>
        <item x="230"/>
        <item x="910"/>
        <item x="80"/>
        <item x="258"/>
        <item x="1580"/>
        <item x="971"/>
        <item x="1054"/>
        <item x="1584"/>
        <item x="267"/>
        <item x="1266"/>
        <item x="672"/>
        <item x="1838"/>
        <item x="1306"/>
        <item x="394"/>
        <item x="1467"/>
        <item x="364"/>
        <item x="1818"/>
        <item x="854"/>
        <item x="1035"/>
        <item x="1745"/>
        <item x="31"/>
        <item x="1073"/>
        <item x="840"/>
        <item x="1029"/>
        <item x="1560"/>
        <item x="856"/>
        <item x="143"/>
        <item x="422"/>
        <item x="1682"/>
        <item x="171"/>
        <item x="1012"/>
        <item x="300"/>
        <item x="781"/>
        <item x="1252"/>
        <item x="718"/>
        <item x="1142"/>
        <item x="975"/>
        <item x="1668"/>
        <item x="1919"/>
        <item x="509"/>
        <item x="1412"/>
        <item x="1130"/>
        <item x="1237"/>
        <item x="1064"/>
        <item x="1022"/>
        <item x="770"/>
        <item x="271"/>
        <item x="769"/>
        <item x="1171"/>
        <item x="1781"/>
        <item x="7"/>
        <item x="1034"/>
        <item x="1185"/>
        <item x="1771"/>
        <item x="1809"/>
        <item x="597"/>
        <item x="94"/>
        <item x="601"/>
        <item x="35"/>
        <item x="916"/>
        <item x="885"/>
        <item x="641"/>
        <item x="1707"/>
        <item x="1928"/>
        <item x="30"/>
        <item x="1348"/>
        <item x="1935"/>
        <item x="1445"/>
        <item x="108"/>
        <item x="1345"/>
        <item x="231"/>
        <item x="1747"/>
        <item x="998"/>
        <item x="1820"/>
        <item x="203"/>
        <item x="1286"/>
        <item x="100"/>
        <item x="824"/>
        <item x="1654"/>
        <item x="1868"/>
        <item x="1768"/>
        <item x="1354"/>
        <item x="564"/>
        <item x="1284"/>
        <item x="1043"/>
        <item x="190"/>
        <item x="1812"/>
        <item x="123"/>
        <item x="908"/>
        <item x="70"/>
        <item x="1519"/>
        <item x="1422"/>
        <item x="1695"/>
        <item x="715"/>
        <item x="276"/>
        <item x="12"/>
        <item x="227"/>
        <item x="478"/>
        <item x="201"/>
        <item x="884"/>
        <item x="1708"/>
        <item x="522"/>
        <item x="1076"/>
        <item x="1338"/>
        <item x="361"/>
        <item x="423"/>
        <item x="87"/>
        <item x="815"/>
        <item x="427"/>
        <item x="8"/>
        <item x="1724"/>
        <item x="1305"/>
        <item x="1829"/>
        <item x="945"/>
        <item x="526"/>
        <item x="425"/>
        <item x="1690"/>
        <item x="1033"/>
        <item x="1930"/>
        <item x="1174"/>
        <item x="1404"/>
        <item x="1182"/>
        <item x="1077"/>
        <item x="1734"/>
        <item x="396"/>
        <item x="20"/>
        <item x="431"/>
        <item x="277"/>
        <item x="1675"/>
        <item x="47"/>
        <item x="1270"/>
        <item x="1244"/>
        <item x="140"/>
        <item x="1322"/>
        <item x="187"/>
        <item x="1525"/>
        <item x="1052"/>
        <item x="419"/>
        <item x="709"/>
        <item x="193"/>
        <item x="79"/>
        <item x="1458"/>
        <item x="765"/>
        <item x="717"/>
        <item x="1045"/>
        <item x="1604"/>
        <item x="213"/>
        <item x="944"/>
        <item x="1496"/>
        <item x="103"/>
        <item x="520"/>
        <item x="1623"/>
        <item x="1748"/>
        <item x="1835"/>
        <item x="723"/>
        <item x="378"/>
        <item x="440"/>
        <item x="356"/>
        <item x="1602"/>
        <item x="785"/>
        <item x="1374"/>
        <item x="701"/>
        <item x="843"/>
        <item x="4"/>
        <item x="1004"/>
        <item x="350"/>
        <item x="1240"/>
        <item x="1491"/>
        <item x="543"/>
        <item x="823"/>
        <item x="107"/>
        <item x="239"/>
        <item x="1224"/>
        <item x="173"/>
        <item x="1563"/>
        <item x="1802"/>
        <item x="168"/>
        <item x="281"/>
        <item x="686"/>
        <item x="253"/>
        <item x="962"/>
        <item x="1359"/>
        <item x="563"/>
        <item x="118"/>
        <item x="493"/>
        <item x="185"/>
        <item x="711"/>
        <item x="589"/>
        <item x="1611"/>
        <item x="818"/>
        <item x="467"/>
        <item x="27"/>
        <item x="1495"/>
        <item x="805"/>
        <item x="1214"/>
        <item x="1346"/>
        <item x="714"/>
        <item x="833"/>
        <item x="1770"/>
        <item x="61"/>
        <item x="310"/>
        <item x="132"/>
        <item x="1443"/>
        <item x="1465"/>
        <item x="1334"/>
        <item x="1317"/>
        <item x="1051"/>
        <item x="1376"/>
        <item x="639"/>
        <item x="1847"/>
        <item x="414"/>
        <item x="180"/>
        <item x="834"/>
        <item x="1920"/>
        <item x="184"/>
        <item x="1462"/>
        <item x="1897"/>
        <item x="1597"/>
        <item x="912"/>
        <item x="1291"/>
        <item x="1316"/>
        <item x="664"/>
        <item x="304"/>
        <item x="380"/>
        <item x="1501"/>
        <item x="1081"/>
        <item x="1592"/>
        <item x="696"/>
        <item x="830"/>
        <item x="685"/>
        <item x="1455"/>
        <item x="333"/>
        <item x="1207"/>
        <item x="1873"/>
        <item x="217"/>
        <item x="1088"/>
        <item x="553"/>
        <item x="342"/>
        <item x="635"/>
        <item x="477"/>
        <item x="567"/>
        <item x="1271"/>
        <item x="1490"/>
        <item x="1247"/>
        <item x="878"/>
        <item x="257"/>
        <item x="354"/>
        <item x="128"/>
        <item x="947"/>
        <item x="752"/>
        <item x="1810"/>
        <item x="254"/>
        <item x="1512"/>
        <item x="837"/>
        <item x="1751"/>
        <item x="959"/>
        <item x="149"/>
        <item x="1893"/>
        <item x="11"/>
        <item x="1534"/>
        <item x="264"/>
        <item x="710"/>
        <item x="1788"/>
        <item x="1268"/>
        <item x="492"/>
        <item x="787"/>
        <item x="1023"/>
        <item x="619"/>
        <item x="1080"/>
        <item x="428"/>
        <item x="683"/>
        <item x="42"/>
        <item x="852"/>
        <item x="532"/>
        <item x="1026"/>
        <item x="665"/>
        <item x="1645"/>
        <item x="950"/>
        <item x="692"/>
        <item x="1638"/>
        <item x="792"/>
        <item x="494"/>
        <item x="250"/>
        <item x="707"/>
        <item x="1877"/>
        <item x="458"/>
        <item x="675"/>
        <item x="1855"/>
        <item x="179"/>
        <item x="95"/>
        <item x="306"/>
        <item x="802"/>
        <item x="1509"/>
        <item x="938"/>
        <item x="373"/>
        <item x="987"/>
        <item x="413"/>
        <item x="613"/>
        <item x="66"/>
        <item x="1414"/>
        <item x="1503"/>
        <item x="1942"/>
        <item x="240"/>
        <item x="34"/>
        <item x="676"/>
        <item x="1773"/>
        <item x="1132"/>
        <item x="985"/>
        <item x="1778"/>
        <item x="625"/>
        <item x="554"/>
        <item x="1817"/>
        <item x="223"/>
        <item x="1834"/>
        <item x="1411"/>
        <item x="1850"/>
        <item x="1478"/>
        <item x="1485"/>
        <item x="649"/>
        <item x="1255"/>
        <item x="909"/>
        <item x="671"/>
        <item x="1582"/>
        <item x="700"/>
        <item x="1223"/>
        <item x="555"/>
        <item x="452"/>
        <item x="249"/>
        <item x="772"/>
        <item x="447"/>
        <item x="25"/>
        <item x="1711"/>
        <item x="895"/>
        <item x="1505"/>
        <item x="1545"/>
        <item x="1292"/>
        <item x="280"/>
        <item x="1339"/>
        <item x="857"/>
        <item x="628"/>
        <item x="1858"/>
        <item x="742"/>
        <item x="186"/>
        <item x="1763"/>
        <item x="472"/>
        <item x="610"/>
        <item x="476"/>
        <item x="754"/>
        <item x="139"/>
        <item x="1211"/>
        <item x="739"/>
        <item x="1493"/>
        <item x="571"/>
        <item x="1453"/>
        <item x="1474"/>
        <item x="1288"/>
        <item x="1261"/>
        <item x="445"/>
        <item x="1854"/>
        <item x="1347"/>
        <item x="124"/>
        <item x="511"/>
        <item x="1169"/>
        <item x="561"/>
        <item x="266"/>
        <item x="136"/>
        <item x="26"/>
        <item x="820"/>
        <item x="355"/>
        <item x="1489"/>
        <item x="1486"/>
        <item x="1397"/>
        <item x="1154"/>
        <item x="1220"/>
        <item x="1730"/>
        <item x="38"/>
        <item x="134"/>
        <item x="433"/>
        <item x="242"/>
        <item x="1677"/>
        <item x="1539"/>
        <item x="1510"/>
        <item x="1670"/>
        <item x="1121"/>
        <item x="1849"/>
        <item x="976"/>
        <item x="972"/>
        <item x="600"/>
        <item x="1637"/>
        <item x="1242"/>
        <item x="1524"/>
        <item x="1236"/>
        <item x="192"/>
        <item x="766"/>
        <item x="817"/>
        <item x="964"/>
        <item x="176"/>
        <item x="294"/>
        <item x="1704"/>
        <item x="1590"/>
        <item x="1386"/>
        <item x="1813"/>
        <item x="1391"/>
        <item x="1860"/>
        <item x="1691"/>
        <item x="1649"/>
        <item x="954"/>
        <item x="612"/>
        <item x="1895"/>
        <item x="327"/>
        <item x="684"/>
        <item x="544"/>
        <item x="471"/>
        <item x="1198"/>
        <item x="1659"/>
        <item x="1841"/>
        <item x="1321"/>
        <item x="1124"/>
        <item x="599"/>
        <item x="810"/>
        <item x="1352"/>
        <item x="1168"/>
        <item x="1194"/>
        <item x="1125"/>
        <item x="1703"/>
        <item x="56"/>
        <item x="930"/>
        <item x="1599"/>
        <item x="1410"/>
        <item x="1712"/>
        <item x="797"/>
        <item x="1366"/>
        <item x="1601"/>
        <item x="1276"/>
        <item x="1143"/>
        <item x="1356"/>
        <item x="1779"/>
        <item x="1769"/>
        <item x="215"/>
        <item x="18"/>
        <item x="1264"/>
        <item x="93"/>
        <item x="1832"/>
        <item x="415"/>
        <item x="666"/>
        <item x="1573"/>
        <item x="646"/>
        <item x="538"/>
        <item x="1514"/>
        <item x="1681"/>
        <item x="328"/>
        <item x="1629"/>
        <item x="1767"/>
        <item x="1243"/>
        <item x="512"/>
        <item x="1183"/>
        <item x="141"/>
        <item x="1256"/>
        <item x="1785"/>
        <item x="551"/>
        <item x="37"/>
        <item x="753"/>
        <item x="1190"/>
        <item x="1144"/>
        <item x="1407"/>
        <item x="1923"/>
        <item x="1886"/>
        <item x="1110"/>
        <item x="481"/>
        <item x="1108"/>
        <item x="1031"/>
        <item x="1431"/>
        <item x="587"/>
        <item x="1280"/>
        <item x="1434"/>
        <item x="1258"/>
        <item x="1050"/>
        <item x="591"/>
        <item x="1684"/>
        <item x="101"/>
        <item x="621"/>
        <item x="1651"/>
        <item x="827"/>
        <item x="1866"/>
        <item x="1204"/>
        <item x="1506"/>
        <item x="780"/>
        <item x="506"/>
        <item x="1620"/>
        <item x="1427"/>
        <item x="839"/>
        <item x="915"/>
        <item x="499"/>
        <item x="712"/>
        <item x="1927"/>
        <item x="968"/>
        <item x="540"/>
        <item x="1419"/>
        <item x="326"/>
        <item x="1791"/>
        <item x="1439"/>
        <item x="1646"/>
        <item x="1115"/>
        <item x="691"/>
        <item x="1093"/>
        <item x="1249"/>
        <item x="191"/>
        <item x="1107"/>
        <item x="1694"/>
        <item x="703"/>
        <item x="687"/>
        <item x="935"/>
        <item x="386"/>
        <item x="1693"/>
        <item x="382"/>
        <item x="237"/>
        <item x="1254"/>
        <item x="1815"/>
        <item x="1546"/>
        <item x="778"/>
        <item x="1395"/>
        <item x="1131"/>
        <item x="448"/>
        <item x="1449"/>
        <item x="195"/>
        <item x="1355"/>
        <item x="867"/>
        <item x="1460"/>
        <item x="510"/>
        <item x="60"/>
        <item x="1279"/>
        <item x="303"/>
        <item x="1526"/>
        <item x="286"/>
        <item x="876"/>
        <item x="1470"/>
        <item x="846"/>
        <item x="1732"/>
        <item x="1128"/>
        <item x="736"/>
        <item x="21"/>
        <item x="455"/>
        <item x="657"/>
        <item x="636"/>
        <item x="524"/>
        <item x="1480"/>
        <item x="1232"/>
        <item x="618"/>
        <item x="1218"/>
        <item x="1640"/>
        <item x="694"/>
        <item x="1591"/>
        <item x="1540"/>
        <item x="1432"/>
        <item x="1881"/>
        <item x="482"/>
        <item x="1532"/>
        <item x="845"/>
        <item x="1361"/>
        <item x="58"/>
        <item x="226"/>
        <item x="1032"/>
        <item x="91"/>
        <item x="407"/>
        <item x="730"/>
        <item x="1710"/>
        <item x="256"/>
        <item x="479"/>
        <item x="244"/>
        <item x="624"/>
        <item x="1904"/>
        <item x="744"/>
        <item x="735"/>
        <item x="614"/>
        <item x="1842"/>
        <item x="755"/>
        <item x="1570"/>
        <item x="1870"/>
        <item x="1119"/>
        <item x="1173"/>
        <item x="1134"/>
        <item x="1428"/>
        <item x="404"/>
        <item x="397"/>
        <item x="19"/>
        <item x="388"/>
        <item x="71"/>
        <item x="1943"/>
        <item x="1161"/>
        <item x="761"/>
        <item x="405"/>
        <item x="626"/>
        <item x="800"/>
        <item x="1163"/>
        <item x="1517"/>
        <item x="232"/>
        <item x="1326"/>
        <item x="1294"/>
        <item x="1766"/>
        <item x="1831"/>
        <item x="530"/>
        <item x="438"/>
        <item x="681"/>
        <item x="160"/>
        <item x="1087"/>
        <item x="248"/>
        <item x="442"/>
        <item x="518"/>
        <item x="371"/>
        <item x="1153"/>
        <item x="905"/>
        <item x="1481"/>
        <item x="115"/>
        <item x="1662"/>
        <item x="1049"/>
        <item x="444"/>
        <item x="1890"/>
        <item x="351"/>
        <item x="1527"/>
        <item x="54"/>
        <item x="135"/>
        <item x="441"/>
        <item x="1553"/>
        <item x="1882"/>
        <item x="819"/>
        <item x="727"/>
        <item x="1905"/>
        <item x="285"/>
        <item x="1940"/>
        <item x="1454"/>
        <item x="821"/>
        <item x="65"/>
        <item x="588"/>
        <item x="541"/>
        <item x="1140"/>
        <item x="773"/>
        <item x="109"/>
        <item x="536"/>
        <item x="1819"/>
        <item x="1896"/>
        <item x="1079"/>
        <item x="1679"/>
        <item x="1020"/>
        <item x="221"/>
        <item x="1285"/>
        <item x="89"/>
        <item x="1639"/>
        <item x="255"/>
        <item x="1826"/>
        <item x="1180"/>
        <item x="1362"/>
        <item x="337"/>
        <item x="403"/>
        <item x="1139"/>
        <item x="1100"/>
        <item x="1719"/>
        <item x="154"/>
        <item x="28"/>
        <item x="1816"/>
        <item x="245"/>
        <item x="301"/>
        <item x="1120"/>
        <item x="1028"/>
        <item x="1199"/>
        <item x="412"/>
        <item x="374"/>
        <item x="146"/>
        <item x="145"/>
        <item x="498"/>
        <item x="1814"/>
        <item x="1541"/>
        <item x="1145"/>
        <item x="578"/>
        <item x="122"/>
        <item x="39"/>
        <item x="929"/>
        <item x="325"/>
        <item x="1413"/>
        <item x="1451"/>
        <item x="948"/>
        <item x="457"/>
        <item x="1577"/>
        <item x="1000"/>
        <item x="1648"/>
        <item x="1925"/>
        <item x="637"/>
        <item x="321"/>
        <item x="408"/>
        <item x="572"/>
        <item x="1756"/>
        <item x="1520"/>
        <item x="1548"/>
        <item x="1327"/>
        <item x="513"/>
        <item x="82"/>
        <item x="1123"/>
        <item x="873"/>
        <item x="1557"/>
        <item x="1705"/>
        <item x="980"/>
        <item x="199"/>
        <item x="1555"/>
        <item x="662"/>
        <item x="791"/>
        <item x="583"/>
        <item x="953"/>
        <item x="1191"/>
        <item x="1579"/>
        <item x="1511"/>
        <item x="1667"/>
        <item x="1071"/>
        <item x="302"/>
        <item x="547"/>
        <item x="1538"/>
        <item x="398"/>
        <item x="1811"/>
        <item x="1349"/>
        <item x="1390"/>
        <item x="219"/>
        <item x="387"/>
        <item x="865"/>
        <item x="1784"/>
        <item x="747"/>
        <item x="1516"/>
        <item x="1837"/>
        <item x="1562"/>
        <item x="879"/>
        <item x="1315"/>
        <item x="159"/>
        <item x="568"/>
        <item x="828"/>
        <item x="1759"/>
        <item x="1874"/>
        <item x="104"/>
        <item x="533"/>
        <item x="955"/>
        <item x="946"/>
        <item x="1523"/>
        <item x="265"/>
        <item x="943"/>
        <item x="344"/>
        <item x="391"/>
        <item x="1634"/>
        <item x="117"/>
        <item x="1612"/>
        <item x="919"/>
        <item x="1062"/>
        <item x="514"/>
        <item x="1549"/>
        <item x="1420"/>
        <item x="318"/>
        <item x="931"/>
        <item x="790"/>
        <item x="963"/>
        <item x="1066"/>
        <item x="786"/>
        <item x="849"/>
        <item x="1706"/>
        <item x="1429"/>
        <item x="393"/>
        <item x="689"/>
        <item x="1502"/>
        <item x="1335"/>
        <item x="268"/>
        <item x="622"/>
        <item x="1938"/>
        <item x="1786"/>
        <item x="658"/>
        <item x="470"/>
        <item x="782"/>
        <item x="1647"/>
        <item x="1845"/>
        <item x="882"/>
        <item x="36"/>
        <item x="261"/>
        <item x="105"/>
        <item x="1424"/>
        <item x="565"/>
        <item x="608"/>
        <item x="1089"/>
        <item x="969"/>
        <item x="210"/>
        <item x="1498"/>
        <item x="659"/>
        <item x="1721"/>
        <item x="1533"/>
        <item x="152"/>
        <item x="59"/>
        <item x="392"/>
        <item x="1363"/>
        <item x="918"/>
        <item x="801"/>
        <item x="1177"/>
        <item x="816"/>
        <item x="314"/>
        <item x="1885"/>
        <item x="1655"/>
        <item x="23"/>
        <item x="832"/>
        <item x="1488"/>
        <item x="1157"/>
        <item x="1737"/>
        <item x="548"/>
        <item x="1369"/>
        <item x="450"/>
        <item x="1944"/>
        <item x="811"/>
        <item x="1307"/>
        <item x="1559"/>
        <item x="994"/>
        <item x="1869"/>
        <item x="1303"/>
        <item x="661"/>
        <item x="598"/>
        <item x="606"/>
        <item x="1497"/>
        <item x="1353"/>
        <item x="722"/>
        <item x="1257"/>
        <item x="1197"/>
        <item x="1324"/>
        <item x="1627"/>
        <item x="114"/>
        <item x="1515"/>
        <item x="77"/>
        <item x="590"/>
        <item x="127"/>
        <item x="200"/>
        <item x="24"/>
        <item x="40"/>
        <item x="1007"/>
        <item x="1423"/>
        <item x="1613"/>
        <item x="623"/>
        <item x="377"/>
        <item x="1887"/>
        <item x="1661"/>
        <item x="86"/>
        <item x="349"/>
        <item x="883"/>
        <item x="334"/>
        <item x="1216"/>
        <item x="1151"/>
        <item x="389"/>
        <item x="1106"/>
        <item x="1416"/>
        <item x="92"/>
        <item x="228"/>
        <item x="67"/>
        <item x="1311"/>
        <item x="853"/>
        <item x="247"/>
        <item x="996"/>
        <item x="1795"/>
        <item x="788"/>
        <item x="848"/>
        <item x="116"/>
        <item x="1201"/>
        <item x="1542"/>
        <item x="390"/>
        <item x="872"/>
        <item x="1683"/>
        <item x="1248"/>
        <item x="287"/>
        <item x="629"/>
        <item x="812"/>
        <item x="984"/>
        <item x="463"/>
        <item x="348"/>
        <item x="133"/>
        <item x="1436"/>
        <item x="1880"/>
        <item x="537"/>
        <item x="706"/>
        <item x="372"/>
        <item x="98"/>
        <item x="743"/>
        <item x="515"/>
        <item x="586"/>
        <item x="1405"/>
        <item x="838"/>
        <item x="1105"/>
        <item x="1871"/>
        <item x="1861"/>
        <item x="632"/>
        <item x="1371"/>
        <item x="76"/>
        <item x="309"/>
        <item x="466"/>
        <item x="1879"/>
        <item x="1433"/>
        <item x="15"/>
        <item x="758"/>
        <item x="1459"/>
        <item x="995"/>
        <item x="775"/>
        <item x="204"/>
        <item x="1437"/>
        <item x="1926"/>
        <item x="804"/>
        <item x="120"/>
        <item x="1159"/>
        <item x="1070"/>
        <item x="521"/>
        <item x="206"/>
        <item x="1441"/>
        <item x="0"/>
        <item x="1643"/>
        <item x="831"/>
        <item x="1617"/>
        <item x="1082"/>
        <item x="1504"/>
        <item x="1308"/>
        <item x="516"/>
        <item x="1238"/>
        <item x="1589"/>
        <item x="764"/>
        <item x="142"/>
        <item x="682"/>
        <item x="1913"/>
        <item x="1095"/>
        <item x="740"/>
        <item x="339"/>
        <item x="62"/>
        <item x="1260"/>
        <item x="1299"/>
        <item x="161"/>
        <item x="609"/>
        <item x="1402"/>
        <item x="756"/>
        <item x="822"/>
        <item x="345"/>
        <item x="289"/>
        <item x="322"/>
        <item x="1221"/>
        <item x="653"/>
        <item x="1233"/>
        <item x="456"/>
        <item x="1723"/>
        <item x="1046"/>
        <item x="713"/>
        <item x="981"/>
        <item x="1656"/>
        <item x="1839"/>
        <item x="1090"/>
        <item x="1939"/>
        <item x="704"/>
        <item x="1164"/>
        <item x="949"/>
        <item x="1231"/>
        <item x="1403"/>
        <item x="890"/>
        <item x="1251"/>
        <item x="729"/>
        <item x="151"/>
        <item x="197"/>
        <item x="1521"/>
        <item x="1892"/>
        <item x="489"/>
        <item x="582"/>
        <item x="1116"/>
        <item x="1282"/>
        <item x="1687"/>
        <item x="1103"/>
        <item x="1558"/>
        <item x="1388"/>
        <item x="1846"/>
        <item x="406"/>
        <item x="340"/>
        <item x="886"/>
        <item x="1676"/>
        <item x="1152"/>
        <item x="465"/>
        <item x="1936"/>
        <item x="1318"/>
        <item x="125"/>
        <item x="721"/>
        <item x="789"/>
        <item x="1469"/>
        <item x="1329"/>
        <item x="726"/>
        <item x="1857"/>
        <item x="1296"/>
        <item x="367"/>
        <item x="1859"/>
        <item x="1053"/>
        <item x="1554"/>
        <item x="1245"/>
        <item x="138"/>
        <item x="272"/>
        <item x="1141"/>
        <item x="1628"/>
        <item x="1281"/>
        <item x="488"/>
        <item x="211"/>
        <item x="745"/>
        <item x="651"/>
        <item x="430"/>
        <item x="1483"/>
        <item x="907"/>
        <item x="1571"/>
        <item x="570"/>
        <item x="1"/>
        <item x="308"/>
        <item x="500"/>
        <item x="768"/>
        <item x="385"/>
        <item x="1827"/>
        <item x="1876"/>
        <item x="1067"/>
        <item x="859"/>
        <item x="1337"/>
        <item x="1092"/>
        <item x="993"/>
        <item x="1685"/>
        <item x="940"/>
        <item x="1083"/>
        <item x="549"/>
        <item x="1332"/>
        <item x="63"/>
        <item x="889"/>
        <item x="1039"/>
        <item x="1300"/>
        <item x="1790"/>
        <item x="668"/>
        <item x="750"/>
        <item x="369"/>
        <item x="901"/>
        <item x="979"/>
        <item x="904"/>
        <item x="550"/>
        <item x="363"/>
        <item x="725"/>
        <item x="1350"/>
        <item x="678"/>
        <item x="1794"/>
        <item x="409"/>
        <item x="836"/>
        <item x="1901"/>
        <item x="484"/>
        <item x="1102"/>
        <item x="1122"/>
        <item x="259"/>
        <item x="336"/>
        <item x="911"/>
        <item x="1129"/>
        <item x="461"/>
        <item x="1301"/>
        <item x="1265"/>
        <item x="196"/>
        <item x="490"/>
        <item x="331"/>
        <item x="869"/>
        <item x="851"/>
        <item x="459"/>
        <item x="1578"/>
        <item x="647"/>
        <item x="169"/>
        <item x="1513"/>
        <item x="767"/>
        <item x="1522"/>
        <item x="970"/>
        <item x="1005"/>
        <item x="1367"/>
        <item x="273"/>
        <item x="531"/>
        <item x="939"/>
        <item x="1396"/>
        <item x="2"/>
        <item x="182"/>
        <item x="1341"/>
        <item x="174"/>
        <item x="1894"/>
        <item x="111"/>
        <item x="483"/>
        <item x="1593"/>
        <item x="638"/>
        <item x="220"/>
        <item x="1606"/>
        <item t="default"/>
      </items>
    </pivotField>
    <pivotField showAll="0"/>
    <pivotField showAll="0"/>
    <pivotField showAll="0"/>
    <pivotField showAll="0"/>
    <pivotField showAll="0"/>
    <pivotField showAll="0"/>
    <pivotField dataField="1" showAll="0">
      <items count="1986">
        <item x="360"/>
        <item x="1109"/>
        <item x="154"/>
        <item x="470"/>
        <item x="1305"/>
        <item x="912"/>
        <item x="1949"/>
        <item x="1393"/>
        <item x="1703"/>
        <item x="497"/>
        <item x="930"/>
        <item x="664"/>
        <item x="1838"/>
        <item x="1769"/>
        <item x="1172"/>
        <item x="776"/>
        <item x="538"/>
        <item x="130"/>
        <item x="1302"/>
        <item x="381"/>
        <item x="53"/>
        <item x="1560"/>
        <item x="637"/>
        <item x="159"/>
        <item x="17"/>
        <item x="447"/>
        <item x="1833"/>
        <item x="1067"/>
        <item x="851"/>
        <item x="1622"/>
        <item x="1493"/>
        <item x="1789"/>
        <item x="1694"/>
        <item x="768"/>
        <item x="1021"/>
        <item x="83"/>
        <item x="1647"/>
        <item x="1288"/>
        <item x="709"/>
        <item x="330"/>
        <item x="1976"/>
        <item x="964"/>
        <item x="1398"/>
        <item x="684"/>
        <item x="681"/>
        <item x="235"/>
        <item x="1075"/>
        <item x="84"/>
        <item x="283"/>
        <item x="636"/>
        <item x="1585"/>
        <item x="272"/>
        <item x="1046"/>
        <item x="493"/>
        <item x="1380"/>
        <item x="279"/>
        <item x="1231"/>
        <item x="732"/>
        <item x="1418"/>
        <item x="1142"/>
        <item x="1050"/>
        <item x="297"/>
        <item x="1069"/>
        <item x="1207"/>
        <item x="1458"/>
        <item x="85"/>
        <item x="1186"/>
        <item x="1689"/>
        <item x="498"/>
        <item x="1650"/>
        <item x="1792"/>
        <item x="1339"/>
        <item x="1948"/>
        <item x="1719"/>
        <item x="959"/>
        <item x="1390"/>
        <item x="1733"/>
        <item x="1576"/>
        <item x="1292"/>
        <item x="333"/>
        <item x="69"/>
        <item x="210"/>
        <item x="1484"/>
        <item x="735"/>
        <item x="1371"/>
        <item x="1466"/>
        <item x="6"/>
        <item x="610"/>
        <item x="779"/>
        <item x="1117"/>
        <item x="1613"/>
        <item x="22"/>
        <item x="813"/>
        <item x="1562"/>
        <item x="720"/>
        <item x="1100"/>
        <item x="1921"/>
        <item x="16"/>
        <item x="857"/>
        <item x="243"/>
        <item x="1691"/>
        <item x="50"/>
        <item x="43"/>
        <item x="1136"/>
        <item x="1830"/>
        <item x="509"/>
        <item x="1219"/>
        <item x="14"/>
        <item x="1388"/>
        <item x="96"/>
        <item x="475"/>
        <item x="1469"/>
        <item x="802"/>
        <item x="354"/>
        <item x="819"/>
        <item x="1742"/>
        <item x="1575"/>
        <item x="1727"/>
        <item x="944"/>
        <item x="1310"/>
        <item x="1157"/>
        <item x="655"/>
        <item x="1834"/>
        <item x="1329"/>
        <item x="1250"/>
        <item x="1450"/>
        <item x="1569"/>
        <item x="452"/>
        <item x="723"/>
        <item x="1762"/>
        <item x="849"/>
        <item x="1318"/>
        <item x="1487"/>
        <item x="973"/>
        <item x="339"/>
        <item x="703"/>
        <item x="620"/>
        <item x="1499"/>
        <item x="782"/>
        <item x="1277"/>
        <item x="1867"/>
        <item x="702"/>
        <item x="1941"/>
        <item x="608"/>
        <item x="911"/>
        <item x="724"/>
        <item x="1023"/>
        <item x="1494"/>
        <item x="264"/>
        <item x="318"/>
        <item x="1175"/>
        <item x="1881"/>
        <item x="595"/>
        <item x="49"/>
        <item x="651"/>
        <item x="899"/>
        <item x="127"/>
        <item x="1899"/>
        <item x="1070"/>
        <item x="1901"/>
        <item x="1408"/>
        <item x="1732"/>
        <item x="1341"/>
        <item x="1397"/>
        <item x="1844"/>
        <item x="417"/>
        <item x="184"/>
        <item x="1940"/>
        <item x="1516"/>
        <item x="1655"/>
        <item x="1478"/>
        <item x="488"/>
        <item x="1770"/>
        <item x="555"/>
        <item x="299"/>
        <item x="1471"/>
        <item x="862"/>
        <item x="1957"/>
        <item x="1253"/>
        <item x="461"/>
        <item x="1623"/>
        <item x="737"/>
        <item x="231"/>
        <item x="660"/>
        <item x="1893"/>
        <item x="1400"/>
        <item x="587"/>
        <item x="1797"/>
        <item x="1025"/>
        <item x="1311"/>
        <item x="873"/>
        <item x="537"/>
        <item x="1902"/>
        <item x="1399"/>
        <item x="579"/>
        <item x="999"/>
        <item x="32"/>
        <item x="1984"/>
        <item x="1411"/>
        <item x="728"/>
        <item x="712"/>
        <item x="1781"/>
        <item x="933"/>
        <item x="1729"/>
        <item x="308"/>
        <item x="1636"/>
        <item x="1445"/>
        <item x="1594"/>
        <item x="99"/>
        <item x="1274"/>
        <item x="767"/>
        <item x="469"/>
        <item x="1180"/>
        <item x="1880"/>
        <item x="507"/>
        <item x="342"/>
        <item x="103"/>
        <item x="931"/>
        <item x="218"/>
        <item x="1909"/>
        <item x="934"/>
        <item x="425"/>
        <item x="559"/>
        <item x="697"/>
        <item x="450"/>
        <item x="1749"/>
        <item x="623"/>
        <item x="294"/>
        <item x="1260"/>
        <item x="214"/>
        <item x="969"/>
        <item x="1392"/>
        <item x="1843"/>
        <item x="1928"/>
        <item x="900"/>
        <item x="979"/>
        <item x="1568"/>
        <item x="179"/>
        <item x="1357"/>
        <item x="605"/>
        <item x="31"/>
        <item x="1330"/>
        <item x="1501"/>
        <item x="1666"/>
        <item x="344"/>
        <item x="738"/>
        <item x="1029"/>
        <item x="1673"/>
        <item x="1644"/>
        <item x="438"/>
        <item x="1152"/>
        <item x="699"/>
        <item x="1426"/>
        <item x="1156"/>
        <item x="997"/>
        <item x="1817"/>
        <item x="1239"/>
        <item x="273"/>
        <item x="408"/>
        <item x="1095"/>
        <item x="1785"/>
        <item x="476"/>
        <item x="353"/>
        <item x="1974"/>
        <item x="321"/>
        <item x="151"/>
        <item x="530"/>
        <item x="1006"/>
        <item x="1857"/>
        <item x="1685"/>
        <item x="1336"/>
        <item x="526"/>
        <item x="296"/>
        <item x="1374"/>
        <item x="1441"/>
        <item x="1181"/>
        <item x="1683"/>
        <item x="52"/>
        <item x="1195"/>
        <item x="941"/>
        <item x="1085"/>
        <item x="424"/>
        <item x="8"/>
        <item x="1112"/>
        <item x="809"/>
        <item x="1242"/>
        <item x="29"/>
        <item x="1697"/>
        <item x="1229"/>
        <item x="562"/>
        <item x="1963"/>
        <item x="420"/>
        <item x="48"/>
        <item x="614"/>
        <item x="505"/>
        <item x="1122"/>
        <item x="830"/>
        <item x="108"/>
        <item x="171"/>
        <item x="200"/>
        <item x="986"/>
        <item x="741"/>
        <item x="783"/>
        <item x="1333"/>
        <item x="1836"/>
        <item x="841"/>
        <item x="1437"/>
        <item x="503"/>
        <item x="1238"/>
        <item x="219"/>
        <item x="343"/>
        <item x="885"/>
        <item x="1304"/>
        <item x="204"/>
        <item x="253"/>
        <item x="967"/>
        <item x="156"/>
        <item x="1559"/>
        <item x="1825"/>
        <item x="576"/>
        <item x="1283"/>
        <item x="1419"/>
        <item x="634"/>
        <item x="696"/>
        <item x="1661"/>
        <item x="1640"/>
        <item x="1914"/>
        <item x="189"/>
        <item x="706"/>
        <item x="1877"/>
        <item x="131"/>
        <item x="946"/>
        <item x="616"/>
        <item x="1287"/>
        <item x="1438"/>
        <item x="1621"/>
        <item x="993"/>
        <item x="1855"/>
        <item x="633"/>
        <item x="1404"/>
        <item x="814"/>
        <item x="1859"/>
        <item x="558"/>
        <item x="520"/>
        <item x="453"/>
        <item x="1945"/>
        <item x="1529"/>
        <item x="1633"/>
        <item x="864"/>
        <item x="1955"/>
        <item x="785"/>
        <item x="359"/>
        <item x="412"/>
        <item x="1222"/>
        <item x="1695"/>
        <item x="1047"/>
        <item x="981"/>
        <item x="1164"/>
        <item x="135"/>
        <item x="1890"/>
        <item x="1701"/>
        <item x="1886"/>
        <item x="1019"/>
        <item x="1737"/>
        <item x="1617"/>
        <item x="276"/>
        <item x="1054"/>
        <item x="1372"/>
        <item x="56"/>
        <item x="1663"/>
        <item x="1723"/>
        <item x="46"/>
        <item x="145"/>
        <item x="832"/>
        <item x="1596"/>
        <item x="624"/>
        <item x="1682"/>
        <item x="1147"/>
        <item x="1497"/>
        <item x="1532"/>
        <item x="945"/>
        <item x="1790"/>
        <item x="158"/>
        <item x="583"/>
        <item x="1667"/>
        <item x="1115"/>
        <item x="211"/>
        <item x="756"/>
        <item x="578"/>
        <item x="1024"/>
        <item x="577"/>
        <item x="1841"/>
        <item x="1788"/>
        <item x="1938"/>
        <item x="1550"/>
        <item x="922"/>
        <item x="698"/>
        <item x="236"/>
        <item x="1577"/>
        <item x="1042"/>
        <item x="739"/>
        <item x="1879"/>
        <item x="760"/>
        <item x="163"/>
        <item x="1982"/>
        <item x="742"/>
        <item x="1163"/>
        <item x="1696"/>
        <item x="1106"/>
        <item x="209"/>
        <item x="648"/>
        <item x="1943"/>
        <item x="286"/>
        <item x="692"/>
        <item x="1979"/>
        <item x="1931"/>
        <item x="990"/>
        <item x="110"/>
        <item x="1934"/>
        <item x="1028"/>
        <item x="1670"/>
        <item x="1148"/>
        <item x="1753"/>
        <item x="1709"/>
        <item x="966"/>
        <item x="1155"/>
        <item x="1282"/>
        <item x="39"/>
        <item x="1472"/>
        <item x="41"/>
        <item x="1809"/>
        <item x="481"/>
        <item x="1947"/>
        <item x="1573"/>
        <item x="1343"/>
        <item x="515"/>
        <item x="880"/>
        <item x="865"/>
        <item x="1237"/>
        <item x="549"/>
        <item x="1202"/>
        <item x="1535"/>
        <item x="370"/>
        <item x="440"/>
        <item x="1956"/>
        <item x="395"/>
        <item x="1793"/>
        <item x="752"/>
        <item x="745"/>
        <item x="1874"/>
        <item x="1510"/>
        <item x="489"/>
        <item x="1641"/>
        <item x="932"/>
        <item x="1862"/>
        <item x="1048"/>
        <item x="157"/>
        <item x="75"/>
        <item x="854"/>
        <item x="298"/>
        <item x="1558"/>
        <item x="1612"/>
        <item x="1204"/>
        <item x="72"/>
        <item x="1211"/>
        <item x="653"/>
        <item x="1983"/>
        <item x="262"/>
        <item x="375"/>
        <item x="942"/>
        <item x="128"/>
        <item x="1717"/>
        <item x="1611"/>
        <item x="1865"/>
        <item x="399"/>
        <item x="800"/>
        <item x="1058"/>
        <item x="149"/>
        <item x="1420"/>
        <item x="855"/>
        <item x="120"/>
        <item x="818"/>
        <item x="847"/>
        <item x="1495"/>
        <item x="1842"/>
        <item x="5"/>
        <item x="1946"/>
        <item x="1586"/>
        <item x="868"/>
        <item x="1160"/>
        <item x="763"/>
        <item x="1953"/>
        <item x="1051"/>
        <item x="1820"/>
        <item x="561"/>
        <item x="143"/>
        <item x="1199"/>
        <item x="1462"/>
        <item x="340"/>
        <item x="277"/>
        <item x="113"/>
        <item x="548"/>
        <item x="1873"/>
        <item x="532"/>
        <item x="522"/>
        <item x="1056"/>
        <item x="1361"/>
        <item x="1687"/>
        <item x="708"/>
        <item x="677"/>
        <item x="1870"/>
        <item x="1883"/>
        <item x="341"/>
        <item x="1664"/>
        <item x="455"/>
        <item x="725"/>
        <item x="820"/>
        <item x="7"/>
        <item x="1063"/>
        <item x="274"/>
        <item x="57"/>
        <item x="1121"/>
        <item x="657"/>
        <item x="1247"/>
        <item x="1746"/>
        <item x="881"/>
        <item x="1320"/>
        <item x="1241"/>
        <item x="1675"/>
        <item x="866"/>
        <item x="1464"/>
        <item x="965"/>
        <item x="1316"/>
        <item x="755"/>
        <item x="1206"/>
        <item x="1591"/>
        <item x="833"/>
        <item x="1370"/>
        <item x="884"/>
        <item x="606"/>
        <item x="205"/>
        <item x="1131"/>
        <item x="102"/>
        <item x="1053"/>
        <item x="978"/>
        <item x="534"/>
        <item x="694"/>
        <item x="1415"/>
        <item x="433"/>
        <item x="1932"/>
        <item x="1620"/>
        <item x="1926"/>
        <item x="891"/>
        <item x="148"/>
        <item x="325"/>
        <item x="1507"/>
        <item x="13"/>
        <item x="1638"/>
        <item x="1951"/>
        <item x="317"/>
        <item x="1126"/>
        <item x="1216"/>
        <item x="1861"/>
        <item x="764"/>
        <item x="314"/>
        <item x="1603"/>
        <item x="1637"/>
        <item x="1900"/>
        <item x="1166"/>
        <item x="1429"/>
        <item x="985"/>
        <item x="770"/>
        <item x="78"/>
        <item x="1284"/>
        <item x="915"/>
        <item x="647"/>
        <item x="1915"/>
        <item x="905"/>
        <item x="1889"/>
        <item x="1872"/>
        <item x="727"/>
        <item x="563"/>
        <item x="705"/>
        <item x="1592"/>
        <item x="546"/>
        <item x="1344"/>
        <item x="241"/>
        <item x="1236"/>
        <item x="1359"/>
        <item x="474"/>
        <item x="1482"/>
        <item x="1971"/>
        <item x="811"/>
        <item x="1226"/>
        <item x="840"/>
        <item x="311"/>
        <item x="1396"/>
        <item x="1170"/>
        <item x="185"/>
        <item x="1265"/>
        <item x="668"/>
        <item x="284"/>
        <item x="51"/>
        <item x="619"/>
        <item x="411"/>
        <item x="1146"/>
        <item x="1910"/>
        <item x="190"/>
        <item x="907"/>
        <item x="265"/>
        <item x="1602"/>
        <item x="1213"/>
        <item x="129"/>
        <item x="1800"/>
        <item x="237"/>
        <item x="1328"/>
        <item x="1885"/>
        <item x="88"/>
        <item x="11"/>
        <item x="324"/>
        <item x="1756"/>
        <item x="618"/>
        <item x="348"/>
        <item x="1795"/>
        <item x="789"/>
        <item x="812"/>
        <item x="1018"/>
        <item x="454"/>
        <item x="1676"/>
        <item x="81"/>
        <item x="762"/>
        <item x="1078"/>
        <item x="683"/>
        <item x="1845"/>
        <item x="804"/>
        <item x="679"/>
        <item x="1813"/>
        <item x="1960"/>
        <item x="1345"/>
        <item x="220"/>
        <item x="463"/>
        <item x="1434"/>
        <item x="1527"/>
        <item x="1040"/>
        <item x="1308"/>
        <item x="376"/>
        <item x="569"/>
        <item x="448"/>
        <item x="1255"/>
        <item x="291"/>
        <item x="164"/>
        <item x="216"/>
        <item x="909"/>
        <item x="292"/>
        <item x="1772"/>
        <item x="1158"/>
        <item x="26"/>
        <item x="1246"/>
        <item x="1509"/>
        <item x="1145"/>
        <item x="419"/>
        <item x="1708"/>
        <item x="753"/>
        <item x="1684"/>
        <item x="1105"/>
        <item x="1326"/>
        <item x="1410"/>
        <item x="1177"/>
        <item x="1722"/>
        <item x="1615"/>
        <item x="269"/>
        <item x="1556"/>
        <item x="676"/>
        <item x="1531"/>
        <item x="1010"/>
        <item x="1322"/>
        <item x="358"/>
        <item x="1627"/>
        <item x="1593"/>
        <item x="1430"/>
        <item x="1812"/>
        <item x="68"/>
        <item x="1779"/>
        <item x="1700"/>
        <item x="670"/>
        <item x="306"/>
        <item x="1595"/>
        <item x="1912"/>
        <item x="144"/>
        <item x="402"/>
        <item x="1451"/>
        <item x="1518"/>
        <item x="101"/>
        <item x="1903"/>
        <item x="1610"/>
        <item x="1649"/>
        <item x="1267"/>
        <item x="836"/>
        <item x="998"/>
        <item x="1966"/>
        <item x="1561"/>
        <item x="1498"/>
        <item x="1958"/>
        <item x="950"/>
        <item x="1405"/>
        <item x="1837"/>
        <item x="1074"/>
        <item x="3"/>
        <item x="386"/>
        <item x="382"/>
        <item x="1182"/>
        <item x="1628"/>
        <item x="1123"/>
        <item x="1555"/>
        <item x="1808"/>
        <item x="1973"/>
        <item x="1200"/>
        <item x="883"/>
        <item x="427"/>
        <item x="848"/>
        <item x="1731"/>
        <item x="659"/>
        <item x="1230"/>
        <item x="996"/>
        <item x="1190"/>
        <item x="1452"/>
        <item x="74"/>
        <item x="1022"/>
        <item x="734"/>
        <item x="1743"/>
        <item x="1128"/>
        <item x="397"/>
        <item x="678"/>
        <item x="1127"/>
        <item x="191"/>
        <item x="1748"/>
        <item x="1342"/>
        <item x="1135"/>
        <item x="1027"/>
        <item x="533"/>
        <item x="439"/>
        <item x="1289"/>
        <item x="1016"/>
        <item x="1159"/>
        <item x="1954"/>
        <item x="1168"/>
        <item x="250"/>
        <item x="443"/>
        <item x="1364"/>
        <item x="1726"/>
        <item x="1761"/>
        <item x="1503"/>
        <item x="1693"/>
        <item x="939"/>
        <item x="1741"/>
        <item x="525"/>
        <item x="136"/>
        <item x="64"/>
        <item x="1758"/>
        <item x="1362"/>
        <item x="226"/>
        <item x="1969"/>
        <item x="1728"/>
        <item x="293"/>
        <item x="751"/>
        <item x="1856"/>
        <item x="1183"/>
        <item x="1401"/>
        <item x="1300"/>
        <item x="141"/>
        <item x="1643"/>
        <item x="842"/>
        <item x="1083"/>
        <item x="1455"/>
        <item x="542"/>
        <item x="1801"/>
        <item x="1964"/>
        <item x="409"/>
        <item x="316"/>
        <item x="607"/>
        <item x="575"/>
        <item x="1087"/>
        <item x="523"/>
        <item x="599"/>
        <item x="791"/>
        <item x="988"/>
        <item x="1378"/>
        <item x="1580"/>
        <item x="875"/>
        <item x="1348"/>
        <item x="1698"/>
        <item x="701"/>
        <item x="940"/>
        <item x="1614"/>
        <item x="1968"/>
        <item x="166"/>
        <item x="1760"/>
        <item x="935"/>
        <item x="1540"/>
        <item x="312"/>
        <item x="401"/>
        <item x="437"/>
        <item x="1402"/>
        <item x="929"/>
        <item x="495"/>
        <item x="1911"/>
        <item x="105"/>
        <item x="715"/>
        <item x="1547"/>
        <item x="345"/>
        <item x="1665"/>
        <item x="27"/>
        <item x="516"/>
        <item x="114"/>
        <item x="1413"/>
        <item x="238"/>
        <item x="1688"/>
        <item x="982"/>
        <item x="270"/>
        <item x="1313"/>
        <item x="625"/>
        <item x="227"/>
        <item x="1428"/>
        <item x="788"/>
        <item x="285"/>
        <item x="790"/>
        <item x="1935"/>
        <item x="1796"/>
        <item x="1525"/>
        <item x="1776"/>
        <item x="1777"/>
        <item x="1097"/>
        <item x="923"/>
        <item x="173"/>
        <item x="1554"/>
        <item x="1234"/>
        <item x="671"/>
        <item x="1536"/>
        <item x="895"/>
        <item x="1290"/>
        <item x="1208"/>
        <item x="260"/>
        <item x="168"/>
        <item x="1468"/>
        <item x="714"/>
        <item x="40"/>
        <item x="1347"/>
        <item x="626"/>
        <item x="1924"/>
        <item x="622"/>
        <item x="901"/>
        <item x="1161"/>
        <item x="506"/>
        <item x="535"/>
        <item x="1635"/>
        <item x="669"/>
        <item x="230"/>
        <item x="1149"/>
        <item x="861"/>
        <item x="9"/>
        <item x="55"/>
        <item x="1212"/>
        <item x="1625"/>
        <item x="643"/>
        <item x="1000"/>
        <item x="1944"/>
        <item x="1824"/>
        <item x="436"/>
        <item x="1192"/>
        <item x="1268"/>
        <item x="1033"/>
        <item x="1840"/>
        <item x="589"/>
        <item x="1425"/>
        <item x="1908"/>
        <item x="1360"/>
        <item x="207"/>
        <item x="423"/>
        <item x="903"/>
        <item x="780"/>
        <item x="1799"/>
        <item x="1169"/>
        <item x="34"/>
        <item x="1524"/>
        <item x="991"/>
        <item x="1952"/>
        <item x="1431"/>
        <item x="722"/>
        <item x="62"/>
        <item x="1079"/>
        <item x="1315"/>
        <item x="1026"/>
        <item x="1751"/>
        <item x="652"/>
        <item x="918"/>
        <item x="1978"/>
        <item x="331"/>
        <item x="152"/>
        <item x="754"/>
        <item x="1162"/>
        <item x="90"/>
        <item x="1975"/>
        <item x="1818"/>
        <item x="613"/>
        <item x="1704"/>
        <item x="446"/>
        <item x="362"/>
        <item x="1681"/>
        <item x="248"/>
        <item x="560"/>
        <item x="1014"/>
        <item x="1506"/>
        <item x="196"/>
        <item x="644"/>
        <item x="434"/>
        <item x="1631"/>
        <item x="1084"/>
        <item x="1504"/>
        <item x="1001"/>
        <item x="948"/>
        <item x="603"/>
        <item x="1548"/>
        <item x="1011"/>
        <item x="165"/>
        <item x="295"/>
        <item x="1049"/>
        <item x="1465"/>
        <item x="908"/>
        <item x="913"/>
        <item x="10"/>
        <item x="1377"/>
        <item x="410"/>
        <item x="1039"/>
        <item x="1406"/>
        <item x="1110"/>
        <item x="328"/>
        <item x="805"/>
        <item x="1492"/>
        <item x="1654"/>
        <item x="1280"/>
        <item x="1133"/>
        <item x="876"/>
        <item x="667"/>
        <item x="598"/>
        <item x="1477"/>
        <item x="1849"/>
        <item x="368"/>
        <item x="871"/>
        <item x="124"/>
        <item x="1036"/>
        <item x="1811"/>
        <item x="1936"/>
        <item x="18"/>
        <item x="93"/>
        <item x="1763"/>
        <item x="178"/>
        <item x="1711"/>
        <item x="719"/>
        <item x="649"/>
        <item x="1712"/>
        <item x="229"/>
        <item x="479"/>
        <item x="887"/>
        <item x="1803"/>
        <item x="142"/>
        <item x="400"/>
        <item x="421"/>
        <item x="1784"/>
        <item x="1119"/>
        <item x="590"/>
        <item x="1043"/>
        <item x="1221"/>
        <item x="280"/>
        <item x="1768"/>
        <item x="487"/>
        <item x="673"/>
        <item x="1888"/>
        <item x="1447"/>
        <item x="47"/>
        <item x="846"/>
        <item x="1325"/>
        <item x="924"/>
        <item x="1904"/>
        <item x="501"/>
        <item x="1549"/>
        <item x="976"/>
        <item x="111"/>
        <item x="195"/>
        <item x="97"/>
        <item x="79"/>
        <item x="1835"/>
        <item x="1672"/>
        <item x="193"/>
        <item x="366"/>
        <item x="300"/>
        <item x="1314"/>
        <item x="271"/>
        <item x="582"/>
        <item x="1278"/>
        <item x="1120"/>
        <item x="1034"/>
        <item x="1648"/>
        <item x="926"/>
        <item x="304"/>
        <item x="1766"/>
        <item x="255"/>
        <item x="970"/>
        <item x="1379"/>
        <item x="119"/>
        <item x="1502"/>
        <item x="45"/>
        <item x="621"/>
        <item x="592"/>
        <item x="974"/>
        <item x="1557"/>
        <item x="1227"/>
        <item x="1224"/>
        <item x="1366"/>
        <item x="718"/>
        <item x="91"/>
        <item x="407"/>
        <item x="1052"/>
        <item x="480"/>
        <item x="132"/>
        <item x="596"/>
        <item x="1858"/>
        <item x="1884"/>
        <item x="19"/>
        <item x="388"/>
        <item x="1082"/>
        <item x="405"/>
        <item x="380"/>
        <item x="240"/>
        <item x="1038"/>
        <item x="700"/>
        <item x="1651"/>
        <item x="371"/>
        <item x="1730"/>
        <item x="1144"/>
        <item x="1059"/>
        <item x="1927"/>
        <item x="172"/>
        <item x="54"/>
        <item x="1767"/>
        <item x="1590"/>
        <item x="731"/>
        <item x="902"/>
        <item x="765"/>
        <item x="906"/>
        <item x="787"/>
        <item x="355"/>
        <item x="1601"/>
        <item x="1176"/>
        <item x="1150"/>
        <item x="844"/>
        <item x="1786"/>
        <item x="949"/>
        <item x="138"/>
        <item x="888"/>
        <item x="365"/>
        <item x="511"/>
        <item x="182"/>
        <item x="815"/>
        <item x="793"/>
        <item x="1032"/>
        <item x="1854"/>
        <item x="1089"/>
        <item x="42"/>
        <item x="1446"/>
        <item x="774"/>
        <item x="1384"/>
        <item x="956"/>
        <item x="960"/>
        <item x="1846"/>
        <item x="1657"/>
        <item x="1189"/>
        <item x="869"/>
        <item x="1417"/>
        <item x="1582"/>
        <item x="797"/>
        <item x="882"/>
        <item x="1599"/>
        <item x="1080"/>
        <item x="1925"/>
        <item x="1104"/>
        <item x="630"/>
        <item x="33"/>
        <item x="628"/>
        <item x="1301"/>
        <item x="580"/>
        <item x="422"/>
        <item x="1905"/>
        <item x="1572"/>
        <item x="347"/>
        <item x="1608"/>
        <item x="567"/>
        <item x="1645"/>
        <item x="444"/>
        <item x="588"/>
        <item x="1574"/>
        <item x="971"/>
        <item x="510"/>
        <item x="856"/>
        <item x="393"/>
        <item x="1814"/>
        <item x="1352"/>
        <item x="1073"/>
        <item x="1750"/>
        <item x="1570"/>
        <item x="1307"/>
        <item x="1197"/>
        <item x="528"/>
        <item x="1787"/>
        <item x="36"/>
        <item x="1444"/>
        <item x="1473"/>
        <item x="1662"/>
        <item x="743"/>
        <item x="568"/>
        <item x="574"/>
        <item x="1098"/>
        <item x="1755"/>
        <item x="821"/>
        <item x="428"/>
        <item x="1321"/>
        <item x="1866"/>
        <item x="392"/>
        <item x="927"/>
        <item x="807"/>
        <item x="1460"/>
        <item x="822"/>
        <item x="1512"/>
        <item x="499"/>
        <item x="38"/>
        <item x="1193"/>
        <item x="244"/>
        <item x="545"/>
        <item x="1706"/>
        <item x="1249"/>
        <item x="1581"/>
        <item x="601"/>
        <item x="919"/>
        <item x="176"/>
        <item x="726"/>
        <item x="188"/>
        <item x="1587"/>
        <item x="1421"/>
        <item x="1340"/>
        <item x="1972"/>
        <item x="1435"/>
        <item x="1055"/>
        <item x="1134"/>
        <item x="1774"/>
        <item x="1736"/>
        <item x="289"/>
        <item x="335"/>
        <item x="952"/>
        <item x="1489"/>
        <item x="597"/>
        <item x="803"/>
        <item x="394"/>
        <item x="1702"/>
        <item x="1816"/>
        <item x="379"/>
        <item x="674"/>
        <item x="1045"/>
        <item x="531"/>
        <item x="1007"/>
        <item x="224"/>
        <item x="1240"/>
        <item x="1714"/>
        <item x="799"/>
        <item x="1869"/>
        <item x="1254"/>
        <item x="1515"/>
        <item x="1600"/>
        <item x="541"/>
        <item x="1660"/>
        <item x="994"/>
        <item x="1752"/>
        <item x="1839"/>
        <item x="169"/>
        <item x="1754"/>
        <item x="1773"/>
        <item x="863"/>
        <item x="313"/>
        <item x="467"/>
        <item x="690"/>
        <item x="1203"/>
        <item x="1780"/>
        <item x="1003"/>
        <item x="566"/>
        <item x="1457"/>
        <item x="1713"/>
        <item x="0"/>
        <item x="1353"/>
        <item x="1542"/>
        <item x="336"/>
        <item x="1066"/>
        <item x="327"/>
        <item x="1385"/>
        <item x="656"/>
        <item x="1485"/>
        <item x="1757"/>
        <item x="1403"/>
        <item x="1243"/>
        <item x="1266"/>
        <item x="1251"/>
        <item x="1102"/>
        <item x="1929"/>
        <item x="1860"/>
        <item x="1583"/>
        <item x="1031"/>
        <item x="1619"/>
        <item x="775"/>
        <item x="894"/>
        <item x="1707"/>
        <item x="896"/>
        <item x="1334"/>
        <item x="1490"/>
        <item x="1346"/>
        <item x="1571"/>
        <item x="1765"/>
        <item x="1720"/>
        <item x="556"/>
        <item x="1350"/>
        <item x="1248"/>
        <item x="1950"/>
        <item x="604"/>
        <item x="504"/>
        <item x="1847"/>
        <item x="1598"/>
        <item x="573"/>
        <item x="892"/>
        <item x="309"/>
        <item x="773"/>
        <item x="740"/>
        <item x="639"/>
        <item x="1198"/>
        <item x="30"/>
        <item x="1368"/>
        <item x="109"/>
        <item x="910"/>
        <item x="1293"/>
        <item x="687"/>
        <item x="1017"/>
        <item x="1918"/>
        <item x="682"/>
        <item x="1831"/>
        <item x="228"/>
        <item x="1214"/>
        <item x="1805"/>
        <item x="246"/>
        <item x="1217"/>
        <item x="1094"/>
        <item x="496"/>
        <item x="1937"/>
        <item x="252"/>
        <item x="107"/>
        <item x="170"/>
        <item x="1184"/>
        <item x="1298"/>
        <item x="465"/>
        <item x="1143"/>
        <item x="1387"/>
        <item x="1171"/>
        <item x="95"/>
        <item x="917"/>
        <item x="485"/>
        <item x="1852"/>
        <item x="414"/>
        <item x="1442"/>
        <item x="870"/>
        <item x="203"/>
        <item x="320"/>
        <item x="1355"/>
        <item x="87"/>
        <item x="1335"/>
        <item x="828"/>
        <item x="1970"/>
        <item x="1508"/>
        <item x="1875"/>
        <item x="1759"/>
        <item x="1068"/>
        <item x="1523"/>
        <item x="1225"/>
        <item x="1705"/>
        <item x="396"/>
        <item x="432"/>
        <item x="1093"/>
        <item x="1382"/>
        <item x="1285"/>
        <item x="1258"/>
        <item x="1980"/>
        <item x="155"/>
        <item x="302"/>
        <item x="435"/>
        <item x="1223"/>
        <item x="1062"/>
        <item x="1356"/>
        <item x="1030"/>
        <item x="146"/>
        <item x="1851"/>
        <item x="713"/>
        <item x="1566"/>
        <item x="326"/>
        <item x="759"/>
        <item x="140"/>
        <item x="122"/>
        <item x="254"/>
        <item x="1367"/>
        <item x="1778"/>
        <item x="513"/>
        <item x="1653"/>
        <item x="1804"/>
        <item x="384"/>
        <item x="1416"/>
        <item x="1630"/>
        <item x="1187"/>
        <item x="1534"/>
        <item x="1130"/>
        <item x="658"/>
        <item x="1819"/>
        <item x="303"/>
        <item x="1850"/>
        <item x="1848"/>
        <item x="1369"/>
        <item x="418"/>
        <item x="1139"/>
        <item x="886"/>
        <item x="245"/>
        <item x="688"/>
        <item x="1057"/>
        <item x="186"/>
        <item x="963"/>
        <item x="1878"/>
        <item x="391"/>
        <item x="118"/>
        <item x="1072"/>
        <item x="167"/>
        <item x="430"/>
        <item x="1629"/>
        <item x="1291"/>
        <item x="1220"/>
        <item x="133"/>
        <item x="975"/>
        <item x="600"/>
        <item x="415"/>
        <item x="94"/>
        <item x="1959"/>
        <item x="1882"/>
        <item x="1395"/>
        <item x="889"/>
        <item x="106"/>
        <item x="1306"/>
        <item x="736"/>
        <item x="925"/>
        <item x="977"/>
        <item x="801"/>
        <item x="1427"/>
        <item x="482"/>
        <item x="1116"/>
        <item x="1218"/>
        <item x="1552"/>
        <item x="315"/>
        <item x="1363"/>
        <item x="594"/>
        <item x="1511"/>
        <item x="1065"/>
        <item x="44"/>
        <item x="1299"/>
        <item x="77"/>
        <item x="1412"/>
        <item x="867"/>
        <item x="1775"/>
        <item x="1064"/>
        <item x="86"/>
        <item x="1725"/>
        <item x="943"/>
        <item x="1853"/>
        <item x="1327"/>
        <item x="798"/>
        <item x="1832"/>
        <item x="1107"/>
        <item x="73"/>
        <item x="459"/>
        <item x="1481"/>
        <item x="1892"/>
        <item x="1424"/>
        <item x="1533"/>
        <item x="20"/>
        <item x="278"/>
        <item x="853"/>
        <item x="878"/>
        <item x="1391"/>
        <item x="1480"/>
        <item x="456"/>
        <item x="781"/>
        <item x="527"/>
        <item x="524"/>
        <item x="1528"/>
        <item x="1020"/>
        <item x="301"/>
        <item x="1920"/>
        <item x="769"/>
        <item x="686"/>
        <item x="1734"/>
        <item x="1005"/>
        <item x="721"/>
        <item x="162"/>
        <item x="346"/>
        <item x="1081"/>
        <item x="627"/>
        <item x="617"/>
        <item x="1829"/>
        <item x="1907"/>
        <item x="457"/>
        <item x="1876"/>
        <item x="645"/>
        <item x="71"/>
        <item x="898"/>
        <item x="1541"/>
        <item x="777"/>
        <item x="904"/>
        <item x="1961"/>
        <item x="565"/>
        <item x="1297"/>
        <item x="1718"/>
        <item x="631"/>
        <item x="1096"/>
        <item x="187"/>
        <item x="584"/>
        <item x="1589"/>
        <item x="1196"/>
        <item x="383"/>
        <item x="1259"/>
        <item x="1151"/>
        <item x="564"/>
        <item x="1296"/>
        <item x="1639"/>
        <item x="35"/>
        <item x="431"/>
        <item x="468"/>
        <item x="916"/>
        <item x="1747"/>
        <item x="502"/>
        <item x="984"/>
        <item x="61"/>
        <item x="771"/>
        <item x="897"/>
        <item x="1826"/>
        <item x="1129"/>
        <item x="80"/>
        <item x="1037"/>
        <item x="363"/>
        <item x="962"/>
        <item x="261"/>
        <item x="920"/>
        <item x="462"/>
        <item x="1281"/>
        <item x="816"/>
        <item x="322"/>
        <item x="1745"/>
        <item x="1488"/>
        <item x="947"/>
        <item x="364"/>
        <item x="478"/>
        <item x="570"/>
        <item x="82"/>
        <item x="1165"/>
        <item x="217"/>
        <item x="259"/>
        <item x="201"/>
        <item x="70"/>
        <item x="750"/>
        <item x="256"/>
        <item x="12"/>
        <item x="150"/>
        <item x="1930"/>
        <item x="361"/>
        <item x="1962"/>
        <item x="1923"/>
        <item x="1514"/>
        <item x="160"/>
        <item x="1454"/>
        <item x="646"/>
        <item x="1794"/>
        <item x="1185"/>
        <item x="951"/>
        <item x="834"/>
        <item x="1215"/>
        <item x="859"/>
        <item x="1530"/>
        <item x="928"/>
        <item x="1071"/>
        <item x="1449"/>
        <item x="693"/>
        <item x="543"/>
        <item x="1699"/>
        <item x="373"/>
        <item x="611"/>
        <item x="1632"/>
        <item x="212"/>
        <item x="1009"/>
        <item x="1981"/>
        <item x="1652"/>
        <item x="1783"/>
        <item x="1269"/>
        <item x="877"/>
        <item x="784"/>
        <item x="1365"/>
        <item x="441"/>
        <item x="357"/>
        <item x="23"/>
        <item x="1394"/>
        <item x="1141"/>
        <item x="572"/>
        <item x="197"/>
        <item x="1012"/>
        <item x="1887"/>
        <item x="1323"/>
        <item x="1002"/>
        <item x="232"/>
        <item x="282"/>
        <item x="24"/>
        <item x="1607"/>
        <item x="1642"/>
        <item x="1692"/>
        <item x="746"/>
        <item x="233"/>
        <item x="1782"/>
        <item x="1798"/>
        <item x="100"/>
        <item x="1114"/>
        <item x="1436"/>
        <item x="1496"/>
        <item x="1303"/>
        <item x="1276"/>
        <item x="249"/>
        <item x="1351"/>
        <item x="1467"/>
        <item x="1448"/>
        <item x="404"/>
        <item x="137"/>
        <item x="356"/>
        <item x="1456"/>
        <item x="1173"/>
        <item x="1764"/>
        <item x="305"/>
        <item x="1090"/>
        <item x="1898"/>
        <item x="837"/>
        <item x="521"/>
        <item x="1916"/>
        <item x="972"/>
        <item x="15"/>
        <item x="177"/>
        <item x="1476"/>
        <item x="334"/>
        <item x="1965"/>
        <item x="638"/>
        <item x="208"/>
        <item x="1286"/>
        <item x="1674"/>
        <item x="1578"/>
        <item x="1919"/>
        <item x="1324"/>
        <item x="1262"/>
        <item x="518"/>
        <item x="1252"/>
        <item x="547"/>
        <item x="472"/>
        <item x="1690"/>
        <item x="757"/>
        <item x="1721"/>
        <item x="983"/>
        <item x="937"/>
        <item x="539"/>
        <item x="266"/>
        <item x="893"/>
        <item x="1153"/>
        <item x="89"/>
        <item x="403"/>
        <item x="1432"/>
        <item x="28"/>
        <item x="1545"/>
        <item x="429"/>
        <item x="374"/>
        <item x="416"/>
        <item x="406"/>
        <item x="1538"/>
        <item x="1479"/>
        <item x="126"/>
        <item x="514"/>
        <item x="1271"/>
        <item x="958"/>
        <item x="936"/>
        <item x="1669"/>
        <item x="1044"/>
        <item x="1201"/>
        <item x="1604"/>
        <item x="1520"/>
        <item x="1738"/>
        <item x="508"/>
        <item x="995"/>
        <item x="586"/>
        <item x="961"/>
        <item x="1354"/>
        <item x="1740"/>
        <item x="1716"/>
        <item x="1092"/>
        <item x="1967"/>
        <item x="716"/>
        <item x="1439"/>
        <item x="1810"/>
        <item x="695"/>
        <item x="831"/>
        <item x="1500"/>
        <item x="1317"/>
        <item x="492"/>
        <item x="858"/>
        <item x="792"/>
        <item x="1807"/>
        <item x="1140"/>
        <item x="1358"/>
        <item x="1744"/>
        <item x="1375"/>
        <item x="874"/>
        <item x="1061"/>
        <item x="181"/>
        <item x="1895"/>
        <item x="1543"/>
        <item x="1118"/>
        <item x="263"/>
        <item x="473"/>
        <item x="1332"/>
        <item x="1491"/>
        <item x="153"/>
        <item x="59"/>
        <item x="661"/>
        <item x="953"/>
        <item x="529"/>
        <item x="1179"/>
        <item x="1188"/>
        <item x="1244"/>
        <item x="426"/>
        <item x="1671"/>
        <item x="1086"/>
        <item x="852"/>
        <item x="1381"/>
        <item x="58"/>
        <item x="1256"/>
        <item x="823"/>
        <item x="1319"/>
        <item x="665"/>
        <item x="609"/>
        <item x="1521"/>
        <item x="1373"/>
        <item x="1338"/>
        <item x="1272"/>
        <item x="494"/>
        <item x="1015"/>
        <item x="1443"/>
        <item x="161"/>
        <item x="1261"/>
        <item x="1178"/>
        <item x="1205"/>
        <item x="215"/>
        <item x="1626"/>
        <item x="1386"/>
        <item x="104"/>
        <item x="1035"/>
        <item x="1806"/>
        <item x="442"/>
        <item x="378"/>
        <item x="390"/>
        <item x="1279"/>
        <item x="850"/>
        <item x="1475"/>
        <item x="4"/>
        <item x="992"/>
        <item x="351"/>
        <item x="591"/>
        <item x="544"/>
        <item x="329"/>
        <item x="1257"/>
        <item x="1194"/>
        <item x="174"/>
        <item x="747"/>
        <item x="758"/>
        <item x="845"/>
        <item x="1154"/>
        <item x="1863"/>
        <item x="1191"/>
        <item x="1041"/>
        <item x="810"/>
        <item x="1273"/>
        <item x="1091"/>
        <item x="825"/>
        <item x="680"/>
        <item x="786"/>
        <item x="1519"/>
        <item x="581"/>
        <item x="1815"/>
        <item x="557"/>
        <item x="225"/>
        <item x="744"/>
        <item x="1871"/>
        <item x="1422"/>
        <item x="1463"/>
        <item x="1486"/>
        <item x="1270"/>
        <item x="1609"/>
        <item x="704"/>
        <item x="642"/>
        <item x="1245"/>
        <item x="1235"/>
        <item x="1099"/>
        <item x="1124"/>
        <item x="1483"/>
        <item x="1423"/>
        <item x="1624"/>
        <item x="921"/>
        <item x="25"/>
        <item x="1264"/>
        <item x="585"/>
        <item x="707"/>
        <item x="1125"/>
        <item x="1111"/>
        <item x="1407"/>
        <item x="281"/>
        <item x="689"/>
        <item x="1414"/>
        <item x="824"/>
        <item x="1517"/>
        <item x="1821"/>
        <item x="449"/>
        <item x="1513"/>
        <item x="1891"/>
        <item x="512"/>
        <item x="60"/>
        <item x="1294"/>
        <item x="268"/>
        <item x="955"/>
        <item x="827"/>
        <item x="1232"/>
        <item x="1076"/>
        <item x="21"/>
        <item x="980"/>
        <item x="1735"/>
        <item x="1678"/>
        <item x="553"/>
        <item x="1897"/>
        <item x="843"/>
        <item x="1680"/>
        <item x="615"/>
        <item x="1933"/>
        <item x="198"/>
        <item x="602"/>
        <item x="1597"/>
        <item x="711"/>
        <item x="1537"/>
        <item x="772"/>
        <item x="1922"/>
        <item x="183"/>
        <item x="1376"/>
        <item x="180"/>
        <item x="307"/>
        <item x="808"/>
        <item x="234"/>
        <item x="1771"/>
        <item x="685"/>
        <item x="1906"/>
        <item x="66"/>
        <item x="1658"/>
        <item x="242"/>
        <item x="1822"/>
        <item x="1539"/>
        <item x="593"/>
        <item x="37"/>
        <item x="1060"/>
        <item x="675"/>
        <item x="92"/>
        <item x="338"/>
        <item x="1108"/>
        <item x="251"/>
        <item x="1004"/>
        <item x="1567"/>
        <item x="879"/>
        <item x="1828"/>
        <item x="1459"/>
        <item x="98"/>
        <item x="483"/>
        <item x="458"/>
        <item x="477"/>
        <item x="635"/>
        <item x="76"/>
        <item x="1474"/>
        <item x="1453"/>
        <item x="1724"/>
        <item x="125"/>
        <item x="666"/>
        <item x="1564"/>
        <item x="1606"/>
        <item x="1668"/>
        <item x="194"/>
        <item x="1563"/>
        <item x="989"/>
        <item x="1174"/>
        <item x="1588"/>
        <item x="199"/>
        <item x="491"/>
        <item x="1209"/>
        <item x="536"/>
        <item x="1337"/>
        <item x="796"/>
        <item x="1526"/>
        <item x="662"/>
        <item x="1659"/>
        <item x="629"/>
        <item x="749"/>
        <item x="1309"/>
        <item x="554"/>
        <item x="1522"/>
        <item x="552"/>
        <item x="1383"/>
        <item x="63"/>
        <item x="1553"/>
        <item x="116"/>
        <item x="1295"/>
        <item x="987"/>
        <item x="1715"/>
        <item x="519"/>
        <item x="826"/>
        <item x="1167"/>
        <item x="1389"/>
        <item x="1546"/>
        <item x="202"/>
        <item x="1088"/>
        <item x="1710"/>
        <item x="1677"/>
        <item x="112"/>
        <item x="1634"/>
        <item x="247"/>
        <item x="1210"/>
        <item x="890"/>
        <item x="1228"/>
        <item x="691"/>
        <item x="239"/>
        <item x="67"/>
        <item x="794"/>
        <item x="1679"/>
        <item x="1505"/>
        <item x="1470"/>
        <item x="640"/>
        <item x="464"/>
        <item x="349"/>
        <item x="1791"/>
        <item x="134"/>
        <item x="1544"/>
        <item x="710"/>
        <item x="372"/>
        <item x="517"/>
        <item x="287"/>
        <item x="1137"/>
        <item x="550"/>
        <item x="838"/>
        <item x="221"/>
        <item x="387"/>
        <item x="1618"/>
        <item x="1565"/>
        <item x="484"/>
        <item x="1103"/>
        <item x="571"/>
        <item x="192"/>
        <item x="258"/>
        <item x="761"/>
        <item x="829"/>
        <item x="954"/>
        <item x="267"/>
        <item x="1942"/>
        <item x="748"/>
        <item x="1440"/>
        <item x="766"/>
        <item x="957"/>
        <item x="806"/>
        <item x="1739"/>
        <item x="733"/>
        <item x="1802"/>
        <item x="1868"/>
        <item x="1977"/>
        <item x="466"/>
        <item x="914"/>
        <item x="445"/>
        <item x="352"/>
        <item x="1551"/>
        <item x="663"/>
        <item x="65"/>
        <item x="778"/>
        <item x="1686"/>
        <item x="839"/>
        <item x="551"/>
        <item x="385"/>
        <item x="1077"/>
        <item x="451"/>
        <item x="223"/>
        <item x="257"/>
        <item x="413"/>
        <item x="147"/>
        <item x="500"/>
        <item x="123"/>
        <item x="377"/>
        <item x="1433"/>
        <item x="350"/>
        <item x="1008"/>
        <item x="650"/>
        <item x="389"/>
        <item x="275"/>
        <item x="1132"/>
        <item x="860"/>
        <item x="1263"/>
        <item x="632"/>
        <item x="1917"/>
        <item x="398"/>
        <item x="1409"/>
        <item x="1113"/>
        <item x="872"/>
        <item x="310"/>
        <item x="1331"/>
        <item x="206"/>
        <item x="835"/>
        <item x="1646"/>
        <item x="319"/>
        <item x="938"/>
        <item x="612"/>
        <item x="1823"/>
        <item x="471"/>
        <item x="1233"/>
        <item x="730"/>
        <item x="1894"/>
        <item x="1312"/>
        <item x="367"/>
        <item x="1896"/>
        <item x="817"/>
        <item x="1584"/>
        <item x="654"/>
        <item x="1"/>
        <item x="115"/>
        <item x="1656"/>
        <item x="1349"/>
        <item x="672"/>
        <item x="369"/>
        <item x="332"/>
        <item x="1605"/>
        <item x="117"/>
        <item x="288"/>
        <item x="2"/>
        <item x="540"/>
        <item x="175"/>
        <item x="641"/>
        <item x="968"/>
        <item x="121"/>
        <item x="1461"/>
        <item x="1616"/>
        <item x="1275"/>
        <item x="290"/>
        <item x="323"/>
        <item x="717"/>
        <item x="795"/>
        <item x="1579"/>
        <item x="139"/>
        <item x="490"/>
        <item x="213"/>
        <item x="1864"/>
        <item x="1913"/>
        <item x="1101"/>
        <item x="1827"/>
        <item x="729"/>
        <item x="1939"/>
        <item x="486"/>
        <item x="337"/>
        <item x="1138"/>
        <item x="460"/>
        <item x="1013"/>
        <item x="222"/>
        <item t="default"/>
      </items>
    </pivotField>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s>
  <rowFields count="2">
    <field x="15"/>
    <field x="14"/>
  </rowFields>
  <rowItems count="34">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t="grand">
      <x/>
    </i>
  </rowItems>
  <colFields count="1">
    <field x="-2"/>
  </colFields>
  <colItems count="2">
    <i>
      <x/>
    </i>
    <i i="1">
      <x v="1"/>
    </i>
  </colItems>
  <dataFields count="2">
    <dataField name="Total Sales" fld="13" baseField="0" baseItem="0"/>
    <dataField name="Total Quantity" fld="5" baseField="0" baseItem="0"/>
  </dataFields>
  <chartFormats count="10">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9" format="6" series="1">
      <pivotArea type="data" outline="0" fieldPosition="0">
        <references count="1">
          <reference field="4294967294" count="1" selected="0">
            <x v="0"/>
          </reference>
        </references>
      </pivotArea>
    </chartFormat>
    <chartFormat chart="19" format="7" series="1">
      <pivotArea type="data" outline="0" fieldPosition="0">
        <references count="1">
          <reference field="4294967294" count="1" selected="0">
            <x v="1"/>
          </reference>
        </references>
      </pivotArea>
    </chartFormat>
    <chartFormat chart="20" format="2"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1"/>
          </reference>
        </references>
      </pivotArea>
    </chartFormat>
    <chartFormat chart="21" format="4"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1"/>
          </reference>
        </references>
      </pivotArea>
    </chartFormat>
    <chartFormat chart="22" format="4" series="1">
      <pivotArea type="data" outline="0" fieldPosition="0">
        <references count="1">
          <reference field="4294967294" count="1" selected="0">
            <x v="0"/>
          </reference>
        </references>
      </pivotArea>
    </chartFormat>
    <chartFormat chart="2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5BEA1-A761-4F9F-A5CE-ED733F526308}" name="KPI_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16">
    <pivotField numFmtId="14" showAll="0">
      <items count="825">
        <item x="504"/>
        <item x="246"/>
        <item x="306"/>
        <item x="723"/>
        <item x="380"/>
        <item x="153"/>
        <item x="526"/>
        <item x="804"/>
        <item x="819"/>
        <item x="685"/>
        <item x="71"/>
        <item x="537"/>
        <item x="196"/>
        <item x="165"/>
        <item x="592"/>
        <item x="743"/>
        <item x="293"/>
        <item x="641"/>
        <item x="123"/>
        <item x="456"/>
        <item x="530"/>
        <item x="148"/>
        <item x="236"/>
        <item x="5"/>
        <item x="384"/>
        <item x="69"/>
        <item x="124"/>
        <item x="63"/>
        <item x="312"/>
        <item x="181"/>
        <item x="14"/>
        <item x="701"/>
        <item x="680"/>
        <item x="623"/>
        <item x="159"/>
        <item x="769"/>
        <item x="552"/>
        <item x="759"/>
        <item x="792"/>
        <item x="770"/>
        <item x="594"/>
        <item x="509"/>
        <item x="89"/>
        <item x="821"/>
        <item x="732"/>
        <item x="179"/>
        <item x="411"/>
        <item x="103"/>
        <item x="191"/>
        <item x="18"/>
        <item x="410"/>
        <item x="225"/>
        <item x="50"/>
        <item x="693"/>
        <item x="607"/>
        <item x="193"/>
        <item x="437"/>
        <item x="472"/>
        <item x="248"/>
        <item x="27"/>
        <item x="502"/>
        <item x="441"/>
        <item x="233"/>
        <item x="80"/>
        <item x="730"/>
        <item x="231"/>
        <item x="305"/>
        <item x="515"/>
        <item x="1"/>
        <item x="448"/>
        <item x="240"/>
        <item x="329"/>
        <item x="364"/>
        <item x="118"/>
        <item x="379"/>
        <item x="111"/>
        <item x="169"/>
        <item x="353"/>
        <item x="194"/>
        <item x="450"/>
        <item x="452"/>
        <item x="807"/>
        <item x="638"/>
        <item x="548"/>
        <item x="184"/>
        <item x="543"/>
        <item x="423"/>
        <item x="144"/>
        <item x="404"/>
        <item x="435"/>
        <item x="360"/>
        <item x="302"/>
        <item x="469"/>
        <item x="213"/>
        <item x="259"/>
        <item x="430"/>
        <item x="38"/>
        <item x="178"/>
        <item x="671"/>
        <item x="365"/>
        <item x="66"/>
        <item x="221"/>
        <item x="321"/>
        <item x="653"/>
        <item x="415"/>
        <item x="133"/>
        <item x="694"/>
        <item x="742"/>
        <item x="426"/>
        <item x="760"/>
        <item x="414"/>
        <item x="327"/>
        <item x="712"/>
        <item x="109"/>
        <item x="264"/>
        <item x="375"/>
        <item x="229"/>
        <item x="647"/>
        <item x="145"/>
        <item x="336"/>
        <item x="566"/>
        <item x="244"/>
        <item x="735"/>
        <item x="398"/>
        <item x="53"/>
        <item x="67"/>
        <item x="242"/>
        <item x="517"/>
        <item x="122"/>
        <item x="74"/>
        <item x="484"/>
        <item x="611"/>
        <item x="174"/>
        <item x="152"/>
        <item x="177"/>
        <item x="370"/>
        <item x="161"/>
        <item x="114"/>
        <item x="352"/>
        <item x="354"/>
        <item x="427"/>
        <item x="752"/>
        <item x="17"/>
        <item x="787"/>
        <item x="326"/>
        <item x="711"/>
        <item x="316"/>
        <item x="464"/>
        <item x="320"/>
        <item x="564"/>
        <item x="198"/>
        <item x="490"/>
        <item x="190"/>
        <item x="76"/>
        <item x="82"/>
        <item x="220"/>
        <item x="166"/>
        <item x="250"/>
        <item x="428"/>
        <item x="396"/>
        <item x="681"/>
        <item x="214"/>
        <item x="622"/>
        <item x="176"/>
        <item x="604"/>
        <item x="631"/>
        <item x="237"/>
        <item x="586"/>
        <item x="132"/>
        <item x="201"/>
        <item x="121"/>
        <item x="434"/>
        <item x="60"/>
        <item x="745"/>
        <item x="438"/>
        <item x="531"/>
        <item x="741"/>
        <item x="217"/>
        <item x="731"/>
        <item x="447"/>
        <item x="779"/>
        <item x="348"/>
        <item x="160"/>
        <item x="562"/>
        <item x="75"/>
        <item x="288"/>
        <item x="767"/>
        <item x="19"/>
        <item x="506"/>
        <item x="713"/>
        <item x="806"/>
        <item x="318"/>
        <item x="22"/>
        <item x="618"/>
        <item x="637"/>
        <item x="761"/>
        <item x="219"/>
        <item x="781"/>
        <item x="222"/>
        <item x="418"/>
        <item x="704"/>
        <item x="675"/>
        <item x="7"/>
        <item x="698"/>
        <item x="809"/>
        <item x="192"/>
        <item x="577"/>
        <item x="818"/>
        <item x="315"/>
        <item x="626"/>
        <item x="803"/>
        <item x="296"/>
        <item x="62"/>
        <item x="274"/>
        <item x="343"/>
        <item x="359"/>
        <item x="579"/>
        <item x="514"/>
        <item x="588"/>
        <item x="202"/>
        <item x="59"/>
        <item x="345"/>
        <item x="466"/>
        <item x="106"/>
        <item x="9"/>
        <item x="496"/>
        <item x="613"/>
        <item x="660"/>
        <item x="211"/>
        <item x="569"/>
        <item x="356"/>
        <item x="798"/>
        <item x="811"/>
        <item x="270"/>
        <item x="10"/>
        <item x="155"/>
        <item x="425"/>
        <item x="16"/>
        <item x="610"/>
        <item x="299"/>
        <item x="656"/>
        <item x="212"/>
        <item x="593"/>
        <item x="483"/>
        <item x="740"/>
        <item x="495"/>
        <item x="482"/>
        <item x="341"/>
        <item x="739"/>
        <item x="238"/>
        <item x="521"/>
        <item x="137"/>
        <item x="550"/>
        <item x="30"/>
        <item x="57"/>
        <item x="251"/>
        <item x="527"/>
        <item x="207"/>
        <item x="20"/>
        <item x="688"/>
        <item x="254"/>
        <item x="317"/>
        <item x="230"/>
        <item x="708"/>
        <item x="573"/>
        <item x="574"/>
        <item x="673"/>
        <item x="29"/>
        <item x="810"/>
        <item x="115"/>
        <item x="697"/>
        <item x="669"/>
        <item x="442"/>
        <item x="171"/>
        <item x="763"/>
        <item x="812"/>
        <item x="788"/>
        <item x="720"/>
        <item x="64"/>
        <item x="157"/>
        <item x="51"/>
        <item x="366"/>
        <item x="215"/>
        <item x="187"/>
        <item x="223"/>
        <item x="322"/>
        <item x="61"/>
        <item x="290"/>
        <item x="620"/>
        <item x="172"/>
        <item x="692"/>
        <item x="532"/>
        <item x="719"/>
        <item x="292"/>
        <item x="536"/>
        <item x="471"/>
        <item x="519"/>
        <item x="776"/>
        <item x="158"/>
        <item x="505"/>
        <item x="337"/>
        <item x="140"/>
        <item x="445"/>
        <item x="313"/>
        <item x="47"/>
        <item x="439"/>
        <item x="108"/>
        <item x="705"/>
        <item x="486"/>
        <item x="314"/>
        <item x="6"/>
        <item x="308"/>
        <item x="749"/>
        <item x="403"/>
        <item x="683"/>
        <item x="580"/>
        <item x="762"/>
        <item x="565"/>
        <item x="339"/>
        <item x="420"/>
        <item x="350"/>
        <item x="563"/>
        <item x="358"/>
        <item x="632"/>
        <item x="646"/>
        <item x="374"/>
        <item x="335"/>
        <item x="130"/>
        <item x="657"/>
        <item x="273"/>
        <item x="284"/>
        <item x="42"/>
        <item x="325"/>
        <item x="164"/>
        <item x="540"/>
        <item x="629"/>
        <item x="68"/>
        <item x="263"/>
        <item x="545"/>
        <item x="652"/>
        <item x="432"/>
        <item x="755"/>
        <item x="382"/>
        <item x="758"/>
        <item x="338"/>
        <item x="738"/>
        <item x="475"/>
        <item x="780"/>
        <item x="628"/>
        <item x="272"/>
        <item x="664"/>
        <item x="707"/>
        <item x="101"/>
        <item x="710"/>
        <item x="41"/>
        <item x="800"/>
        <item x="146"/>
        <item x="15"/>
        <item x="33"/>
        <item x="820"/>
        <item x="765"/>
        <item x="138"/>
        <item x="393"/>
        <item x="714"/>
        <item x="616"/>
        <item x="409"/>
        <item x="78"/>
        <item x="24"/>
        <item x="85"/>
        <item x="387"/>
        <item x="11"/>
        <item x="113"/>
        <item x="319"/>
        <item x="134"/>
        <item x="88"/>
        <item x="582"/>
        <item x="294"/>
        <item x="578"/>
        <item x="751"/>
        <item x="125"/>
        <item x="408"/>
        <item x="110"/>
        <item x="756"/>
        <item x="591"/>
        <item x="271"/>
        <item x="600"/>
        <item x="344"/>
        <item x="518"/>
        <item x="170"/>
        <item x="304"/>
        <item x="46"/>
        <item x="129"/>
        <item x="468"/>
        <item x="334"/>
        <item x="553"/>
        <item x="226"/>
        <item x="662"/>
        <item x="783"/>
        <item x="127"/>
        <item x="796"/>
        <item x="596"/>
        <item x="173"/>
        <item x="49"/>
        <item x="107"/>
        <item x="503"/>
        <item x="183"/>
        <item x="303"/>
        <item x="525"/>
        <item x="511"/>
        <item x="757"/>
        <item x="606"/>
        <item x="725"/>
        <item x="0"/>
        <item x="268"/>
        <item x="619"/>
        <item x="381"/>
        <item x="397"/>
        <item x="639"/>
        <item x="687"/>
        <item x="260"/>
        <item x="451"/>
        <item x="331"/>
        <item x="510"/>
        <item x="571"/>
        <item x="141"/>
        <item x="487"/>
        <item x="630"/>
        <item x="689"/>
        <item x="256"/>
        <item x="663"/>
        <item x="686"/>
        <item x="659"/>
        <item x="278"/>
        <item x="116"/>
        <item x="750"/>
        <item x="255"/>
        <item x="2"/>
        <item x="206"/>
        <item x="538"/>
        <item x="678"/>
        <item x="104"/>
        <item x="773"/>
        <item x="309"/>
        <item x="156"/>
        <item x="93"/>
        <item x="651"/>
        <item x="112"/>
        <item x="436"/>
        <item x="609"/>
        <item x="54"/>
        <item x="422"/>
        <item x="367"/>
        <item x="474"/>
        <item x="8"/>
        <item x="342"/>
        <item x="822"/>
        <item x="285"/>
        <item x="465"/>
        <item x="416"/>
        <item x="440"/>
        <item x="383"/>
        <item x="182"/>
        <item x="587"/>
        <item x="677"/>
        <item x="516"/>
        <item x="706"/>
        <item x="43"/>
        <item x="392"/>
        <item x="199"/>
        <item x="774"/>
        <item x="823"/>
        <item x="257"/>
        <item x="555"/>
        <item x="431"/>
        <item x="203"/>
        <item x="764"/>
        <item x="535"/>
        <item x="330"/>
        <item x="533"/>
        <item x="400"/>
        <item x="4"/>
        <item x="32"/>
        <item x="667"/>
        <item x="39"/>
        <item x="40"/>
        <item x="598"/>
        <item x="413"/>
        <item x="777"/>
        <item x="766"/>
        <item x="793"/>
        <item x="249"/>
        <item x="210"/>
        <item x="388"/>
        <item x="557"/>
        <item x="349"/>
        <item x="90"/>
        <item x="281"/>
        <item x="205"/>
        <item x="801"/>
        <item x="399"/>
        <item x="700"/>
        <item x="412"/>
        <item x="539"/>
        <item x="310"/>
        <item x="668"/>
        <item x="737"/>
        <item x="126"/>
        <item x="676"/>
        <item x="696"/>
        <item x="368"/>
        <item x="597"/>
        <item x="91"/>
        <item x="568"/>
        <item x="265"/>
        <item x="295"/>
        <item x="83"/>
        <item x="346"/>
        <item x="401"/>
        <item x="94"/>
        <item x="70"/>
        <item x="347"/>
        <item x="389"/>
        <item x="498"/>
        <item x="142"/>
        <item x="92"/>
        <item x="23"/>
        <item x="277"/>
        <item x="154"/>
        <item x="150"/>
        <item x="633"/>
        <item x="709"/>
        <item x="726"/>
        <item x="37"/>
        <item x="599"/>
        <item x="136"/>
        <item x="340"/>
        <item x="77"/>
        <item x="590"/>
        <item x="185"/>
        <item x="361"/>
        <item x="21"/>
        <item x="276"/>
        <item x="462"/>
        <item x="799"/>
        <item x="640"/>
        <item x="218"/>
        <item x="721"/>
        <item x="478"/>
        <item x="666"/>
        <item x="753"/>
        <item x="117"/>
        <item x="286"/>
        <item x="289"/>
        <item x="175"/>
        <item x="546"/>
        <item x="287"/>
        <item x="635"/>
        <item x="625"/>
        <item x="458"/>
        <item x="444"/>
        <item x="544"/>
        <item x="12"/>
        <item x="151"/>
        <item x="575"/>
        <item x="247"/>
        <item x="624"/>
        <item x="386"/>
        <item x="523"/>
        <item x="605"/>
        <item x="729"/>
        <item x="570"/>
        <item x="262"/>
        <item x="307"/>
        <item x="332"/>
        <item x="252"/>
        <item x="817"/>
        <item x="323"/>
        <item x="791"/>
        <item x="556"/>
        <item x="561"/>
        <item x="391"/>
        <item x="679"/>
        <item x="699"/>
        <item x="73"/>
        <item x="672"/>
        <item x="460"/>
        <item x="786"/>
        <item x="528"/>
        <item x="494"/>
        <item x="216"/>
        <item x="253"/>
        <item x="815"/>
        <item x="279"/>
        <item x="224"/>
        <item x="655"/>
        <item x="186"/>
        <item x="784"/>
        <item x="209"/>
        <item x="261"/>
        <item x="79"/>
        <item x="805"/>
        <item x="35"/>
        <item x="429"/>
        <item x="163"/>
        <item x="559"/>
        <item x="96"/>
        <item x="433"/>
        <item x="727"/>
        <item x="507"/>
        <item x="395"/>
        <item x="84"/>
        <item x="394"/>
        <item x="72"/>
        <item x="390"/>
        <item x="467"/>
        <item x="131"/>
        <item x="508"/>
        <item x="541"/>
        <item x="491"/>
        <item x="782"/>
        <item x="733"/>
        <item x="617"/>
        <item x="139"/>
        <item x="372"/>
        <item x="301"/>
        <item x="328"/>
        <item x="232"/>
        <item x="48"/>
        <item x="376"/>
        <item x="300"/>
        <item x="324"/>
        <item x="549"/>
        <item x="691"/>
        <item x="135"/>
        <item x="585"/>
        <item x="529"/>
        <item x="189"/>
        <item x="644"/>
        <item x="642"/>
        <item x="243"/>
        <item x="188"/>
        <item x="477"/>
        <item x="808"/>
        <item x="56"/>
        <item x="421"/>
        <item x="195"/>
        <item x="634"/>
        <item x="31"/>
        <item x="405"/>
        <item x="771"/>
        <item x="128"/>
        <item x="34"/>
        <item x="650"/>
        <item x="446"/>
        <item x="736"/>
        <item x="612"/>
        <item x="234"/>
        <item x="95"/>
        <item x="814"/>
        <item x="424"/>
        <item x="682"/>
        <item x="665"/>
        <item x="97"/>
        <item x="235"/>
        <item x="542"/>
        <item x="167"/>
        <item x="55"/>
        <item x="744"/>
        <item x="362"/>
        <item x="333"/>
        <item x="453"/>
        <item x="197"/>
        <item x="572"/>
        <item x="778"/>
        <item x="589"/>
        <item x="204"/>
        <item x="297"/>
        <item x="560"/>
        <item x="621"/>
        <item x="715"/>
        <item x="149"/>
        <item x="25"/>
        <item x="500"/>
        <item x="567"/>
        <item x="105"/>
        <item x="52"/>
        <item x="512"/>
        <item x="789"/>
        <item x="351"/>
        <item x="558"/>
        <item x="480"/>
        <item x="98"/>
        <item x="369"/>
        <item x="208"/>
        <item x="499"/>
        <item x="658"/>
        <item x="3"/>
        <item x="724"/>
        <item x="406"/>
        <item x="797"/>
        <item x="534"/>
        <item x="795"/>
        <item x="280"/>
        <item x="501"/>
        <item x="245"/>
        <item x="455"/>
        <item x="119"/>
        <item x="584"/>
        <item x="695"/>
        <item x="716"/>
        <item x="443"/>
        <item x="58"/>
        <item x="702"/>
        <item x="481"/>
        <item x="703"/>
        <item x="615"/>
        <item x="485"/>
        <item x="65"/>
        <item x="385"/>
        <item x="554"/>
        <item x="267"/>
        <item x="470"/>
        <item x="728"/>
        <item x="239"/>
        <item x="649"/>
        <item x="602"/>
        <item x="595"/>
        <item x="476"/>
        <item x="718"/>
        <item x="180"/>
        <item x="473"/>
        <item x="488"/>
        <item x="603"/>
        <item x="643"/>
        <item x="513"/>
        <item x="26"/>
        <item x="813"/>
        <item x="489"/>
        <item x="497"/>
        <item x="266"/>
        <item x="614"/>
        <item x="479"/>
        <item x="269"/>
        <item x="547"/>
        <item x="258"/>
        <item x="601"/>
        <item x="373"/>
        <item x="100"/>
        <item x="355"/>
        <item x="463"/>
        <item x="371"/>
        <item x="802"/>
        <item x="378"/>
        <item x="627"/>
        <item x="168"/>
        <item x="44"/>
        <item x="283"/>
        <item x="722"/>
        <item x="754"/>
        <item x="661"/>
        <item x="775"/>
        <item x="576"/>
        <item x="794"/>
        <item x="81"/>
        <item x="551"/>
        <item x="357"/>
        <item x="417"/>
        <item x="790"/>
        <item x="670"/>
        <item x="654"/>
        <item x="45"/>
        <item x="99"/>
        <item x="785"/>
        <item x="454"/>
        <item x="363"/>
        <item x="608"/>
        <item x="522"/>
        <item x="461"/>
        <item x="36"/>
        <item x="457"/>
        <item x="674"/>
        <item x="493"/>
        <item x="816"/>
        <item x="690"/>
        <item x="636"/>
        <item x="459"/>
        <item x="228"/>
        <item x="748"/>
        <item x="768"/>
        <item x="86"/>
        <item x="520"/>
        <item x="583"/>
        <item x="147"/>
        <item x="419"/>
        <item x="407"/>
        <item x="648"/>
        <item x="120"/>
        <item x="402"/>
        <item x="200"/>
        <item x="772"/>
        <item x="449"/>
        <item x="291"/>
        <item x="311"/>
        <item x="377"/>
        <item x="143"/>
        <item x="734"/>
        <item x="746"/>
        <item x="241"/>
        <item x="227"/>
        <item x="102"/>
        <item x="298"/>
        <item x="162"/>
        <item x="13"/>
        <item x="275"/>
        <item x="87"/>
        <item x="717"/>
        <item x="684"/>
        <item x="524"/>
        <item x="492"/>
        <item x="28"/>
        <item x="282"/>
        <item x="581"/>
        <item x="645"/>
        <item x="747"/>
        <item t="default"/>
      </items>
    </pivotField>
    <pivotField showAll="0"/>
    <pivotField showAll="0"/>
    <pivotField showAll="0">
      <items count="5">
        <item x="2"/>
        <item x="1"/>
        <item x="0"/>
        <item x="3"/>
        <item t="default"/>
      </items>
    </pivotField>
    <pivotField showAll="0">
      <items count="8">
        <item x="5"/>
        <item x="4"/>
        <item x="2"/>
        <item x="3"/>
        <item x="6"/>
        <item x="1"/>
        <item x="0"/>
        <item t="default"/>
      </items>
    </pivotField>
    <pivotField dataField="1" showAll="0"/>
    <pivotField dataField="1" showAll="0"/>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Fields count="1">
    <field x="-2"/>
  </colFields>
  <colItems count="3">
    <i>
      <x/>
    </i>
    <i i="1">
      <x v="1"/>
    </i>
    <i i="2">
      <x v="2"/>
    </i>
  </colItems>
  <dataFields count="3">
    <dataField name="Sum of UnitPrice" fld="6" baseField="0" baseItem="0"/>
    <dataField name="Sum of TotalPrice" fld="13" baseField="0" baseItem="0"/>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903FB5-12F1-4D10-9ECB-2B20CF2C970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16">
    <pivotField numFmtId="14" showAll="0">
      <items count="825">
        <item x="504"/>
        <item x="246"/>
        <item x="306"/>
        <item x="723"/>
        <item x="380"/>
        <item x="153"/>
        <item x="526"/>
        <item x="804"/>
        <item x="819"/>
        <item x="685"/>
        <item x="71"/>
        <item x="537"/>
        <item x="196"/>
        <item x="165"/>
        <item x="592"/>
        <item x="743"/>
        <item x="293"/>
        <item x="641"/>
        <item x="123"/>
        <item x="456"/>
        <item x="530"/>
        <item x="148"/>
        <item x="236"/>
        <item x="5"/>
        <item x="384"/>
        <item x="69"/>
        <item x="124"/>
        <item x="63"/>
        <item x="312"/>
        <item x="181"/>
        <item x="14"/>
        <item x="701"/>
        <item x="680"/>
        <item x="623"/>
        <item x="159"/>
        <item x="769"/>
        <item x="552"/>
        <item x="759"/>
        <item x="792"/>
        <item x="770"/>
        <item x="594"/>
        <item x="509"/>
        <item x="89"/>
        <item x="821"/>
        <item x="732"/>
        <item x="179"/>
        <item x="411"/>
        <item x="103"/>
        <item x="191"/>
        <item x="18"/>
        <item x="410"/>
        <item x="225"/>
        <item x="50"/>
        <item x="693"/>
        <item x="607"/>
        <item x="193"/>
        <item x="437"/>
        <item x="472"/>
        <item x="248"/>
        <item x="27"/>
        <item x="502"/>
        <item x="441"/>
        <item x="233"/>
        <item x="80"/>
        <item x="730"/>
        <item x="231"/>
        <item x="305"/>
        <item x="515"/>
        <item x="1"/>
        <item x="448"/>
        <item x="240"/>
        <item x="329"/>
        <item x="364"/>
        <item x="118"/>
        <item x="379"/>
        <item x="111"/>
        <item x="169"/>
        <item x="353"/>
        <item x="194"/>
        <item x="450"/>
        <item x="452"/>
        <item x="807"/>
        <item x="638"/>
        <item x="548"/>
        <item x="184"/>
        <item x="543"/>
        <item x="423"/>
        <item x="144"/>
        <item x="404"/>
        <item x="435"/>
        <item x="360"/>
        <item x="302"/>
        <item x="469"/>
        <item x="213"/>
        <item x="259"/>
        <item x="430"/>
        <item x="38"/>
        <item x="178"/>
        <item x="671"/>
        <item x="365"/>
        <item x="66"/>
        <item x="221"/>
        <item x="321"/>
        <item x="653"/>
        <item x="415"/>
        <item x="133"/>
        <item x="694"/>
        <item x="742"/>
        <item x="426"/>
        <item x="760"/>
        <item x="414"/>
        <item x="327"/>
        <item x="712"/>
        <item x="109"/>
        <item x="264"/>
        <item x="375"/>
        <item x="229"/>
        <item x="647"/>
        <item x="145"/>
        <item x="336"/>
        <item x="566"/>
        <item x="244"/>
        <item x="735"/>
        <item x="398"/>
        <item x="53"/>
        <item x="67"/>
        <item x="242"/>
        <item x="517"/>
        <item x="122"/>
        <item x="74"/>
        <item x="484"/>
        <item x="611"/>
        <item x="174"/>
        <item x="152"/>
        <item x="177"/>
        <item x="370"/>
        <item x="161"/>
        <item x="114"/>
        <item x="352"/>
        <item x="354"/>
        <item x="427"/>
        <item x="752"/>
        <item x="17"/>
        <item x="787"/>
        <item x="326"/>
        <item x="711"/>
        <item x="316"/>
        <item x="464"/>
        <item x="320"/>
        <item x="564"/>
        <item x="198"/>
        <item x="490"/>
        <item x="190"/>
        <item x="76"/>
        <item x="82"/>
        <item x="220"/>
        <item x="166"/>
        <item x="250"/>
        <item x="428"/>
        <item x="396"/>
        <item x="681"/>
        <item x="214"/>
        <item x="622"/>
        <item x="176"/>
        <item x="604"/>
        <item x="631"/>
        <item x="237"/>
        <item x="586"/>
        <item x="132"/>
        <item x="201"/>
        <item x="121"/>
        <item x="434"/>
        <item x="60"/>
        <item x="745"/>
        <item x="438"/>
        <item x="531"/>
        <item x="741"/>
        <item x="217"/>
        <item x="731"/>
        <item x="447"/>
        <item x="779"/>
        <item x="348"/>
        <item x="160"/>
        <item x="562"/>
        <item x="75"/>
        <item x="288"/>
        <item x="767"/>
        <item x="19"/>
        <item x="506"/>
        <item x="713"/>
        <item x="806"/>
        <item x="318"/>
        <item x="22"/>
        <item x="618"/>
        <item x="637"/>
        <item x="761"/>
        <item x="219"/>
        <item x="781"/>
        <item x="222"/>
        <item x="418"/>
        <item x="704"/>
        <item x="675"/>
        <item x="7"/>
        <item x="698"/>
        <item x="809"/>
        <item x="192"/>
        <item x="577"/>
        <item x="818"/>
        <item x="315"/>
        <item x="626"/>
        <item x="803"/>
        <item x="296"/>
        <item x="62"/>
        <item x="274"/>
        <item x="343"/>
        <item x="359"/>
        <item x="579"/>
        <item x="514"/>
        <item x="588"/>
        <item x="202"/>
        <item x="59"/>
        <item x="345"/>
        <item x="466"/>
        <item x="106"/>
        <item x="9"/>
        <item x="496"/>
        <item x="613"/>
        <item x="660"/>
        <item x="211"/>
        <item x="569"/>
        <item x="356"/>
        <item x="798"/>
        <item x="811"/>
        <item x="270"/>
        <item x="10"/>
        <item x="155"/>
        <item x="425"/>
        <item x="16"/>
        <item x="610"/>
        <item x="299"/>
        <item x="656"/>
        <item x="212"/>
        <item x="593"/>
        <item x="483"/>
        <item x="740"/>
        <item x="495"/>
        <item x="482"/>
        <item x="341"/>
        <item x="739"/>
        <item x="238"/>
        <item x="521"/>
        <item x="137"/>
        <item x="550"/>
        <item x="30"/>
        <item x="57"/>
        <item x="251"/>
        <item x="527"/>
        <item x="207"/>
        <item x="20"/>
        <item x="688"/>
        <item x="254"/>
        <item x="317"/>
        <item x="230"/>
        <item x="708"/>
        <item x="573"/>
        <item x="574"/>
        <item x="673"/>
        <item x="29"/>
        <item x="810"/>
        <item x="115"/>
        <item x="697"/>
        <item x="669"/>
        <item x="442"/>
        <item x="171"/>
        <item x="763"/>
        <item x="812"/>
        <item x="788"/>
        <item x="720"/>
        <item x="64"/>
        <item x="157"/>
        <item x="51"/>
        <item x="366"/>
        <item x="215"/>
        <item x="187"/>
        <item x="223"/>
        <item x="322"/>
        <item x="61"/>
        <item x="290"/>
        <item x="620"/>
        <item x="172"/>
        <item x="692"/>
        <item x="532"/>
        <item x="719"/>
        <item x="292"/>
        <item x="536"/>
        <item x="471"/>
        <item x="519"/>
        <item x="776"/>
        <item x="158"/>
        <item x="505"/>
        <item x="337"/>
        <item x="140"/>
        <item x="445"/>
        <item x="313"/>
        <item x="47"/>
        <item x="439"/>
        <item x="108"/>
        <item x="705"/>
        <item x="486"/>
        <item x="314"/>
        <item x="6"/>
        <item x="308"/>
        <item x="749"/>
        <item x="403"/>
        <item x="683"/>
        <item x="580"/>
        <item x="762"/>
        <item x="565"/>
        <item x="339"/>
        <item x="420"/>
        <item x="350"/>
        <item x="563"/>
        <item x="358"/>
        <item x="632"/>
        <item x="646"/>
        <item x="374"/>
        <item x="335"/>
        <item x="130"/>
        <item x="657"/>
        <item x="273"/>
        <item x="284"/>
        <item x="42"/>
        <item x="325"/>
        <item x="164"/>
        <item x="540"/>
        <item x="629"/>
        <item x="68"/>
        <item x="263"/>
        <item x="545"/>
        <item x="652"/>
        <item x="432"/>
        <item x="755"/>
        <item x="382"/>
        <item x="758"/>
        <item x="338"/>
        <item x="738"/>
        <item x="475"/>
        <item x="780"/>
        <item x="628"/>
        <item x="272"/>
        <item x="664"/>
        <item x="707"/>
        <item x="101"/>
        <item x="710"/>
        <item x="41"/>
        <item x="800"/>
        <item x="146"/>
        <item x="15"/>
        <item x="33"/>
        <item x="820"/>
        <item x="765"/>
        <item x="138"/>
        <item x="393"/>
        <item x="714"/>
        <item x="616"/>
        <item x="409"/>
        <item x="78"/>
        <item x="24"/>
        <item x="85"/>
        <item x="387"/>
        <item x="11"/>
        <item x="113"/>
        <item x="319"/>
        <item x="134"/>
        <item x="88"/>
        <item x="582"/>
        <item x="294"/>
        <item x="578"/>
        <item x="751"/>
        <item x="125"/>
        <item x="408"/>
        <item x="110"/>
        <item x="756"/>
        <item x="591"/>
        <item x="271"/>
        <item x="600"/>
        <item x="344"/>
        <item x="518"/>
        <item x="170"/>
        <item x="304"/>
        <item x="46"/>
        <item x="129"/>
        <item x="468"/>
        <item x="334"/>
        <item x="553"/>
        <item x="226"/>
        <item x="662"/>
        <item x="783"/>
        <item x="127"/>
        <item x="796"/>
        <item x="596"/>
        <item x="173"/>
        <item x="49"/>
        <item x="107"/>
        <item x="503"/>
        <item x="183"/>
        <item x="303"/>
        <item x="525"/>
        <item x="511"/>
        <item x="757"/>
        <item x="606"/>
        <item x="725"/>
        <item x="0"/>
        <item x="268"/>
        <item x="619"/>
        <item x="381"/>
        <item x="397"/>
        <item x="639"/>
        <item x="687"/>
        <item x="260"/>
        <item x="451"/>
        <item x="331"/>
        <item x="510"/>
        <item x="571"/>
        <item x="141"/>
        <item x="487"/>
        <item x="630"/>
        <item x="689"/>
        <item x="256"/>
        <item x="663"/>
        <item x="686"/>
        <item x="659"/>
        <item x="278"/>
        <item x="116"/>
        <item x="750"/>
        <item x="255"/>
        <item x="2"/>
        <item x="206"/>
        <item x="538"/>
        <item x="678"/>
        <item x="104"/>
        <item x="773"/>
        <item x="309"/>
        <item x="156"/>
        <item x="93"/>
        <item x="651"/>
        <item x="112"/>
        <item x="436"/>
        <item x="609"/>
        <item x="54"/>
        <item x="422"/>
        <item x="367"/>
        <item x="474"/>
        <item x="8"/>
        <item x="342"/>
        <item x="822"/>
        <item x="285"/>
        <item x="465"/>
        <item x="416"/>
        <item x="440"/>
        <item x="383"/>
        <item x="182"/>
        <item x="587"/>
        <item x="677"/>
        <item x="516"/>
        <item x="706"/>
        <item x="43"/>
        <item x="392"/>
        <item x="199"/>
        <item x="774"/>
        <item x="823"/>
        <item x="257"/>
        <item x="555"/>
        <item x="431"/>
        <item x="203"/>
        <item x="764"/>
        <item x="535"/>
        <item x="330"/>
        <item x="533"/>
        <item x="400"/>
        <item x="4"/>
        <item x="32"/>
        <item x="667"/>
        <item x="39"/>
        <item x="40"/>
        <item x="598"/>
        <item x="413"/>
        <item x="777"/>
        <item x="766"/>
        <item x="793"/>
        <item x="249"/>
        <item x="210"/>
        <item x="388"/>
        <item x="557"/>
        <item x="349"/>
        <item x="90"/>
        <item x="281"/>
        <item x="205"/>
        <item x="801"/>
        <item x="399"/>
        <item x="700"/>
        <item x="412"/>
        <item x="539"/>
        <item x="310"/>
        <item x="668"/>
        <item x="737"/>
        <item x="126"/>
        <item x="676"/>
        <item x="696"/>
        <item x="368"/>
        <item x="597"/>
        <item x="91"/>
        <item x="568"/>
        <item x="265"/>
        <item x="295"/>
        <item x="83"/>
        <item x="346"/>
        <item x="401"/>
        <item x="94"/>
        <item x="70"/>
        <item x="347"/>
        <item x="389"/>
        <item x="498"/>
        <item x="142"/>
        <item x="92"/>
        <item x="23"/>
        <item x="277"/>
        <item x="154"/>
        <item x="150"/>
        <item x="633"/>
        <item x="709"/>
        <item x="726"/>
        <item x="37"/>
        <item x="599"/>
        <item x="136"/>
        <item x="340"/>
        <item x="77"/>
        <item x="590"/>
        <item x="185"/>
        <item x="361"/>
        <item x="21"/>
        <item x="276"/>
        <item x="462"/>
        <item x="799"/>
        <item x="640"/>
        <item x="218"/>
        <item x="721"/>
        <item x="478"/>
        <item x="666"/>
        <item x="753"/>
        <item x="117"/>
        <item x="286"/>
        <item x="289"/>
        <item x="175"/>
        <item x="546"/>
        <item x="287"/>
        <item x="635"/>
        <item x="625"/>
        <item x="458"/>
        <item x="444"/>
        <item x="544"/>
        <item x="12"/>
        <item x="151"/>
        <item x="575"/>
        <item x="247"/>
        <item x="624"/>
        <item x="386"/>
        <item x="523"/>
        <item x="605"/>
        <item x="729"/>
        <item x="570"/>
        <item x="262"/>
        <item x="307"/>
        <item x="332"/>
        <item x="252"/>
        <item x="817"/>
        <item x="323"/>
        <item x="791"/>
        <item x="556"/>
        <item x="561"/>
        <item x="391"/>
        <item x="679"/>
        <item x="699"/>
        <item x="73"/>
        <item x="672"/>
        <item x="460"/>
        <item x="786"/>
        <item x="528"/>
        <item x="494"/>
        <item x="216"/>
        <item x="253"/>
        <item x="815"/>
        <item x="279"/>
        <item x="224"/>
        <item x="655"/>
        <item x="186"/>
        <item x="784"/>
        <item x="209"/>
        <item x="261"/>
        <item x="79"/>
        <item x="805"/>
        <item x="35"/>
        <item x="429"/>
        <item x="163"/>
        <item x="559"/>
        <item x="96"/>
        <item x="433"/>
        <item x="727"/>
        <item x="507"/>
        <item x="395"/>
        <item x="84"/>
        <item x="394"/>
        <item x="72"/>
        <item x="390"/>
        <item x="467"/>
        <item x="131"/>
        <item x="508"/>
        <item x="541"/>
        <item x="491"/>
        <item x="782"/>
        <item x="733"/>
        <item x="617"/>
        <item x="139"/>
        <item x="372"/>
        <item x="301"/>
        <item x="328"/>
        <item x="232"/>
        <item x="48"/>
        <item x="376"/>
        <item x="300"/>
        <item x="324"/>
        <item x="549"/>
        <item x="691"/>
        <item x="135"/>
        <item x="585"/>
        <item x="529"/>
        <item x="189"/>
        <item x="644"/>
        <item x="642"/>
        <item x="243"/>
        <item x="188"/>
        <item x="477"/>
        <item x="808"/>
        <item x="56"/>
        <item x="421"/>
        <item x="195"/>
        <item x="634"/>
        <item x="31"/>
        <item x="405"/>
        <item x="771"/>
        <item x="128"/>
        <item x="34"/>
        <item x="650"/>
        <item x="446"/>
        <item x="736"/>
        <item x="612"/>
        <item x="234"/>
        <item x="95"/>
        <item x="814"/>
        <item x="424"/>
        <item x="682"/>
        <item x="665"/>
        <item x="97"/>
        <item x="235"/>
        <item x="542"/>
        <item x="167"/>
        <item x="55"/>
        <item x="744"/>
        <item x="362"/>
        <item x="333"/>
        <item x="453"/>
        <item x="197"/>
        <item x="572"/>
        <item x="778"/>
        <item x="589"/>
        <item x="204"/>
        <item x="297"/>
        <item x="560"/>
        <item x="621"/>
        <item x="715"/>
        <item x="149"/>
        <item x="25"/>
        <item x="500"/>
        <item x="567"/>
        <item x="105"/>
        <item x="52"/>
        <item x="512"/>
        <item x="789"/>
        <item x="351"/>
        <item x="558"/>
        <item x="480"/>
        <item x="98"/>
        <item x="369"/>
        <item x="208"/>
        <item x="499"/>
        <item x="658"/>
        <item x="3"/>
        <item x="724"/>
        <item x="406"/>
        <item x="797"/>
        <item x="534"/>
        <item x="795"/>
        <item x="280"/>
        <item x="501"/>
        <item x="245"/>
        <item x="455"/>
        <item x="119"/>
        <item x="584"/>
        <item x="695"/>
        <item x="716"/>
        <item x="443"/>
        <item x="58"/>
        <item x="702"/>
        <item x="481"/>
        <item x="703"/>
        <item x="615"/>
        <item x="485"/>
        <item x="65"/>
        <item x="385"/>
        <item x="554"/>
        <item x="267"/>
        <item x="470"/>
        <item x="728"/>
        <item x="239"/>
        <item x="649"/>
        <item x="602"/>
        <item x="595"/>
        <item x="476"/>
        <item x="718"/>
        <item x="180"/>
        <item x="473"/>
        <item x="488"/>
        <item x="603"/>
        <item x="643"/>
        <item x="513"/>
        <item x="26"/>
        <item x="813"/>
        <item x="489"/>
        <item x="497"/>
        <item x="266"/>
        <item x="614"/>
        <item x="479"/>
        <item x="269"/>
        <item x="547"/>
        <item x="258"/>
        <item x="601"/>
        <item x="373"/>
        <item x="100"/>
        <item x="355"/>
        <item x="463"/>
        <item x="371"/>
        <item x="802"/>
        <item x="378"/>
        <item x="627"/>
        <item x="168"/>
        <item x="44"/>
        <item x="283"/>
        <item x="722"/>
        <item x="754"/>
        <item x="661"/>
        <item x="775"/>
        <item x="576"/>
        <item x="794"/>
        <item x="81"/>
        <item x="551"/>
        <item x="357"/>
        <item x="417"/>
        <item x="790"/>
        <item x="670"/>
        <item x="654"/>
        <item x="45"/>
        <item x="99"/>
        <item x="785"/>
        <item x="454"/>
        <item x="363"/>
        <item x="608"/>
        <item x="522"/>
        <item x="461"/>
        <item x="36"/>
        <item x="457"/>
        <item x="674"/>
        <item x="493"/>
        <item x="816"/>
        <item x="690"/>
        <item x="636"/>
        <item x="459"/>
        <item x="228"/>
        <item x="748"/>
        <item x="768"/>
        <item x="86"/>
        <item x="520"/>
        <item x="583"/>
        <item x="147"/>
        <item x="419"/>
        <item x="407"/>
        <item x="648"/>
        <item x="120"/>
        <item x="402"/>
        <item x="200"/>
        <item x="772"/>
        <item x="449"/>
        <item x="291"/>
        <item x="311"/>
        <item x="377"/>
        <item x="143"/>
        <item x="734"/>
        <item x="746"/>
        <item x="241"/>
        <item x="227"/>
        <item x="102"/>
        <item x="298"/>
        <item x="162"/>
        <item x="13"/>
        <item x="275"/>
        <item x="87"/>
        <item x="717"/>
        <item x="684"/>
        <item x="524"/>
        <item x="492"/>
        <item x="28"/>
        <item x="282"/>
        <item x="581"/>
        <item x="645"/>
        <item x="747"/>
        <item t="default"/>
      </items>
    </pivotField>
    <pivotField showAll="0"/>
    <pivotField showAll="0"/>
    <pivotField showAll="0">
      <items count="5">
        <item x="2"/>
        <item x="1"/>
        <item x="0"/>
        <item x="3"/>
        <item t="default"/>
      </items>
    </pivotField>
    <pivotField showAll="0">
      <items count="8">
        <item x="5"/>
        <item x="4"/>
        <item x="2"/>
        <item x="3"/>
        <item x="6"/>
        <item x="1"/>
        <item x="0"/>
        <item t="default"/>
      </items>
    </pivotField>
    <pivotField showAll="0"/>
    <pivotField showAll="0"/>
    <pivotField showAll="0"/>
    <pivotField showAll="0"/>
    <pivotField showAll="0"/>
    <pivotField axis="axisRow" showAll="0">
      <items count="5">
        <item x="1"/>
        <item x="2"/>
        <item x="0"/>
        <item x="3"/>
        <item t="default"/>
      </items>
    </pivotField>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0"/>
  </rowFields>
  <rowItems count="5">
    <i>
      <x/>
    </i>
    <i>
      <x v="1"/>
    </i>
    <i>
      <x v="2"/>
    </i>
    <i>
      <x v="3"/>
    </i>
    <i t="grand">
      <x/>
    </i>
  </rowItems>
  <colItems count="1">
    <i/>
  </colItems>
  <dataFields count="1">
    <dataField name="Sum of TotalPrice" fld="13" baseField="0" baseItem="0"/>
  </dataFields>
  <chartFormats count="1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2">
          <reference field="4294967294" count="1" selected="0">
            <x v="0"/>
          </reference>
          <reference field="10" count="1" selected="0">
            <x v="1"/>
          </reference>
        </references>
      </pivotArea>
    </chartFormat>
    <chartFormat chart="7" format="6" series="1">
      <pivotArea type="data" outline="0" fieldPosition="0">
        <references count="2">
          <reference field="4294967294" count="1" selected="0">
            <x v="0"/>
          </reference>
          <reference field="10" count="1" selected="0">
            <x v="2"/>
          </reference>
        </references>
      </pivotArea>
    </chartFormat>
    <chartFormat chart="7" format="7" series="1">
      <pivotArea type="data" outline="0" fieldPosition="0">
        <references count="2">
          <reference field="4294967294" count="1" selected="0">
            <x v="0"/>
          </reference>
          <reference field="10" count="1" selected="0">
            <x v="3"/>
          </reference>
        </references>
      </pivotArea>
    </chartFormat>
    <chartFormat chart="5" format="3" series="1">
      <pivotArea type="data" outline="0" fieldPosition="0">
        <references count="2">
          <reference field="4294967294" count="1" selected="0">
            <x v="0"/>
          </reference>
          <reference field="10" count="1" selected="0">
            <x v="1"/>
          </reference>
        </references>
      </pivotArea>
    </chartFormat>
    <chartFormat chart="5" format="4" series="1">
      <pivotArea type="data" outline="0" fieldPosition="0">
        <references count="2">
          <reference field="4294967294" count="1" selected="0">
            <x v="0"/>
          </reference>
          <reference field="10" count="1" selected="0">
            <x v="2"/>
          </reference>
        </references>
      </pivotArea>
    </chartFormat>
    <chartFormat chart="5" format="5" series="1">
      <pivotArea type="data" outline="0" fieldPosition="0">
        <references count="2">
          <reference field="4294967294" count="1" selected="0">
            <x v="0"/>
          </reference>
          <reference field="10" count="1" selected="0">
            <x v="3"/>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 chart="1" format="3" series="1">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5DAA78-F5ED-4908-ACB3-E301F982F0A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B11" firstHeaderRow="1" firstDataRow="1" firstDataCol="1"/>
  <pivotFields count="16">
    <pivotField numFmtId="14" showAll="0">
      <items count="825">
        <item x="504"/>
        <item x="246"/>
        <item x="306"/>
        <item x="723"/>
        <item x="380"/>
        <item x="153"/>
        <item x="526"/>
        <item x="804"/>
        <item x="819"/>
        <item x="685"/>
        <item x="71"/>
        <item x="537"/>
        <item x="196"/>
        <item x="165"/>
        <item x="592"/>
        <item x="743"/>
        <item x="293"/>
        <item x="641"/>
        <item x="123"/>
        <item x="456"/>
        <item x="530"/>
        <item x="148"/>
        <item x="236"/>
        <item x="5"/>
        <item x="384"/>
        <item x="69"/>
        <item x="124"/>
        <item x="63"/>
        <item x="312"/>
        <item x="181"/>
        <item x="14"/>
        <item x="701"/>
        <item x="680"/>
        <item x="623"/>
        <item x="159"/>
        <item x="769"/>
        <item x="552"/>
        <item x="759"/>
        <item x="792"/>
        <item x="770"/>
        <item x="594"/>
        <item x="509"/>
        <item x="89"/>
        <item x="821"/>
        <item x="732"/>
        <item x="179"/>
        <item x="411"/>
        <item x="103"/>
        <item x="191"/>
        <item x="18"/>
        <item x="410"/>
        <item x="225"/>
        <item x="50"/>
        <item x="693"/>
        <item x="607"/>
        <item x="193"/>
        <item x="437"/>
        <item x="472"/>
        <item x="248"/>
        <item x="27"/>
        <item x="502"/>
        <item x="441"/>
        <item x="233"/>
        <item x="80"/>
        <item x="730"/>
        <item x="231"/>
        <item x="305"/>
        <item x="515"/>
        <item x="1"/>
        <item x="448"/>
        <item x="240"/>
        <item x="329"/>
        <item x="364"/>
        <item x="118"/>
        <item x="379"/>
        <item x="111"/>
        <item x="169"/>
        <item x="353"/>
        <item x="194"/>
        <item x="450"/>
        <item x="452"/>
        <item x="807"/>
        <item x="638"/>
        <item x="548"/>
        <item x="184"/>
        <item x="543"/>
        <item x="423"/>
        <item x="144"/>
        <item x="404"/>
        <item x="435"/>
        <item x="360"/>
        <item x="302"/>
        <item x="469"/>
        <item x="213"/>
        <item x="259"/>
        <item x="430"/>
        <item x="38"/>
        <item x="178"/>
        <item x="671"/>
        <item x="365"/>
        <item x="66"/>
        <item x="221"/>
        <item x="321"/>
        <item x="653"/>
        <item x="415"/>
        <item x="133"/>
        <item x="694"/>
        <item x="742"/>
        <item x="426"/>
        <item x="760"/>
        <item x="414"/>
        <item x="327"/>
        <item x="712"/>
        <item x="109"/>
        <item x="264"/>
        <item x="375"/>
        <item x="229"/>
        <item x="647"/>
        <item x="145"/>
        <item x="336"/>
        <item x="566"/>
        <item x="244"/>
        <item x="735"/>
        <item x="398"/>
        <item x="53"/>
        <item x="67"/>
        <item x="242"/>
        <item x="517"/>
        <item x="122"/>
        <item x="74"/>
        <item x="484"/>
        <item x="611"/>
        <item x="174"/>
        <item x="152"/>
        <item x="177"/>
        <item x="370"/>
        <item x="161"/>
        <item x="114"/>
        <item x="352"/>
        <item x="354"/>
        <item x="427"/>
        <item x="752"/>
        <item x="17"/>
        <item x="787"/>
        <item x="326"/>
        <item x="711"/>
        <item x="316"/>
        <item x="464"/>
        <item x="320"/>
        <item x="564"/>
        <item x="198"/>
        <item x="490"/>
        <item x="190"/>
        <item x="76"/>
        <item x="82"/>
        <item x="220"/>
        <item x="166"/>
        <item x="250"/>
        <item x="428"/>
        <item x="396"/>
        <item x="681"/>
        <item x="214"/>
        <item x="622"/>
        <item x="176"/>
        <item x="604"/>
        <item x="631"/>
        <item x="237"/>
        <item x="586"/>
        <item x="132"/>
        <item x="201"/>
        <item x="121"/>
        <item x="434"/>
        <item x="60"/>
        <item x="745"/>
        <item x="438"/>
        <item x="531"/>
        <item x="741"/>
        <item x="217"/>
        <item x="731"/>
        <item x="447"/>
        <item x="779"/>
        <item x="348"/>
        <item x="160"/>
        <item x="562"/>
        <item x="75"/>
        <item x="288"/>
        <item x="767"/>
        <item x="19"/>
        <item x="506"/>
        <item x="713"/>
        <item x="806"/>
        <item x="318"/>
        <item x="22"/>
        <item x="618"/>
        <item x="637"/>
        <item x="761"/>
        <item x="219"/>
        <item x="781"/>
        <item x="222"/>
        <item x="418"/>
        <item x="704"/>
        <item x="675"/>
        <item x="7"/>
        <item x="698"/>
        <item x="809"/>
        <item x="192"/>
        <item x="577"/>
        <item x="818"/>
        <item x="315"/>
        <item x="626"/>
        <item x="803"/>
        <item x="296"/>
        <item x="62"/>
        <item x="274"/>
        <item x="343"/>
        <item x="359"/>
        <item x="579"/>
        <item x="514"/>
        <item x="588"/>
        <item x="202"/>
        <item x="59"/>
        <item x="345"/>
        <item x="466"/>
        <item x="106"/>
        <item x="9"/>
        <item x="496"/>
        <item x="613"/>
        <item x="660"/>
        <item x="211"/>
        <item x="569"/>
        <item x="356"/>
        <item x="798"/>
        <item x="811"/>
        <item x="270"/>
        <item x="10"/>
        <item x="155"/>
        <item x="425"/>
        <item x="16"/>
        <item x="610"/>
        <item x="299"/>
        <item x="656"/>
        <item x="212"/>
        <item x="593"/>
        <item x="483"/>
        <item x="740"/>
        <item x="495"/>
        <item x="482"/>
        <item x="341"/>
        <item x="739"/>
        <item x="238"/>
        <item x="521"/>
        <item x="137"/>
        <item x="550"/>
        <item x="30"/>
        <item x="57"/>
        <item x="251"/>
        <item x="527"/>
        <item x="207"/>
        <item x="20"/>
        <item x="688"/>
        <item x="254"/>
        <item x="317"/>
        <item x="230"/>
        <item x="708"/>
        <item x="573"/>
        <item x="574"/>
        <item x="673"/>
        <item x="29"/>
        <item x="810"/>
        <item x="115"/>
        <item x="697"/>
        <item x="669"/>
        <item x="442"/>
        <item x="171"/>
        <item x="763"/>
        <item x="812"/>
        <item x="788"/>
        <item x="720"/>
        <item x="64"/>
        <item x="157"/>
        <item x="51"/>
        <item x="366"/>
        <item x="215"/>
        <item x="187"/>
        <item x="223"/>
        <item x="322"/>
        <item x="61"/>
        <item x="290"/>
        <item x="620"/>
        <item x="172"/>
        <item x="692"/>
        <item x="532"/>
        <item x="719"/>
        <item x="292"/>
        <item x="536"/>
        <item x="471"/>
        <item x="519"/>
        <item x="776"/>
        <item x="158"/>
        <item x="505"/>
        <item x="337"/>
        <item x="140"/>
        <item x="445"/>
        <item x="313"/>
        <item x="47"/>
        <item x="439"/>
        <item x="108"/>
        <item x="705"/>
        <item x="486"/>
        <item x="314"/>
        <item x="6"/>
        <item x="308"/>
        <item x="749"/>
        <item x="403"/>
        <item x="683"/>
        <item x="580"/>
        <item x="762"/>
        <item x="565"/>
        <item x="339"/>
        <item x="420"/>
        <item x="350"/>
        <item x="563"/>
        <item x="358"/>
        <item x="632"/>
        <item x="646"/>
        <item x="374"/>
        <item x="335"/>
        <item x="130"/>
        <item x="657"/>
        <item x="273"/>
        <item x="284"/>
        <item x="42"/>
        <item x="325"/>
        <item x="164"/>
        <item x="540"/>
        <item x="629"/>
        <item x="68"/>
        <item x="263"/>
        <item x="545"/>
        <item x="652"/>
        <item x="432"/>
        <item x="755"/>
        <item x="382"/>
        <item x="758"/>
        <item x="338"/>
        <item x="738"/>
        <item x="475"/>
        <item x="780"/>
        <item x="628"/>
        <item x="272"/>
        <item x="664"/>
        <item x="707"/>
        <item x="101"/>
        <item x="710"/>
        <item x="41"/>
        <item x="800"/>
        <item x="146"/>
        <item x="15"/>
        <item x="33"/>
        <item x="820"/>
        <item x="765"/>
        <item x="138"/>
        <item x="393"/>
        <item x="714"/>
        <item x="616"/>
        <item x="409"/>
        <item x="78"/>
        <item x="24"/>
        <item x="85"/>
        <item x="387"/>
        <item x="11"/>
        <item x="113"/>
        <item x="319"/>
        <item x="134"/>
        <item x="88"/>
        <item x="582"/>
        <item x="294"/>
        <item x="578"/>
        <item x="751"/>
        <item x="125"/>
        <item x="408"/>
        <item x="110"/>
        <item x="756"/>
        <item x="591"/>
        <item x="271"/>
        <item x="600"/>
        <item x="344"/>
        <item x="518"/>
        <item x="170"/>
        <item x="304"/>
        <item x="46"/>
        <item x="129"/>
        <item x="468"/>
        <item x="334"/>
        <item x="553"/>
        <item x="226"/>
        <item x="662"/>
        <item x="783"/>
        <item x="127"/>
        <item x="796"/>
        <item x="596"/>
        <item x="173"/>
        <item x="49"/>
        <item x="107"/>
        <item x="503"/>
        <item x="183"/>
        <item x="303"/>
        <item x="525"/>
        <item x="511"/>
        <item x="757"/>
        <item x="606"/>
        <item x="725"/>
        <item x="0"/>
        <item x="268"/>
        <item x="619"/>
        <item x="381"/>
        <item x="397"/>
        <item x="639"/>
        <item x="687"/>
        <item x="260"/>
        <item x="451"/>
        <item x="331"/>
        <item x="510"/>
        <item x="571"/>
        <item x="141"/>
        <item x="487"/>
        <item x="630"/>
        <item x="689"/>
        <item x="256"/>
        <item x="663"/>
        <item x="686"/>
        <item x="659"/>
        <item x="278"/>
        <item x="116"/>
        <item x="750"/>
        <item x="255"/>
        <item x="2"/>
        <item x="206"/>
        <item x="538"/>
        <item x="678"/>
        <item x="104"/>
        <item x="773"/>
        <item x="309"/>
        <item x="156"/>
        <item x="93"/>
        <item x="651"/>
        <item x="112"/>
        <item x="436"/>
        <item x="609"/>
        <item x="54"/>
        <item x="422"/>
        <item x="367"/>
        <item x="474"/>
        <item x="8"/>
        <item x="342"/>
        <item x="822"/>
        <item x="285"/>
        <item x="465"/>
        <item x="416"/>
        <item x="440"/>
        <item x="383"/>
        <item x="182"/>
        <item x="587"/>
        <item x="677"/>
        <item x="516"/>
        <item x="706"/>
        <item x="43"/>
        <item x="392"/>
        <item x="199"/>
        <item x="774"/>
        <item x="823"/>
        <item x="257"/>
        <item x="555"/>
        <item x="431"/>
        <item x="203"/>
        <item x="764"/>
        <item x="535"/>
        <item x="330"/>
        <item x="533"/>
        <item x="400"/>
        <item x="4"/>
        <item x="32"/>
        <item x="667"/>
        <item x="39"/>
        <item x="40"/>
        <item x="598"/>
        <item x="413"/>
        <item x="777"/>
        <item x="766"/>
        <item x="793"/>
        <item x="249"/>
        <item x="210"/>
        <item x="388"/>
        <item x="557"/>
        <item x="349"/>
        <item x="90"/>
        <item x="281"/>
        <item x="205"/>
        <item x="801"/>
        <item x="399"/>
        <item x="700"/>
        <item x="412"/>
        <item x="539"/>
        <item x="310"/>
        <item x="668"/>
        <item x="737"/>
        <item x="126"/>
        <item x="676"/>
        <item x="696"/>
        <item x="368"/>
        <item x="597"/>
        <item x="91"/>
        <item x="568"/>
        <item x="265"/>
        <item x="295"/>
        <item x="83"/>
        <item x="346"/>
        <item x="401"/>
        <item x="94"/>
        <item x="70"/>
        <item x="347"/>
        <item x="389"/>
        <item x="498"/>
        <item x="142"/>
        <item x="92"/>
        <item x="23"/>
        <item x="277"/>
        <item x="154"/>
        <item x="150"/>
        <item x="633"/>
        <item x="709"/>
        <item x="726"/>
        <item x="37"/>
        <item x="599"/>
        <item x="136"/>
        <item x="340"/>
        <item x="77"/>
        <item x="590"/>
        <item x="185"/>
        <item x="361"/>
        <item x="21"/>
        <item x="276"/>
        <item x="462"/>
        <item x="799"/>
        <item x="640"/>
        <item x="218"/>
        <item x="721"/>
        <item x="478"/>
        <item x="666"/>
        <item x="753"/>
        <item x="117"/>
        <item x="286"/>
        <item x="289"/>
        <item x="175"/>
        <item x="546"/>
        <item x="287"/>
        <item x="635"/>
        <item x="625"/>
        <item x="458"/>
        <item x="444"/>
        <item x="544"/>
        <item x="12"/>
        <item x="151"/>
        <item x="575"/>
        <item x="247"/>
        <item x="624"/>
        <item x="386"/>
        <item x="523"/>
        <item x="605"/>
        <item x="729"/>
        <item x="570"/>
        <item x="262"/>
        <item x="307"/>
        <item x="332"/>
        <item x="252"/>
        <item x="817"/>
        <item x="323"/>
        <item x="791"/>
        <item x="556"/>
        <item x="561"/>
        <item x="391"/>
        <item x="679"/>
        <item x="699"/>
        <item x="73"/>
        <item x="672"/>
        <item x="460"/>
        <item x="786"/>
        <item x="528"/>
        <item x="494"/>
        <item x="216"/>
        <item x="253"/>
        <item x="815"/>
        <item x="279"/>
        <item x="224"/>
        <item x="655"/>
        <item x="186"/>
        <item x="784"/>
        <item x="209"/>
        <item x="261"/>
        <item x="79"/>
        <item x="805"/>
        <item x="35"/>
        <item x="429"/>
        <item x="163"/>
        <item x="559"/>
        <item x="96"/>
        <item x="433"/>
        <item x="727"/>
        <item x="507"/>
        <item x="395"/>
        <item x="84"/>
        <item x="394"/>
        <item x="72"/>
        <item x="390"/>
        <item x="467"/>
        <item x="131"/>
        <item x="508"/>
        <item x="541"/>
        <item x="491"/>
        <item x="782"/>
        <item x="733"/>
        <item x="617"/>
        <item x="139"/>
        <item x="372"/>
        <item x="301"/>
        <item x="328"/>
        <item x="232"/>
        <item x="48"/>
        <item x="376"/>
        <item x="300"/>
        <item x="324"/>
        <item x="549"/>
        <item x="691"/>
        <item x="135"/>
        <item x="585"/>
        <item x="529"/>
        <item x="189"/>
        <item x="644"/>
        <item x="642"/>
        <item x="243"/>
        <item x="188"/>
        <item x="477"/>
        <item x="808"/>
        <item x="56"/>
        <item x="421"/>
        <item x="195"/>
        <item x="634"/>
        <item x="31"/>
        <item x="405"/>
        <item x="771"/>
        <item x="128"/>
        <item x="34"/>
        <item x="650"/>
        <item x="446"/>
        <item x="736"/>
        <item x="612"/>
        <item x="234"/>
        <item x="95"/>
        <item x="814"/>
        <item x="424"/>
        <item x="682"/>
        <item x="665"/>
        <item x="97"/>
        <item x="235"/>
        <item x="542"/>
        <item x="167"/>
        <item x="55"/>
        <item x="744"/>
        <item x="362"/>
        <item x="333"/>
        <item x="453"/>
        <item x="197"/>
        <item x="572"/>
        <item x="778"/>
        <item x="589"/>
        <item x="204"/>
        <item x="297"/>
        <item x="560"/>
        <item x="621"/>
        <item x="715"/>
        <item x="149"/>
        <item x="25"/>
        <item x="500"/>
        <item x="567"/>
        <item x="105"/>
        <item x="52"/>
        <item x="512"/>
        <item x="789"/>
        <item x="351"/>
        <item x="558"/>
        <item x="480"/>
        <item x="98"/>
        <item x="369"/>
        <item x="208"/>
        <item x="499"/>
        <item x="658"/>
        <item x="3"/>
        <item x="724"/>
        <item x="406"/>
        <item x="797"/>
        <item x="534"/>
        <item x="795"/>
        <item x="280"/>
        <item x="501"/>
        <item x="245"/>
        <item x="455"/>
        <item x="119"/>
        <item x="584"/>
        <item x="695"/>
        <item x="716"/>
        <item x="443"/>
        <item x="58"/>
        <item x="702"/>
        <item x="481"/>
        <item x="703"/>
        <item x="615"/>
        <item x="485"/>
        <item x="65"/>
        <item x="385"/>
        <item x="554"/>
        <item x="267"/>
        <item x="470"/>
        <item x="728"/>
        <item x="239"/>
        <item x="649"/>
        <item x="602"/>
        <item x="595"/>
        <item x="476"/>
        <item x="718"/>
        <item x="180"/>
        <item x="473"/>
        <item x="488"/>
        <item x="603"/>
        <item x="643"/>
        <item x="513"/>
        <item x="26"/>
        <item x="813"/>
        <item x="489"/>
        <item x="497"/>
        <item x="266"/>
        <item x="614"/>
        <item x="479"/>
        <item x="269"/>
        <item x="547"/>
        <item x="258"/>
        <item x="601"/>
        <item x="373"/>
        <item x="100"/>
        <item x="355"/>
        <item x="463"/>
        <item x="371"/>
        <item x="802"/>
        <item x="378"/>
        <item x="627"/>
        <item x="168"/>
        <item x="44"/>
        <item x="283"/>
        <item x="722"/>
        <item x="754"/>
        <item x="661"/>
        <item x="775"/>
        <item x="576"/>
        <item x="794"/>
        <item x="81"/>
        <item x="551"/>
        <item x="357"/>
        <item x="417"/>
        <item x="790"/>
        <item x="670"/>
        <item x="654"/>
        <item x="45"/>
        <item x="99"/>
        <item x="785"/>
        <item x="454"/>
        <item x="363"/>
        <item x="608"/>
        <item x="522"/>
        <item x="461"/>
        <item x="36"/>
        <item x="457"/>
        <item x="674"/>
        <item x="493"/>
        <item x="816"/>
        <item x="690"/>
        <item x="636"/>
        <item x="459"/>
        <item x="228"/>
        <item x="748"/>
        <item x="768"/>
        <item x="86"/>
        <item x="520"/>
        <item x="583"/>
        <item x="147"/>
        <item x="419"/>
        <item x="407"/>
        <item x="648"/>
        <item x="120"/>
        <item x="402"/>
        <item x="200"/>
        <item x="772"/>
        <item x="449"/>
        <item x="291"/>
        <item x="311"/>
        <item x="377"/>
        <item x="143"/>
        <item x="734"/>
        <item x="746"/>
        <item x="241"/>
        <item x="227"/>
        <item x="102"/>
        <item x="298"/>
        <item x="162"/>
        <item x="13"/>
        <item x="275"/>
        <item x="87"/>
        <item x="717"/>
        <item x="684"/>
        <item x="524"/>
        <item x="492"/>
        <item x="28"/>
        <item x="282"/>
        <item x="581"/>
        <item x="645"/>
        <item x="747"/>
        <item t="default"/>
      </items>
    </pivotField>
    <pivotField showAll="0"/>
    <pivotField showAll="0"/>
    <pivotField showAll="0">
      <items count="5">
        <item x="2"/>
        <item x="1"/>
        <item x="0"/>
        <item x="3"/>
        <item t="default"/>
      </items>
    </pivotField>
    <pivotField axis="axisRow" showAll="0">
      <items count="8">
        <item x="5"/>
        <item x="4"/>
        <item x="2"/>
        <item x="3"/>
        <item x="6"/>
        <item x="1"/>
        <item x="0"/>
        <item t="default"/>
      </items>
    </pivotField>
    <pivotField showAll="0"/>
    <pivotField showAll="0"/>
    <pivotField showAll="0"/>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4"/>
  </rowFields>
  <rowItems count="8">
    <i>
      <x/>
    </i>
    <i>
      <x v="1"/>
    </i>
    <i>
      <x v="2"/>
    </i>
    <i>
      <x v="3"/>
    </i>
    <i>
      <x v="4"/>
    </i>
    <i>
      <x v="5"/>
    </i>
    <i>
      <x v="6"/>
    </i>
    <i t="grand">
      <x/>
    </i>
  </rowItems>
  <colItems count="1">
    <i/>
  </colItems>
  <dataFields count="1">
    <dataField name="Sum of TotalPrice" fld="13" baseField="0" baseItem="0"/>
  </dataFields>
  <chartFormats count="3">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B340DA-4601-4130-B028-066985C62C0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9" firstHeaderRow="1" firstDataRow="1" firstDataCol="1"/>
  <pivotFields count="16">
    <pivotField numFmtId="14" showAll="0">
      <items count="825">
        <item x="504"/>
        <item x="246"/>
        <item x="306"/>
        <item x="723"/>
        <item x="380"/>
        <item x="153"/>
        <item x="526"/>
        <item x="804"/>
        <item x="819"/>
        <item x="685"/>
        <item x="71"/>
        <item x="537"/>
        <item x="196"/>
        <item x="165"/>
        <item x="592"/>
        <item x="743"/>
        <item x="293"/>
        <item x="641"/>
        <item x="123"/>
        <item x="456"/>
        <item x="530"/>
        <item x="148"/>
        <item x="236"/>
        <item x="5"/>
        <item x="384"/>
        <item x="69"/>
        <item x="124"/>
        <item x="63"/>
        <item x="312"/>
        <item x="181"/>
        <item x="14"/>
        <item x="701"/>
        <item x="680"/>
        <item x="623"/>
        <item x="159"/>
        <item x="769"/>
        <item x="552"/>
        <item x="759"/>
        <item x="792"/>
        <item x="770"/>
        <item x="594"/>
        <item x="509"/>
        <item x="89"/>
        <item x="821"/>
        <item x="732"/>
        <item x="179"/>
        <item x="411"/>
        <item x="103"/>
        <item x="191"/>
        <item x="18"/>
        <item x="410"/>
        <item x="225"/>
        <item x="50"/>
        <item x="693"/>
        <item x="607"/>
        <item x="193"/>
        <item x="437"/>
        <item x="472"/>
        <item x="248"/>
        <item x="27"/>
        <item x="502"/>
        <item x="441"/>
        <item x="233"/>
        <item x="80"/>
        <item x="730"/>
        <item x="231"/>
        <item x="305"/>
        <item x="515"/>
        <item x="1"/>
        <item x="448"/>
        <item x="240"/>
        <item x="329"/>
        <item x="364"/>
        <item x="118"/>
        <item x="379"/>
        <item x="111"/>
        <item x="169"/>
        <item x="353"/>
        <item x="194"/>
        <item x="450"/>
        <item x="452"/>
        <item x="807"/>
        <item x="638"/>
        <item x="548"/>
        <item x="184"/>
        <item x="543"/>
        <item x="423"/>
        <item x="144"/>
        <item x="404"/>
        <item x="435"/>
        <item x="360"/>
        <item x="302"/>
        <item x="469"/>
        <item x="213"/>
        <item x="259"/>
        <item x="430"/>
        <item x="38"/>
        <item x="178"/>
        <item x="671"/>
        <item x="365"/>
        <item x="66"/>
        <item x="221"/>
        <item x="321"/>
        <item x="653"/>
        <item x="415"/>
        <item x="133"/>
        <item x="694"/>
        <item x="742"/>
        <item x="426"/>
        <item x="760"/>
        <item x="414"/>
        <item x="327"/>
        <item x="712"/>
        <item x="109"/>
        <item x="264"/>
        <item x="375"/>
        <item x="229"/>
        <item x="647"/>
        <item x="145"/>
        <item x="336"/>
        <item x="566"/>
        <item x="244"/>
        <item x="735"/>
        <item x="398"/>
        <item x="53"/>
        <item x="67"/>
        <item x="242"/>
        <item x="517"/>
        <item x="122"/>
        <item x="74"/>
        <item x="484"/>
        <item x="611"/>
        <item x="174"/>
        <item x="152"/>
        <item x="177"/>
        <item x="370"/>
        <item x="161"/>
        <item x="114"/>
        <item x="352"/>
        <item x="354"/>
        <item x="427"/>
        <item x="752"/>
        <item x="17"/>
        <item x="787"/>
        <item x="326"/>
        <item x="711"/>
        <item x="316"/>
        <item x="464"/>
        <item x="320"/>
        <item x="564"/>
        <item x="198"/>
        <item x="490"/>
        <item x="190"/>
        <item x="76"/>
        <item x="82"/>
        <item x="220"/>
        <item x="166"/>
        <item x="250"/>
        <item x="428"/>
        <item x="396"/>
        <item x="681"/>
        <item x="214"/>
        <item x="622"/>
        <item x="176"/>
        <item x="604"/>
        <item x="631"/>
        <item x="237"/>
        <item x="586"/>
        <item x="132"/>
        <item x="201"/>
        <item x="121"/>
        <item x="434"/>
        <item x="60"/>
        <item x="745"/>
        <item x="438"/>
        <item x="531"/>
        <item x="741"/>
        <item x="217"/>
        <item x="731"/>
        <item x="447"/>
        <item x="779"/>
        <item x="348"/>
        <item x="160"/>
        <item x="562"/>
        <item x="75"/>
        <item x="288"/>
        <item x="767"/>
        <item x="19"/>
        <item x="506"/>
        <item x="713"/>
        <item x="806"/>
        <item x="318"/>
        <item x="22"/>
        <item x="618"/>
        <item x="637"/>
        <item x="761"/>
        <item x="219"/>
        <item x="781"/>
        <item x="222"/>
        <item x="418"/>
        <item x="704"/>
        <item x="675"/>
        <item x="7"/>
        <item x="698"/>
        <item x="809"/>
        <item x="192"/>
        <item x="577"/>
        <item x="818"/>
        <item x="315"/>
        <item x="626"/>
        <item x="803"/>
        <item x="296"/>
        <item x="62"/>
        <item x="274"/>
        <item x="343"/>
        <item x="359"/>
        <item x="579"/>
        <item x="514"/>
        <item x="588"/>
        <item x="202"/>
        <item x="59"/>
        <item x="345"/>
        <item x="466"/>
        <item x="106"/>
        <item x="9"/>
        <item x="496"/>
        <item x="613"/>
        <item x="660"/>
        <item x="211"/>
        <item x="569"/>
        <item x="356"/>
        <item x="798"/>
        <item x="811"/>
        <item x="270"/>
        <item x="10"/>
        <item x="155"/>
        <item x="425"/>
        <item x="16"/>
        <item x="610"/>
        <item x="299"/>
        <item x="656"/>
        <item x="212"/>
        <item x="593"/>
        <item x="483"/>
        <item x="740"/>
        <item x="495"/>
        <item x="482"/>
        <item x="341"/>
        <item x="739"/>
        <item x="238"/>
        <item x="521"/>
        <item x="137"/>
        <item x="550"/>
        <item x="30"/>
        <item x="57"/>
        <item x="251"/>
        <item x="527"/>
        <item x="207"/>
        <item x="20"/>
        <item x="688"/>
        <item x="254"/>
        <item x="317"/>
        <item x="230"/>
        <item x="708"/>
        <item x="573"/>
        <item x="574"/>
        <item x="673"/>
        <item x="29"/>
        <item x="810"/>
        <item x="115"/>
        <item x="697"/>
        <item x="669"/>
        <item x="442"/>
        <item x="171"/>
        <item x="763"/>
        <item x="812"/>
        <item x="788"/>
        <item x="720"/>
        <item x="64"/>
        <item x="157"/>
        <item x="51"/>
        <item x="366"/>
        <item x="215"/>
        <item x="187"/>
        <item x="223"/>
        <item x="322"/>
        <item x="61"/>
        <item x="290"/>
        <item x="620"/>
        <item x="172"/>
        <item x="692"/>
        <item x="532"/>
        <item x="719"/>
        <item x="292"/>
        <item x="536"/>
        <item x="471"/>
        <item x="519"/>
        <item x="776"/>
        <item x="158"/>
        <item x="505"/>
        <item x="337"/>
        <item x="140"/>
        <item x="445"/>
        <item x="313"/>
        <item x="47"/>
        <item x="439"/>
        <item x="108"/>
        <item x="705"/>
        <item x="486"/>
        <item x="314"/>
        <item x="6"/>
        <item x="308"/>
        <item x="749"/>
        <item x="403"/>
        <item x="683"/>
        <item x="580"/>
        <item x="762"/>
        <item x="565"/>
        <item x="339"/>
        <item x="420"/>
        <item x="350"/>
        <item x="563"/>
        <item x="358"/>
        <item x="632"/>
        <item x="646"/>
        <item x="374"/>
        <item x="335"/>
        <item x="130"/>
        <item x="657"/>
        <item x="273"/>
        <item x="284"/>
        <item x="42"/>
        <item x="325"/>
        <item x="164"/>
        <item x="540"/>
        <item x="629"/>
        <item x="68"/>
        <item x="263"/>
        <item x="545"/>
        <item x="652"/>
        <item x="432"/>
        <item x="755"/>
        <item x="382"/>
        <item x="758"/>
        <item x="338"/>
        <item x="738"/>
        <item x="475"/>
        <item x="780"/>
        <item x="628"/>
        <item x="272"/>
        <item x="664"/>
        <item x="707"/>
        <item x="101"/>
        <item x="710"/>
        <item x="41"/>
        <item x="800"/>
        <item x="146"/>
        <item x="15"/>
        <item x="33"/>
        <item x="820"/>
        <item x="765"/>
        <item x="138"/>
        <item x="393"/>
        <item x="714"/>
        <item x="616"/>
        <item x="409"/>
        <item x="78"/>
        <item x="24"/>
        <item x="85"/>
        <item x="387"/>
        <item x="11"/>
        <item x="113"/>
        <item x="319"/>
        <item x="134"/>
        <item x="88"/>
        <item x="582"/>
        <item x="294"/>
        <item x="578"/>
        <item x="751"/>
        <item x="125"/>
        <item x="408"/>
        <item x="110"/>
        <item x="756"/>
        <item x="591"/>
        <item x="271"/>
        <item x="600"/>
        <item x="344"/>
        <item x="518"/>
        <item x="170"/>
        <item x="304"/>
        <item x="46"/>
        <item x="129"/>
        <item x="468"/>
        <item x="334"/>
        <item x="553"/>
        <item x="226"/>
        <item x="662"/>
        <item x="783"/>
        <item x="127"/>
        <item x="796"/>
        <item x="596"/>
        <item x="173"/>
        <item x="49"/>
        <item x="107"/>
        <item x="503"/>
        <item x="183"/>
        <item x="303"/>
        <item x="525"/>
        <item x="511"/>
        <item x="757"/>
        <item x="606"/>
        <item x="725"/>
        <item x="0"/>
        <item x="268"/>
        <item x="619"/>
        <item x="381"/>
        <item x="397"/>
        <item x="639"/>
        <item x="687"/>
        <item x="260"/>
        <item x="451"/>
        <item x="331"/>
        <item x="510"/>
        <item x="571"/>
        <item x="141"/>
        <item x="487"/>
        <item x="630"/>
        <item x="689"/>
        <item x="256"/>
        <item x="663"/>
        <item x="686"/>
        <item x="659"/>
        <item x="278"/>
        <item x="116"/>
        <item x="750"/>
        <item x="255"/>
        <item x="2"/>
        <item x="206"/>
        <item x="538"/>
        <item x="678"/>
        <item x="104"/>
        <item x="773"/>
        <item x="309"/>
        <item x="156"/>
        <item x="93"/>
        <item x="651"/>
        <item x="112"/>
        <item x="436"/>
        <item x="609"/>
        <item x="54"/>
        <item x="422"/>
        <item x="367"/>
        <item x="474"/>
        <item x="8"/>
        <item x="342"/>
        <item x="822"/>
        <item x="285"/>
        <item x="465"/>
        <item x="416"/>
        <item x="440"/>
        <item x="383"/>
        <item x="182"/>
        <item x="587"/>
        <item x="677"/>
        <item x="516"/>
        <item x="706"/>
        <item x="43"/>
        <item x="392"/>
        <item x="199"/>
        <item x="774"/>
        <item x="823"/>
        <item x="257"/>
        <item x="555"/>
        <item x="431"/>
        <item x="203"/>
        <item x="764"/>
        <item x="535"/>
        <item x="330"/>
        <item x="533"/>
        <item x="400"/>
        <item x="4"/>
        <item x="32"/>
        <item x="667"/>
        <item x="39"/>
        <item x="40"/>
        <item x="598"/>
        <item x="413"/>
        <item x="777"/>
        <item x="766"/>
        <item x="793"/>
        <item x="249"/>
        <item x="210"/>
        <item x="388"/>
        <item x="557"/>
        <item x="349"/>
        <item x="90"/>
        <item x="281"/>
        <item x="205"/>
        <item x="801"/>
        <item x="399"/>
        <item x="700"/>
        <item x="412"/>
        <item x="539"/>
        <item x="310"/>
        <item x="668"/>
        <item x="737"/>
        <item x="126"/>
        <item x="676"/>
        <item x="696"/>
        <item x="368"/>
        <item x="597"/>
        <item x="91"/>
        <item x="568"/>
        <item x="265"/>
        <item x="295"/>
        <item x="83"/>
        <item x="346"/>
        <item x="401"/>
        <item x="94"/>
        <item x="70"/>
        <item x="347"/>
        <item x="389"/>
        <item x="498"/>
        <item x="142"/>
        <item x="92"/>
        <item x="23"/>
        <item x="277"/>
        <item x="154"/>
        <item x="150"/>
        <item x="633"/>
        <item x="709"/>
        <item x="726"/>
        <item x="37"/>
        <item x="599"/>
        <item x="136"/>
        <item x="340"/>
        <item x="77"/>
        <item x="590"/>
        <item x="185"/>
        <item x="361"/>
        <item x="21"/>
        <item x="276"/>
        <item x="462"/>
        <item x="799"/>
        <item x="640"/>
        <item x="218"/>
        <item x="721"/>
        <item x="478"/>
        <item x="666"/>
        <item x="753"/>
        <item x="117"/>
        <item x="286"/>
        <item x="289"/>
        <item x="175"/>
        <item x="546"/>
        <item x="287"/>
        <item x="635"/>
        <item x="625"/>
        <item x="458"/>
        <item x="444"/>
        <item x="544"/>
        <item x="12"/>
        <item x="151"/>
        <item x="575"/>
        <item x="247"/>
        <item x="624"/>
        <item x="386"/>
        <item x="523"/>
        <item x="605"/>
        <item x="729"/>
        <item x="570"/>
        <item x="262"/>
        <item x="307"/>
        <item x="332"/>
        <item x="252"/>
        <item x="817"/>
        <item x="323"/>
        <item x="791"/>
        <item x="556"/>
        <item x="561"/>
        <item x="391"/>
        <item x="679"/>
        <item x="699"/>
        <item x="73"/>
        <item x="672"/>
        <item x="460"/>
        <item x="786"/>
        <item x="528"/>
        <item x="494"/>
        <item x="216"/>
        <item x="253"/>
        <item x="815"/>
        <item x="279"/>
        <item x="224"/>
        <item x="655"/>
        <item x="186"/>
        <item x="784"/>
        <item x="209"/>
        <item x="261"/>
        <item x="79"/>
        <item x="805"/>
        <item x="35"/>
        <item x="429"/>
        <item x="163"/>
        <item x="559"/>
        <item x="96"/>
        <item x="433"/>
        <item x="727"/>
        <item x="507"/>
        <item x="395"/>
        <item x="84"/>
        <item x="394"/>
        <item x="72"/>
        <item x="390"/>
        <item x="467"/>
        <item x="131"/>
        <item x="508"/>
        <item x="541"/>
        <item x="491"/>
        <item x="782"/>
        <item x="733"/>
        <item x="617"/>
        <item x="139"/>
        <item x="372"/>
        <item x="301"/>
        <item x="328"/>
        <item x="232"/>
        <item x="48"/>
        <item x="376"/>
        <item x="300"/>
        <item x="324"/>
        <item x="549"/>
        <item x="691"/>
        <item x="135"/>
        <item x="585"/>
        <item x="529"/>
        <item x="189"/>
        <item x="644"/>
        <item x="642"/>
        <item x="243"/>
        <item x="188"/>
        <item x="477"/>
        <item x="808"/>
        <item x="56"/>
        <item x="421"/>
        <item x="195"/>
        <item x="634"/>
        <item x="31"/>
        <item x="405"/>
        <item x="771"/>
        <item x="128"/>
        <item x="34"/>
        <item x="650"/>
        <item x="446"/>
        <item x="736"/>
        <item x="612"/>
        <item x="234"/>
        <item x="95"/>
        <item x="814"/>
        <item x="424"/>
        <item x="682"/>
        <item x="665"/>
        <item x="97"/>
        <item x="235"/>
        <item x="542"/>
        <item x="167"/>
        <item x="55"/>
        <item x="744"/>
        <item x="362"/>
        <item x="333"/>
        <item x="453"/>
        <item x="197"/>
        <item x="572"/>
        <item x="778"/>
        <item x="589"/>
        <item x="204"/>
        <item x="297"/>
        <item x="560"/>
        <item x="621"/>
        <item x="715"/>
        <item x="149"/>
        <item x="25"/>
        <item x="500"/>
        <item x="567"/>
        <item x="105"/>
        <item x="52"/>
        <item x="512"/>
        <item x="789"/>
        <item x="351"/>
        <item x="558"/>
        <item x="480"/>
        <item x="98"/>
        <item x="369"/>
        <item x="208"/>
        <item x="499"/>
        <item x="658"/>
        <item x="3"/>
        <item x="724"/>
        <item x="406"/>
        <item x="797"/>
        <item x="534"/>
        <item x="795"/>
        <item x="280"/>
        <item x="501"/>
        <item x="245"/>
        <item x="455"/>
        <item x="119"/>
        <item x="584"/>
        <item x="695"/>
        <item x="716"/>
        <item x="443"/>
        <item x="58"/>
        <item x="702"/>
        <item x="481"/>
        <item x="703"/>
        <item x="615"/>
        <item x="485"/>
        <item x="65"/>
        <item x="385"/>
        <item x="554"/>
        <item x="267"/>
        <item x="470"/>
        <item x="728"/>
        <item x="239"/>
        <item x="649"/>
        <item x="602"/>
        <item x="595"/>
        <item x="476"/>
        <item x="718"/>
        <item x="180"/>
        <item x="473"/>
        <item x="488"/>
        <item x="603"/>
        <item x="643"/>
        <item x="513"/>
        <item x="26"/>
        <item x="813"/>
        <item x="489"/>
        <item x="497"/>
        <item x="266"/>
        <item x="614"/>
        <item x="479"/>
        <item x="269"/>
        <item x="547"/>
        <item x="258"/>
        <item x="601"/>
        <item x="373"/>
        <item x="100"/>
        <item x="355"/>
        <item x="463"/>
        <item x="371"/>
        <item x="802"/>
        <item x="378"/>
        <item x="627"/>
        <item x="168"/>
        <item x="44"/>
        <item x="283"/>
        <item x="722"/>
        <item x="754"/>
        <item x="661"/>
        <item x="775"/>
        <item x="576"/>
        <item x="794"/>
        <item x="81"/>
        <item x="551"/>
        <item x="357"/>
        <item x="417"/>
        <item x="790"/>
        <item x="670"/>
        <item x="654"/>
        <item x="45"/>
        <item x="99"/>
        <item x="785"/>
        <item x="454"/>
        <item x="363"/>
        <item x="608"/>
        <item x="522"/>
        <item x="461"/>
        <item x="36"/>
        <item x="457"/>
        <item x="674"/>
        <item x="493"/>
        <item x="816"/>
        <item x="690"/>
        <item x="636"/>
        <item x="459"/>
        <item x="228"/>
        <item x="748"/>
        <item x="768"/>
        <item x="86"/>
        <item x="520"/>
        <item x="583"/>
        <item x="147"/>
        <item x="419"/>
        <item x="407"/>
        <item x="648"/>
        <item x="120"/>
        <item x="402"/>
        <item x="200"/>
        <item x="772"/>
        <item x="449"/>
        <item x="291"/>
        <item x="311"/>
        <item x="377"/>
        <item x="143"/>
        <item x="734"/>
        <item x="746"/>
        <item x="241"/>
        <item x="227"/>
        <item x="102"/>
        <item x="298"/>
        <item x="162"/>
        <item x="13"/>
        <item x="275"/>
        <item x="87"/>
        <item x="717"/>
        <item x="684"/>
        <item x="524"/>
        <item x="492"/>
        <item x="28"/>
        <item x="282"/>
        <item x="581"/>
        <item x="645"/>
        <item x="747"/>
        <item t="default"/>
      </items>
    </pivotField>
    <pivotField showAll="0"/>
    <pivotField showAll="0"/>
    <pivotField showAll="0">
      <items count="5">
        <item x="2"/>
        <item x="1"/>
        <item x="0"/>
        <item x="3"/>
        <item t="default"/>
      </items>
    </pivotField>
    <pivotField showAll="0">
      <items count="8">
        <item x="5"/>
        <item x="4"/>
        <item x="2"/>
        <item x="3"/>
        <item x="6"/>
        <item x="1"/>
        <item x="0"/>
        <item t="default"/>
      </items>
    </pivotField>
    <pivotField showAll="0"/>
    <pivotField showAll="0">
      <items count="1947">
        <item h="1" x="1378"/>
        <item h="1" x="660"/>
        <item h="1" x="1801"/>
        <item h="1" x="360"/>
        <item h="1" x="1754"/>
        <item x="1370"/>
        <item h="1" x="83"/>
        <item h="1" x="1101"/>
        <item h="1" x="1446"/>
        <item h="1" x="1909"/>
        <item h="1" x="1884"/>
        <item h="1" x="153"/>
        <item h="1" x="1463"/>
        <item h="1" x="728"/>
        <item h="1" x="6"/>
        <item h="1" x="680"/>
        <item h="1" x="53"/>
        <item h="1" x="1277"/>
        <item h="1" x="535"/>
        <item h="1" x="1036"/>
        <item h="1" x="1219"/>
        <item h="1" x="1059"/>
        <item h="1" x="1797"/>
        <item h="1" x="353"/>
        <item h="1" x="1302"/>
        <item h="1" x="699"/>
        <item h="1" x="763"/>
        <item h="1" x="1127"/>
        <item h="1" x="1287"/>
        <item h="1" x="381"/>
        <item h="1" x="469"/>
        <item h="1" x="1290"/>
        <item h="1" x="338"/>
        <item h="1" x="17"/>
        <item h="1" x="903"/>
        <item h="1" x="1550"/>
        <item h="1" x="936"/>
        <item h="1" x="1910"/>
        <item h="1" x="1147"/>
        <item h="1" x="1735"/>
        <item h="1" x="720"/>
        <item h="1" x="496"/>
        <item h="1" x="183"/>
        <item h="1" x="844"/>
        <item h="1" x="1728"/>
        <item h="1" x="951"/>
        <item h="1" x="491"/>
        <item h="1" x="1373"/>
        <item h="1" x="607"/>
        <item h="1" x="1273"/>
        <item h="1" x="1109"/>
        <item h="1" x="1586"/>
        <item h="1" x="1608"/>
        <item h="1" x="716"/>
        <item h="1" x="1672"/>
        <item h="1" x="956"/>
        <item h="1" x="1701"/>
        <item h="1" x="719"/>
        <item h="1" x="1535"/>
        <item h="1" x="634"/>
        <item h="1" x="1259"/>
        <item h="1" x="270"/>
        <item h="1" x="1807"/>
        <item h="1" x="731"/>
        <item h="1" x="278"/>
        <item h="1" x="1736"/>
        <item h="1" x="1399"/>
        <item h="1" x="298"/>
        <item h="1" x="150"/>
        <item h="1" x="295"/>
        <item h="1" x="495"/>
        <item h="1" x="1313"/>
        <item h="1" x="1438"/>
        <item h="1" x="241"/>
        <item h="1" x="922"/>
        <item h="1" x="1660"/>
        <item h="1" x="48"/>
        <item h="1" x="1658"/>
        <item h="1" x="693"/>
        <item h="1" x="1379"/>
        <item h="1" x="1372"/>
        <item h="1" x="1013"/>
        <item h="1" x="1757"/>
        <item h="1" x="1340"/>
        <item h="1" x="1184"/>
        <item h="1" x="1368"/>
        <item h="1" x="695"/>
        <item h="1" x="705"/>
        <item h="1" x="1015"/>
        <item h="1" x="813"/>
        <item h="1" x="1840"/>
        <item h="1" x="1872"/>
        <item h="1" x="1937"/>
        <item h="1" x="475"/>
        <item h="1" x="293"/>
        <item h="1" x="523"/>
        <item h="1" x="1351"/>
        <item h="1" x="1907"/>
        <item h="1" x="1543"/>
        <item h="1" x="1226"/>
        <item h="1" x="924"/>
        <item h="1" x="1162"/>
        <item h="1" x="677"/>
        <item h="1" x="807"/>
        <item h="1" x="84"/>
        <item h="1" x="16"/>
        <item h="1" x="771"/>
        <item h="1" x="850"/>
        <item h="1" x="1360"/>
        <item h="1" x="198"/>
        <item h="1" x="1799"/>
        <item h="1" x="157"/>
        <item h="1" x="1170"/>
        <item h="1" x="620"/>
        <item h="1" x="1891"/>
        <item h="1" x="202"/>
        <item h="1" x="262"/>
        <item h="1" x="1632"/>
        <item h="1" x="1666"/>
        <item h="1" x="602"/>
        <item h="1" x="1196"/>
        <item h="1" x="1389"/>
        <item h="1" x="1700"/>
        <item h="1" x="808"/>
        <item h="1" x="170"/>
        <item h="1" x="129"/>
        <item h="1" x="1425"/>
        <item h="1" x="546"/>
        <item h="1" x="1902"/>
        <item h="1" x="1621"/>
        <item h="1" x="527"/>
        <item h="1" x="1044"/>
        <item h="1" x="156"/>
        <item h="1" x="652"/>
        <item h="1" x="216"/>
        <item h="1" x="1630"/>
        <item h="1" x="207"/>
        <item h="1" x="803"/>
        <item h="1" x="1230"/>
        <item h="1" x="1688"/>
        <item h="1" x="1806"/>
        <item h="1" x="1272"/>
        <item h="1" x="1918"/>
        <item h="1" x="451"/>
        <item h="1" x="1605"/>
        <item h="1" x="119"/>
        <item h="1" x="1473"/>
        <item h="1" x="158"/>
        <item h="1" x="1856"/>
        <item h="1" x="1380"/>
        <item h="1" x="1150"/>
        <item h="1" x="1853"/>
        <item h="1" x="446"/>
        <item h="1" x="1796"/>
        <item h="1" x="1057"/>
        <item h="1" x="1865"/>
        <item h="1" x="738"/>
        <item h="1" x="454"/>
        <item h="1" x="1098"/>
        <item h="1" x="688"/>
        <item h="1" x="1086"/>
        <item h="1" x="573"/>
        <item h="1" x="957"/>
        <item h="1" x="320"/>
        <item h="1" x="631"/>
        <item h="1" x="958"/>
        <item h="1" x="1537"/>
        <item h="1" x="1595"/>
        <item h="1" x="1091"/>
        <item h="1" x="49"/>
        <item h="1" x="648"/>
        <item h="1" x="126"/>
        <item h="1" x="933"/>
        <item h="1" x="395"/>
        <item h="1" x="468"/>
        <item h="1" x="13"/>
        <item h="1" x="29"/>
        <item h="1" x="1552"/>
        <item h="1" x="977"/>
        <item h="1" x="644"/>
        <item h="1" x="896"/>
        <item h="1" x="50"/>
        <item h="1" x="449"/>
        <item h="1" x="1663"/>
        <item h="1" x="212"/>
        <item h="1" x="1011"/>
        <item h="1" x="1564"/>
        <item h="1" x="934"/>
        <item h="1" x="43"/>
        <item h="1" x="645"/>
        <item h="1" x="1626"/>
        <item h="1" x="1457"/>
        <item h="1" x="1208"/>
        <item h="1" x="1048"/>
        <item h="1" x="737"/>
        <item h="1" x="1889"/>
        <item h="1" x="1678"/>
        <item h="1" x="1618"/>
        <item h="1" x="1772"/>
        <item h="1" x="343"/>
        <item h="1" x="96"/>
        <item h="1" x="1569"/>
        <item h="1" x="1484"/>
        <item h="1" x="1448"/>
        <item h="1" x="251"/>
        <item h="1" x="275"/>
        <item h="1" x="1848"/>
        <item h="1" x="545"/>
        <item h="1" x="741"/>
        <item h="1" x="329"/>
        <item h="1" x="1409"/>
        <item h="1" x="925"/>
        <item h="1" x="702"/>
        <item h="1" x="75"/>
        <item h="1" x="847"/>
        <item h="1" x="1900"/>
        <item h="1" x="1921"/>
        <item h="1" x="218"/>
        <item h="1" x="1762"/>
        <item h="1" x="1017"/>
        <item h="1" x="630"/>
        <item h="1" x="1421"/>
        <item h="1" x="1250"/>
        <item h="1" x="51"/>
        <item h="1" x="1916"/>
        <item h="1" x="1392"/>
        <item h="1" x="1805"/>
        <item h="1" x="5"/>
        <item h="1" x="1912"/>
        <item h="1" x="1430"/>
        <item h="1" x="316"/>
        <item h="1" x="748"/>
        <item h="1" x="233"/>
        <item h="1" x="1760"/>
        <item h="1" x="783"/>
        <item h="1" x="1783"/>
        <item h="1" x="1544"/>
        <item h="1" x="1065"/>
        <item h="1" x="1588"/>
        <item h="1" x="757"/>
        <item h="1" x="1068"/>
        <item h="1" x="112"/>
        <item h="1" x="842"/>
        <item h="1" x="1836"/>
        <item h="1" x="1878"/>
        <item h="1" x="1852"/>
        <item h="1" x="673"/>
        <item h="1" x="282"/>
        <item h="1" x="633"/>
        <item h="1" x="762"/>
        <item h="1" x="617"/>
        <item h="1" x="1477"/>
        <item h="1" x="776"/>
        <item h="1" x="505"/>
        <item h="1" x="1644"/>
        <item h="1" x="1830"/>
        <item h="1" x="698"/>
        <item h="1" x="1195"/>
        <item h="1" x="163"/>
        <item h="1" x="826"/>
        <item h="1" x="1755"/>
        <item h="1" x="1800"/>
        <item h="1" x="1903"/>
        <item h="1" x="501"/>
        <item h="1" x="1193"/>
        <item h="1" x="1472"/>
        <item h="1" x="1133"/>
        <item h="1" x="323"/>
        <item h="1" x="317"/>
        <item h="1" x="178"/>
        <item h="1" x="234"/>
        <item h="1" x="148"/>
        <item h="1" x="1400"/>
        <item h="1" x="162"/>
        <item h="1" x="1040"/>
        <item h="1" x="1609"/>
        <item h="1" x="1019"/>
        <item h="1" x="296"/>
        <item h="1" x="1635"/>
        <item h="1" x="1727"/>
        <item h="1" x="1862"/>
        <item h="1" x="932"/>
        <item h="1" x="1642"/>
        <item h="1" x="1041"/>
        <item h="1" x="1615"/>
        <item h="1" x="1060"/>
        <item h="1" x="1594"/>
        <item h="1" x="1565"/>
        <item h="1" x="85"/>
        <item h="1" x="1175"/>
        <item h="1" x="566"/>
        <item h="1" x="1384"/>
        <item h="1" x="982"/>
        <item h="1" x="529"/>
        <item h="1" x="1342"/>
        <item h="1" x="1385"/>
        <item h="1" x="1833"/>
        <item h="1" x="290"/>
        <item h="1" x="1227"/>
        <item h="1" x="411"/>
        <item h="1" x="41"/>
        <item h="1" x="480"/>
        <item h="1" x="1160"/>
        <item h="1" x="57"/>
        <item h="1" x="1713"/>
        <item h="1" x="1225"/>
        <item h="1" x="1304"/>
        <item h="1" x="418"/>
        <item h="1" x="1750"/>
        <item h="1" x="988"/>
        <item h="1" x="603"/>
        <item h="1" x="1382"/>
        <item h="1" x="235"/>
        <item h="1" x="674"/>
        <item h="1" x="974"/>
        <item h="1" x="1038"/>
        <item h="1" x="1722"/>
        <item h="1" x="552"/>
        <item h="1" x="52"/>
        <item h="1" x="1323"/>
        <item h="1" x="81"/>
        <item h="1" x="144"/>
        <item h="1" x="147"/>
        <item h="1" x="679"/>
        <item h="1" x="1104"/>
        <item h="1" x="1344"/>
        <item h="1" x="1529"/>
        <item h="1" x="1583"/>
        <item h="1" x="260"/>
        <item h="1" x="829"/>
        <item h="1" x="759"/>
        <item h="1" x="1275"/>
        <item h="1" x="855"/>
        <item h="1" x="559"/>
        <item h="1" x="1686"/>
        <item h="1" x="580"/>
        <item h="1" x="794"/>
        <item h="1" x="1551"/>
        <item h="1" x="1596"/>
        <item h="1" x="656"/>
        <item h="1" x="1906"/>
        <item h="1" x="332"/>
        <item h="1" x="928"/>
        <item h="1" x="473"/>
        <item h="1" x="894"/>
        <item h="1" x="1461"/>
        <item h="1" x="69"/>
        <item h="1" x="1764"/>
        <item h="1" x="208"/>
        <item h="1" x="558"/>
        <item h="1" x="236"/>
        <item h="1" x="1295"/>
        <item h="1" x="1297"/>
        <item h="1" x="1417"/>
        <item h="1" x="1531"/>
        <item h="1" x="1008"/>
        <item h="1" x="358"/>
        <item h="1" x="189"/>
        <item h="1" x="991"/>
        <item h="1" x="1289"/>
        <item h="1" x="1202"/>
        <item h="1" x="1697"/>
        <item h="1" x="155"/>
        <item h="1" x="167"/>
        <item h="1" x="402"/>
        <item h="1" x="806"/>
        <item h="1" x="1387"/>
        <item h="1" x="1010"/>
        <item h="1" x="1607"/>
        <item h="1" x="22"/>
        <item h="1" x="799"/>
        <item h="1" x="663"/>
        <item h="1" x="1808"/>
        <item h="1" x="1598"/>
        <item h="1" x="188"/>
        <item h="1" x="1787"/>
        <item h="1" x="1908"/>
        <item h="1" x="432"/>
        <item h="1" x="864"/>
        <item h="1" x="596"/>
        <item h="1" x="1803"/>
        <item h="1" x="3"/>
        <item h="1" x="205"/>
        <item h="1" x="1331"/>
        <item h="1" x="462"/>
        <item h="1" x="1030"/>
        <item h="1" x="697"/>
        <item h="1" x="1749"/>
        <item h="1" x="1843"/>
        <item h="1" x="921"/>
        <item h="1" x="1210"/>
        <item h="1" x="487"/>
        <item h="1" x="1610"/>
        <item h="1" x="1822"/>
        <item h="1" x="113"/>
        <item h="1" x="1117"/>
        <item h="1" x="341"/>
        <item h="1" x="102"/>
        <item h="1" x="923"/>
        <item h="1" x="1576"/>
        <item h="1" x="1699"/>
        <item h="1" x="779"/>
        <item h="1" x="1641"/>
        <item h="1" x="1037"/>
        <item h="1" x="1738"/>
        <item h="1" x="1585"/>
        <item h="1" x="246"/>
        <item h="1" x="1126"/>
        <item h="1" x="920"/>
        <item h="1" x="1149"/>
        <item h="1" x="1025"/>
        <item h="1" x="1200"/>
        <item h="1" x="1915"/>
        <item h="1" x="375"/>
        <item h="1" x="892"/>
        <item h="1" x="274"/>
        <item h="1" x="1357"/>
        <item h="1" x="1828"/>
        <item h="1" x="1793"/>
        <item h="1" x="507"/>
        <item h="1" x="746"/>
        <item h="1" x="1381"/>
        <item h="1" x="368"/>
        <item h="1" x="14"/>
        <item h="1" x="46"/>
        <item h="1" x="1314"/>
        <item h="1" x="992"/>
        <item h="1" x="1479"/>
        <item h="1" x="1024"/>
        <item h="1" x="1765"/>
        <item h="1" x="861"/>
        <item h="1" x="734"/>
        <item h="1" x="1137"/>
        <item h="1" x="774"/>
        <item h="1" x="474"/>
        <item h="1" x="898"/>
        <item h="1" x="437"/>
        <item h="1" x="1138"/>
        <item h="1" x="796"/>
        <item h="1" x="669"/>
        <item h="1" x="1475"/>
        <item h="1" x="1069"/>
        <item h="1" x="1309"/>
        <item h="1" x="1536"/>
        <item h="1" x="1406"/>
        <item h="1" x="519"/>
        <item h="1" x="1146"/>
        <item h="1" x="937"/>
        <item h="1" x="347"/>
        <item h="1" x="989"/>
        <item h="1" x="1633"/>
        <item h="1" x="1780"/>
        <item h="1" x="1394"/>
        <item h="1" x="209"/>
        <item h="1" x="751"/>
        <item h="1" x="1114"/>
        <item h="1" x="1709"/>
        <item h="1" x="1530"/>
        <item h="1" x="1263"/>
        <item h="1" x="575"/>
        <item h="1" x="1016"/>
        <item h="1" x="784"/>
        <item h="1" x="1234"/>
        <item h="1" x="557"/>
        <item h="1" x="1776"/>
        <item h="1" x="1753"/>
        <item h="1" x="874"/>
        <item h="1" x="1229"/>
        <item h="1" x="426"/>
        <item h="1" x="841"/>
        <item h="1" x="1696"/>
        <item h="1" x="352"/>
        <item h="1" x="376"/>
        <item h="1" x="914"/>
        <item h="1" x="10"/>
        <item h="1" x="877"/>
        <item h="1" x="1222"/>
        <item h="1" x="74"/>
        <item h="1" x="421"/>
        <item h="1" x="1042"/>
        <item h="1" x="1320"/>
        <item h="1" x="1581"/>
        <item h="1" x="887"/>
        <item h="1" x="595"/>
        <item h="1" x="1241"/>
        <item h="1" x="1716"/>
        <item h="1" x="1774"/>
        <item h="1" x="1158"/>
        <item h="1" x="1652"/>
        <item h="1" x="357"/>
        <item h="1" x="1452"/>
        <item h="1" x="880"/>
        <item h="1" x="55"/>
        <item h="1" x="640"/>
        <item h="1" x="1148"/>
        <item h="1" x="137"/>
        <item h="1" x="1217"/>
        <item h="1" x="1435"/>
        <item h="1" x="1924"/>
        <item h="1" x="110"/>
        <item h="1" x="1426"/>
        <item h="1" x="1798"/>
        <item h="1" x="1267"/>
        <item h="1" x="1156"/>
        <item h="1" x="288"/>
        <item h="1" x="1078"/>
        <item h="1" x="1775"/>
        <item h="1" x="670"/>
        <item h="1" x="1398"/>
        <item h="1" x="1466"/>
        <item h="1" x="528"/>
        <item h="1" x="965"/>
        <item h="1" x="611"/>
        <item h="1" x="1669"/>
        <item h="1" x="503"/>
        <item h="1" x="1111"/>
        <item h="1" x="1113"/>
        <item h="1" x="90"/>
        <item h="1" x="1328"/>
        <item h="1" x="1875"/>
        <item h="1" x="1673"/>
        <item h="1" x="1494"/>
        <item h="1" x="577"/>
        <item h="1" x="1487"/>
        <item h="1" x="966"/>
        <item h="1" x="194"/>
        <item h="1" x="585"/>
        <item h="1" x="1336"/>
        <item h="1" x="1262"/>
        <item h="1" x="978"/>
        <item h="1" x="1825"/>
        <item h="1" x="777"/>
        <item h="1" x="1056"/>
        <item h="1" x="1408"/>
        <item h="1" x="1383"/>
        <item h="1" x="1631"/>
        <item h="1" x="238"/>
        <item h="1" x="605"/>
        <item h="1" x="297"/>
        <item h="1" x="1622"/>
        <item h="1" x="1135"/>
        <item h="1" x="172"/>
        <item h="1" x="902"/>
        <item h="1" x="497"/>
        <item h="1" x="650"/>
        <item h="1" x="1575"/>
        <item h="1" x="177"/>
        <item h="1" x="1312"/>
        <item h="1" x="365"/>
        <item h="1" x="1447"/>
        <item h="1" x="1330"/>
        <item h="1" x="1187"/>
        <item h="1" x="399"/>
        <item h="1" x="1278"/>
        <item h="1" x="1009"/>
        <item h="1" x="1165"/>
        <item h="1" x="1179"/>
        <item h="1" x="594"/>
        <item h="1" x="1671"/>
        <item h="1" x="1014"/>
        <item h="1" x="1203"/>
        <item h="1" x="453"/>
        <item h="1" x="1364"/>
        <item h="1" x="1844"/>
        <item h="1" x="999"/>
        <item h="1" x="1118"/>
        <item h="1" x="1253"/>
        <item h="1" x="592"/>
        <item h="1" x="130"/>
        <item h="1" x="366"/>
        <item h="1" x="1720"/>
        <item h="1" x="1739"/>
        <item h="1" x="1343"/>
        <item h="1" x="891"/>
        <item h="1" x="312"/>
        <item h="1" x="1746"/>
        <item h="1" x="1418"/>
        <item h="1" x="1914"/>
        <item h="1" x="1293"/>
        <item h="1" x="983"/>
        <item h="1" x="64"/>
        <item h="1" x="1864"/>
        <item h="1" x="1518"/>
        <item h="1" x="1188"/>
        <item h="1" x="1442"/>
        <item h="1" x="224"/>
        <item h="1" x="1931"/>
        <item h="1" x="1547"/>
        <item h="1" x="1619"/>
        <item h="1" x="917"/>
        <item h="1" x="1018"/>
        <item h="1" x="1717"/>
        <item h="1" x="1172"/>
        <item h="1" x="517"/>
        <item h="1" x="1325"/>
        <item h="1" x="749"/>
        <item h="1" x="1614"/>
        <item h="1" x="434"/>
        <item h="1" x="1063"/>
        <item h="1" x="45"/>
        <item h="1" x="1021"/>
        <item h="1" x="1186"/>
        <item h="1" x="359"/>
        <item h="1" x="214"/>
        <item h="1" x="1215"/>
        <item h="1" x="1212"/>
        <item h="1" x="814"/>
        <item h="1" x="1689"/>
        <item h="1" x="1664"/>
        <item h="1" x="131"/>
        <item h="1" x="593"/>
        <item h="1" x="1377"/>
        <item h="1" x="1821"/>
        <item h="1" x="362"/>
        <item h="1" x="973"/>
        <item h="1" x="1440"/>
        <item h="1" x="502"/>
        <item h="1" x="1112"/>
        <item h="1" x="1358"/>
        <item h="1" x="416"/>
        <item h="1" x="1003"/>
        <item h="1" x="164"/>
        <item h="1" x="1444"/>
        <item h="1" x="1556"/>
        <item h="1" x="1653"/>
        <item h="1" x="1587"/>
        <item h="1" x="417"/>
        <item h="1" x="1401"/>
        <item h="1" x="1097"/>
        <item h="1" x="1310"/>
        <item h="1" x="1726"/>
        <item h="1" x="1167"/>
        <item h="1" x="1492"/>
        <item h="1" x="243"/>
        <item h="1" x="1933"/>
        <item h="1" x="1625"/>
        <item h="1" x="1507"/>
        <item h="1" x="1002"/>
        <item h="1" x="941"/>
        <item h="1" x="106"/>
        <item h="1" x="464"/>
        <item h="1" x="486"/>
        <item h="1" x="1566"/>
        <item h="1" x="1468"/>
        <item h="1" x="1209"/>
        <item h="1" x="690"/>
        <item h="1" x="1657"/>
        <item h="1" x="809"/>
        <item h="1" x="379"/>
        <item h="1" x="68"/>
        <item h="1" x="1027"/>
        <item h="1" x="1692"/>
        <item h="1" x="225"/>
        <item h="1" x="967"/>
        <item h="1" x="222"/>
        <item h="1" x="284"/>
        <item h="1" x="1680"/>
        <item h="1" x="305"/>
        <item h="1" x="1568"/>
        <item h="1" x="825"/>
        <item h="1" x="1743"/>
        <item h="1" x="324"/>
        <item h="1" x="1178"/>
        <item h="1" x="1725"/>
        <item h="1" x="1213"/>
        <item h="1" x="44"/>
        <item h="1" x="1674"/>
        <item h="1" x="485"/>
        <item h="1" x="1851"/>
        <item h="1" x="1941"/>
        <item h="1" x="1205"/>
        <item h="1" x="1824"/>
        <item h="1" x="1508"/>
        <item h="1" x="313"/>
        <item h="1" x="990"/>
        <item h="1" x="1450"/>
        <item h="1" x="1888"/>
        <item h="1" x="1365"/>
        <item h="1" x="1393"/>
        <item h="1" x="860"/>
        <item h="1" x="1476"/>
        <item h="1" x="1464"/>
        <item h="1" x="627"/>
        <item h="1" x="97"/>
        <item h="1" x="33"/>
        <item h="1" x="1863"/>
        <item h="1" x="942"/>
        <item h="1" x="1636"/>
        <item h="1" x="1239"/>
        <item h="1" x="1823"/>
        <item h="1" x="78"/>
        <item h="1" x="1269"/>
        <item h="1" x="299"/>
        <item h="1" x="346"/>
        <item h="1" x="906"/>
        <item h="1" x="504"/>
        <item h="1" x="888"/>
        <item h="1" x="1744"/>
        <item h="1" x="384"/>
        <item h="1" x="460"/>
        <item h="1" x="508"/>
        <item h="1" x="1600"/>
        <item h="1" x="560"/>
        <item h="1" x="9"/>
        <item h="1" x="1333"/>
        <item h="1" x="1099"/>
        <item h="1" x="733"/>
        <item h="1" x="229"/>
        <item h="1" x="1235"/>
        <item h="1" x="1934"/>
        <item h="1" x="435"/>
        <item h="1" x="1181"/>
        <item h="1" x="1752"/>
        <item h="1" x="574"/>
        <item h="1" x="1804"/>
        <item h="1" x="1189"/>
        <item h="1" x="584"/>
        <item h="1" x="871"/>
        <item h="1" x="913"/>
        <item h="1" x="1932"/>
        <item h="1" x="655"/>
        <item h="1" x="1500"/>
        <item h="1" x="166"/>
        <item h="1" x="1702"/>
        <item h="1" x="542"/>
        <item h="1" x="997"/>
        <item h="1" x="1072"/>
        <item h="1" x="1085"/>
        <item h="1" x="866"/>
        <item h="1" x="1792"/>
        <item h="1" x="175"/>
        <item h="1" x="1561"/>
        <item h="1" x="1283"/>
        <item h="1" x="534"/>
        <item h="1" x="330"/>
        <item h="1" x="1375"/>
        <item h="1" x="1714"/>
        <item h="1" x="732"/>
        <item h="1" x="576"/>
        <item h="1" x="1415"/>
        <item h="1" x="283"/>
        <item h="1" x="1274"/>
        <item h="1" x="795"/>
        <item h="1" x="581"/>
        <item h="1" x="1740"/>
        <item h="1" x="616"/>
        <item h="1" x="410"/>
        <item h="1" x="863"/>
        <item h="1" x="319"/>
        <item h="1" x="1733"/>
        <item h="1" x="1665"/>
        <item h="1" x="32"/>
        <item h="1" x="893"/>
        <item h="1" x="1319"/>
        <item h="1" x="1055"/>
        <item h="1" x="760"/>
        <item h="1" x="1945"/>
        <item h="1" x="1228"/>
        <item h="1" x="897"/>
        <item h="1" x="793"/>
        <item h="1" x="263"/>
        <item h="1" x="1574"/>
        <item h="1" x="1650"/>
        <item h="1" x="1006"/>
        <item h="1" x="1166"/>
        <item h="1" x="881"/>
        <item h="1" x="986"/>
        <item h="1" x="292"/>
        <item h="1" x="88"/>
        <item h="1" x="724"/>
        <item h="1" x="1058"/>
        <item h="1" x="708"/>
        <item h="1" x="1499"/>
        <item h="1" x="1603"/>
        <item h="1" x="1718"/>
        <item h="1" x="926"/>
        <item h="1" x="1075"/>
        <item h="1" x="1482"/>
        <item h="1" x="1741"/>
        <item h="1" x="1084"/>
        <item h="1" x="181"/>
        <item h="1" x="1192"/>
        <item h="1" x="1789"/>
        <item h="1" x="835"/>
        <item h="1" x="1074"/>
        <item h="1" x="899"/>
        <item h="1" x="615"/>
        <item h="1" x="1094"/>
        <item h="1" x="1698"/>
        <item h="1" x="307"/>
        <item h="1" x="335"/>
        <item h="1" x="539"/>
        <item h="1" x="1471"/>
        <item h="1" x="121"/>
        <item h="1" x="252"/>
        <item h="1" x="952"/>
        <item h="1" x="73"/>
        <item h="1" x="315"/>
        <item h="1" x="604"/>
        <item h="1" x="798"/>
        <item h="1" x="1456"/>
        <item h="1" x="1624"/>
        <item h="1" x="1567"/>
        <item h="1" x="862"/>
        <item h="1" x="1155"/>
        <item h="1" x="858"/>
        <item h="1" x="1898"/>
        <item h="1" x="99"/>
        <item h="1" x="961"/>
        <item h="1" x="1176"/>
        <item h="1" x="875"/>
        <item h="1" x="868"/>
        <item h="1" x="1729"/>
        <item h="1" x="1572"/>
        <item h="1" x="370"/>
        <item h="1" x="439"/>
        <item h="1" x="1917"/>
        <item h="1" x="654"/>
        <item h="1" x="1782"/>
        <item h="1" x="1096"/>
        <item h="1" x="400"/>
        <item h="1" x="1731"/>
        <item h="1" x="420"/>
        <item h="1" x="1929"/>
        <item h="1" x="165"/>
        <item h="1" x="1758"/>
        <item h="1" x="1883"/>
        <item h="1" x="311"/>
        <item h="1" x="643"/>
        <item h="1" x="401"/>
        <item h="1" x="1911"/>
        <item h="1" x="436"/>
        <item h="1" x="1047"/>
        <item h="1" x="279"/>
        <item h="1" x="1616"/>
        <item h="1" x="443"/>
        <item h="1" x="429"/>
        <item h="1" x="642"/>
        <item h="1" x="1061"/>
        <item h="1" x="1777"/>
        <item h="1" x="1867"/>
        <item h="1" x="1922"/>
        <item h="1" x="562"/>
        <item h="1" x="525"/>
        <item h="1" x="900"/>
        <item h="1" x="1761"/>
        <item h="1" x="383"/>
        <item h="1" x="291"/>
        <item h="1" x="927"/>
        <item h="1" x="1206"/>
        <item h="1" x="1298"/>
        <item h="1" x="1001"/>
        <item h="1" x="424"/>
        <item h="1" x="1899"/>
        <item h="1" x="1742"/>
        <item h="1" x="556"/>
        <item h="1" x="269"/>
        <item h="1" x="870"/>
        <item h="1" x="1528"/>
        <item h="1" x="1136"/>
        <item h="1" x="579"/>
        <item h="1" x="1715"/>
        <item h="1" x="1246"/>
        <item h="1" x="569"/>
        <item h="1" x="72"/>
        <item h="1" x="960"/>
        <item h="1" x="667"/>
        <item h="1" x="230"/>
        <item h="1" x="910"/>
        <item h="1" x="80"/>
        <item h="1" x="258"/>
        <item h="1" x="1580"/>
        <item h="1" x="971"/>
        <item h="1" x="1054"/>
        <item h="1" x="1584"/>
        <item h="1" x="267"/>
        <item h="1" x="1266"/>
        <item h="1" x="672"/>
        <item h="1" x="1838"/>
        <item h="1" x="1306"/>
        <item h="1" x="394"/>
        <item h="1" x="1467"/>
        <item h="1" x="364"/>
        <item h="1" x="1818"/>
        <item h="1" x="854"/>
        <item h="1" x="1035"/>
        <item h="1" x="1745"/>
        <item h="1" x="31"/>
        <item h="1" x="1073"/>
        <item h="1" x="840"/>
        <item h="1" x="1029"/>
        <item h="1" x="1560"/>
        <item h="1" x="856"/>
        <item h="1" x="143"/>
        <item h="1" x="422"/>
        <item h="1" x="1682"/>
        <item h="1" x="171"/>
        <item h="1" x="1012"/>
        <item h="1" x="300"/>
        <item h="1" x="781"/>
        <item h="1" x="1252"/>
        <item h="1" x="718"/>
        <item h="1" x="1142"/>
        <item h="1" x="975"/>
        <item h="1" x="1668"/>
        <item h="1" x="1919"/>
        <item h="1" x="509"/>
        <item h="1" x="1412"/>
        <item h="1" x="1130"/>
        <item h="1" x="1237"/>
        <item h="1" x="1064"/>
        <item h="1" x="1022"/>
        <item h="1" x="770"/>
        <item h="1" x="271"/>
        <item h="1" x="769"/>
        <item h="1" x="1171"/>
        <item h="1" x="1781"/>
        <item h="1" x="7"/>
        <item h="1" x="1034"/>
        <item h="1" x="1185"/>
        <item h="1" x="1771"/>
        <item h="1" x="1809"/>
        <item h="1" x="597"/>
        <item h="1" x="94"/>
        <item h="1" x="601"/>
        <item h="1" x="35"/>
        <item h="1" x="916"/>
        <item h="1" x="885"/>
        <item h="1" x="641"/>
        <item h="1" x="1707"/>
        <item h="1" x="1928"/>
        <item h="1" x="30"/>
        <item h="1" x="1348"/>
        <item h="1" x="1935"/>
        <item h="1" x="1445"/>
        <item h="1" x="108"/>
        <item h="1" x="1345"/>
        <item h="1" x="231"/>
        <item h="1" x="1747"/>
        <item h="1" x="998"/>
        <item h="1" x="1820"/>
        <item h="1" x="203"/>
        <item h="1" x="1286"/>
        <item h="1" x="100"/>
        <item h="1" x="824"/>
        <item h="1" x="1654"/>
        <item h="1" x="1868"/>
        <item h="1" x="1768"/>
        <item h="1" x="1354"/>
        <item h="1" x="564"/>
        <item h="1" x="1284"/>
        <item h="1" x="1043"/>
        <item h="1" x="190"/>
        <item h="1" x="1812"/>
        <item h="1" x="123"/>
        <item h="1" x="908"/>
        <item h="1" x="70"/>
        <item h="1" x="1519"/>
        <item h="1" x="1422"/>
        <item h="1" x="1695"/>
        <item h="1" x="715"/>
        <item h="1" x="276"/>
        <item h="1" x="12"/>
        <item h="1" x="227"/>
        <item h="1" x="478"/>
        <item h="1" x="201"/>
        <item h="1" x="884"/>
        <item h="1" x="1708"/>
        <item h="1" x="522"/>
        <item h="1" x="1076"/>
        <item h="1" x="1338"/>
        <item h="1" x="361"/>
        <item h="1" x="423"/>
        <item h="1" x="87"/>
        <item h="1" x="815"/>
        <item h="1" x="427"/>
        <item h="1" x="8"/>
        <item h="1" x="1724"/>
        <item h="1" x="1305"/>
        <item h="1" x="1829"/>
        <item h="1" x="945"/>
        <item h="1" x="526"/>
        <item h="1" x="425"/>
        <item h="1" x="1690"/>
        <item h="1" x="1033"/>
        <item h="1" x="1930"/>
        <item h="1" x="1174"/>
        <item h="1" x="1404"/>
        <item h="1" x="1182"/>
        <item h="1" x="1077"/>
        <item h="1" x="1734"/>
        <item h="1" x="396"/>
        <item h="1" x="20"/>
        <item h="1" x="431"/>
        <item h="1" x="277"/>
        <item h="1" x="1675"/>
        <item h="1" x="47"/>
        <item h="1" x="1270"/>
        <item h="1" x="1244"/>
        <item h="1" x="140"/>
        <item h="1" x="1322"/>
        <item h="1" x="187"/>
        <item h="1" x="1525"/>
        <item h="1" x="1052"/>
        <item h="1" x="419"/>
        <item h="1" x="709"/>
        <item h="1" x="193"/>
        <item h="1" x="79"/>
        <item h="1" x="1458"/>
        <item h="1" x="765"/>
        <item h="1" x="717"/>
        <item h="1" x="1045"/>
        <item h="1" x="1604"/>
        <item h="1" x="213"/>
        <item h="1" x="944"/>
        <item h="1" x="1496"/>
        <item h="1" x="103"/>
        <item h="1" x="520"/>
        <item h="1" x="1623"/>
        <item h="1" x="1748"/>
        <item h="1" x="1835"/>
        <item h="1" x="723"/>
        <item h="1" x="378"/>
        <item h="1" x="440"/>
        <item h="1" x="356"/>
        <item h="1" x="1602"/>
        <item h="1" x="785"/>
        <item h="1" x="1374"/>
        <item h="1" x="701"/>
        <item h="1" x="843"/>
        <item h="1" x="4"/>
        <item h="1" x="1004"/>
        <item h="1" x="350"/>
        <item h="1" x="1240"/>
        <item h="1" x="1491"/>
        <item h="1" x="543"/>
        <item h="1" x="823"/>
        <item h="1" x="107"/>
        <item h="1" x="239"/>
        <item h="1" x="1224"/>
        <item h="1" x="173"/>
        <item h="1" x="1563"/>
        <item h="1" x="1802"/>
        <item h="1" x="168"/>
        <item h="1" x="281"/>
        <item h="1" x="686"/>
        <item h="1" x="253"/>
        <item h="1" x="962"/>
        <item h="1" x="1359"/>
        <item h="1" x="563"/>
        <item h="1" x="118"/>
        <item h="1" x="493"/>
        <item h="1" x="185"/>
        <item h="1" x="711"/>
        <item h="1" x="589"/>
        <item h="1" x="1611"/>
        <item h="1" x="818"/>
        <item h="1" x="467"/>
        <item h="1" x="27"/>
        <item h="1" x="1495"/>
        <item h="1" x="805"/>
        <item h="1" x="1214"/>
        <item h="1" x="1346"/>
        <item h="1" x="714"/>
        <item h="1" x="833"/>
        <item h="1" x="1770"/>
        <item h="1" x="61"/>
        <item h="1" x="310"/>
        <item h="1" x="132"/>
        <item h="1" x="1443"/>
        <item h="1" x="1465"/>
        <item h="1" x="1334"/>
        <item h="1" x="1317"/>
        <item h="1" x="1051"/>
        <item h="1" x="1376"/>
        <item h="1" x="639"/>
        <item h="1" x="1847"/>
        <item h="1" x="414"/>
        <item h="1" x="180"/>
        <item h="1" x="834"/>
        <item h="1" x="1920"/>
        <item h="1" x="184"/>
        <item h="1" x="1462"/>
        <item h="1" x="1897"/>
        <item h="1" x="1597"/>
        <item h="1" x="912"/>
        <item h="1" x="1291"/>
        <item h="1" x="1316"/>
        <item h="1" x="664"/>
        <item h="1" x="304"/>
        <item h="1" x="380"/>
        <item h="1" x="1501"/>
        <item h="1" x="1081"/>
        <item h="1" x="1592"/>
        <item h="1" x="696"/>
        <item h="1" x="830"/>
        <item h="1" x="685"/>
        <item h="1" x="1455"/>
        <item h="1" x="333"/>
        <item h="1" x="1207"/>
        <item h="1" x="1873"/>
        <item h="1" x="217"/>
        <item h="1" x="1088"/>
        <item h="1" x="553"/>
        <item h="1" x="342"/>
        <item h="1" x="635"/>
        <item h="1" x="477"/>
        <item h="1" x="567"/>
        <item h="1" x="1271"/>
        <item h="1" x="1490"/>
        <item h="1" x="1247"/>
        <item h="1" x="878"/>
        <item h="1" x="257"/>
        <item h="1" x="354"/>
        <item h="1" x="128"/>
        <item h="1" x="947"/>
        <item h="1" x="752"/>
        <item h="1" x="1810"/>
        <item h="1" x="254"/>
        <item h="1" x="1512"/>
        <item h="1" x="837"/>
        <item h="1" x="1751"/>
        <item h="1" x="959"/>
        <item h="1" x="149"/>
        <item h="1" x="1893"/>
        <item h="1" x="11"/>
        <item h="1" x="1534"/>
        <item h="1" x="264"/>
        <item h="1" x="710"/>
        <item h="1" x="1788"/>
        <item h="1" x="1268"/>
        <item h="1" x="492"/>
        <item h="1" x="787"/>
        <item h="1" x="1023"/>
        <item h="1" x="619"/>
        <item h="1" x="1080"/>
        <item h="1" x="428"/>
        <item h="1" x="683"/>
        <item h="1" x="42"/>
        <item h="1" x="852"/>
        <item h="1" x="532"/>
        <item h="1" x="1026"/>
        <item h="1" x="665"/>
        <item h="1" x="1645"/>
        <item h="1" x="950"/>
        <item h="1" x="692"/>
        <item h="1" x="1638"/>
        <item h="1" x="792"/>
        <item h="1" x="494"/>
        <item h="1" x="250"/>
        <item h="1" x="707"/>
        <item h="1" x="1877"/>
        <item h="1" x="458"/>
        <item h="1" x="675"/>
        <item h="1" x="1855"/>
        <item h="1" x="179"/>
        <item h="1" x="95"/>
        <item h="1" x="306"/>
        <item h="1" x="802"/>
        <item h="1" x="1509"/>
        <item h="1" x="938"/>
        <item h="1" x="373"/>
        <item h="1" x="987"/>
        <item h="1" x="413"/>
        <item h="1" x="613"/>
        <item h="1" x="66"/>
        <item h="1" x="1414"/>
        <item h="1" x="1503"/>
        <item h="1" x="1942"/>
        <item h="1" x="240"/>
        <item h="1" x="34"/>
        <item h="1" x="676"/>
        <item h="1" x="1773"/>
        <item h="1" x="1132"/>
        <item h="1" x="985"/>
        <item h="1" x="1778"/>
        <item h="1" x="625"/>
        <item h="1" x="554"/>
        <item h="1" x="1817"/>
        <item h="1" x="223"/>
        <item h="1" x="1834"/>
        <item h="1" x="1411"/>
        <item h="1" x="1850"/>
        <item h="1" x="1478"/>
        <item h="1" x="1485"/>
        <item h="1" x="649"/>
        <item h="1" x="1255"/>
        <item h="1" x="909"/>
        <item h="1" x="671"/>
        <item h="1" x="1582"/>
        <item h="1" x="700"/>
        <item h="1" x="1223"/>
        <item h="1" x="555"/>
        <item h="1" x="452"/>
        <item h="1" x="249"/>
        <item h="1" x="772"/>
        <item h="1" x="447"/>
        <item h="1" x="25"/>
        <item h="1" x="1711"/>
        <item h="1" x="895"/>
        <item h="1" x="1505"/>
        <item h="1" x="1545"/>
        <item h="1" x="1292"/>
        <item h="1" x="280"/>
        <item h="1" x="1339"/>
        <item h="1" x="857"/>
        <item h="1" x="628"/>
        <item h="1" x="1858"/>
        <item h="1" x="742"/>
        <item h="1" x="186"/>
        <item h="1" x="1763"/>
        <item h="1" x="472"/>
        <item h="1" x="610"/>
        <item h="1" x="476"/>
        <item h="1" x="754"/>
        <item h="1" x="139"/>
        <item h="1" x="1211"/>
        <item h="1" x="739"/>
        <item h="1" x="1493"/>
        <item h="1" x="571"/>
        <item h="1" x="1453"/>
        <item h="1" x="1474"/>
        <item h="1" x="1288"/>
        <item h="1" x="1261"/>
        <item h="1" x="445"/>
        <item h="1" x="1854"/>
        <item h="1" x="1347"/>
        <item h="1" x="124"/>
        <item h="1" x="511"/>
        <item h="1" x="1169"/>
        <item h="1" x="561"/>
        <item h="1" x="266"/>
        <item h="1" x="136"/>
        <item h="1" x="26"/>
        <item h="1" x="820"/>
        <item h="1" x="355"/>
        <item h="1" x="1489"/>
        <item h="1" x="1486"/>
        <item h="1" x="1397"/>
        <item h="1" x="1154"/>
        <item h="1" x="1220"/>
        <item h="1" x="1730"/>
        <item h="1" x="38"/>
        <item h="1" x="134"/>
        <item h="1" x="433"/>
        <item h="1" x="242"/>
        <item h="1" x="1677"/>
        <item h="1" x="1539"/>
        <item h="1" x="1510"/>
        <item h="1" x="1670"/>
        <item h="1" x="1121"/>
        <item h="1" x="1849"/>
        <item h="1" x="976"/>
        <item h="1" x="972"/>
        <item h="1" x="600"/>
        <item h="1" x="1637"/>
        <item h="1" x="1242"/>
        <item h="1" x="1524"/>
        <item h="1" x="1236"/>
        <item h="1" x="192"/>
        <item h="1" x="766"/>
        <item h="1" x="817"/>
        <item h="1" x="964"/>
        <item h="1" x="176"/>
        <item h="1" x="294"/>
        <item h="1" x="1704"/>
        <item h="1" x="1590"/>
        <item h="1" x="1386"/>
        <item h="1" x="1813"/>
        <item h="1" x="1391"/>
        <item h="1" x="1860"/>
        <item h="1" x="1691"/>
        <item h="1" x="1649"/>
        <item h="1" x="954"/>
        <item h="1" x="612"/>
        <item h="1" x="1895"/>
        <item h="1" x="327"/>
        <item h="1" x="684"/>
        <item h="1" x="544"/>
        <item h="1" x="471"/>
        <item h="1" x="1198"/>
        <item h="1" x="1659"/>
        <item h="1" x="1841"/>
        <item h="1" x="1321"/>
        <item h="1" x="1124"/>
        <item h="1" x="599"/>
        <item h="1" x="810"/>
        <item h="1" x="1352"/>
        <item h="1" x="1168"/>
        <item h="1" x="1194"/>
        <item h="1" x="1125"/>
        <item h="1" x="1703"/>
        <item h="1" x="56"/>
        <item h="1" x="930"/>
        <item h="1" x="1599"/>
        <item h="1" x="1410"/>
        <item h="1" x="1712"/>
        <item h="1" x="797"/>
        <item h="1" x="1366"/>
        <item h="1" x="1601"/>
        <item h="1" x="1276"/>
        <item h="1" x="1143"/>
        <item h="1" x="1356"/>
        <item h="1" x="1779"/>
        <item h="1" x="1769"/>
        <item h="1" x="215"/>
        <item h="1" x="18"/>
        <item h="1" x="1264"/>
        <item h="1" x="93"/>
        <item h="1" x="1832"/>
        <item h="1" x="415"/>
        <item h="1" x="666"/>
        <item h="1" x="1573"/>
        <item h="1" x="646"/>
        <item h="1" x="538"/>
        <item h="1" x="1514"/>
        <item h="1" x="1681"/>
        <item h="1" x="328"/>
        <item h="1" x="1629"/>
        <item h="1" x="1767"/>
        <item h="1" x="1243"/>
        <item h="1" x="512"/>
        <item h="1" x="1183"/>
        <item h="1" x="141"/>
        <item h="1" x="1256"/>
        <item h="1" x="1785"/>
        <item h="1" x="551"/>
        <item h="1" x="37"/>
        <item h="1" x="753"/>
        <item h="1" x="1190"/>
        <item h="1" x="1144"/>
        <item h="1" x="1407"/>
        <item h="1" x="1923"/>
        <item h="1" x="1886"/>
        <item h="1" x="1110"/>
        <item h="1" x="481"/>
        <item h="1" x="1108"/>
        <item h="1" x="1031"/>
        <item h="1" x="1431"/>
        <item h="1" x="587"/>
        <item h="1" x="1280"/>
        <item h="1" x="1434"/>
        <item h="1" x="1258"/>
        <item h="1" x="1050"/>
        <item h="1" x="591"/>
        <item h="1" x="1684"/>
        <item h="1" x="101"/>
        <item h="1" x="621"/>
        <item h="1" x="1651"/>
        <item h="1" x="827"/>
        <item h="1" x="1866"/>
        <item h="1" x="1204"/>
        <item h="1" x="1506"/>
        <item h="1" x="780"/>
        <item h="1" x="506"/>
        <item h="1" x="1620"/>
        <item h="1" x="1427"/>
        <item h="1" x="839"/>
        <item h="1" x="915"/>
        <item h="1" x="499"/>
        <item h="1" x="712"/>
        <item h="1" x="1927"/>
        <item h="1" x="968"/>
        <item h="1" x="540"/>
        <item h="1" x="1419"/>
        <item h="1" x="326"/>
        <item h="1" x="1791"/>
        <item h="1" x="1439"/>
        <item h="1" x="1646"/>
        <item h="1" x="1115"/>
        <item h="1" x="691"/>
        <item h="1" x="1093"/>
        <item h="1" x="1249"/>
        <item h="1" x="191"/>
        <item h="1" x="1107"/>
        <item h="1" x="1694"/>
        <item h="1" x="703"/>
        <item h="1" x="687"/>
        <item h="1" x="935"/>
        <item h="1" x="386"/>
        <item h="1" x="1693"/>
        <item h="1" x="382"/>
        <item h="1" x="237"/>
        <item h="1" x="1254"/>
        <item h="1" x="1815"/>
        <item h="1" x="1546"/>
        <item h="1" x="778"/>
        <item h="1" x="1395"/>
        <item h="1" x="1131"/>
        <item h="1" x="448"/>
        <item h="1" x="1449"/>
        <item h="1" x="195"/>
        <item h="1" x="1355"/>
        <item h="1" x="867"/>
        <item h="1" x="1460"/>
        <item h="1" x="510"/>
        <item h="1" x="60"/>
        <item h="1" x="1279"/>
        <item h="1" x="303"/>
        <item h="1" x="1526"/>
        <item h="1" x="286"/>
        <item h="1" x="876"/>
        <item h="1" x="1470"/>
        <item h="1" x="846"/>
        <item h="1" x="1732"/>
        <item h="1" x="1128"/>
        <item h="1" x="736"/>
        <item h="1" x="21"/>
        <item h="1" x="455"/>
        <item h="1" x="657"/>
        <item h="1" x="636"/>
        <item h="1" x="524"/>
        <item h="1" x="1480"/>
        <item h="1" x="1232"/>
        <item h="1" x="618"/>
        <item h="1" x="1218"/>
        <item h="1" x="1640"/>
        <item h="1" x="694"/>
        <item h="1" x="1591"/>
        <item h="1" x="1540"/>
        <item h="1" x="1432"/>
        <item h="1" x="1881"/>
        <item h="1" x="482"/>
        <item h="1" x="1532"/>
        <item h="1" x="845"/>
        <item h="1" x="1361"/>
        <item h="1" x="58"/>
        <item h="1" x="226"/>
        <item h="1" x="1032"/>
        <item h="1" x="91"/>
        <item h="1" x="407"/>
        <item h="1" x="730"/>
        <item h="1" x="1710"/>
        <item h="1" x="256"/>
        <item h="1" x="479"/>
        <item h="1" x="244"/>
        <item h="1" x="624"/>
        <item h="1" x="1904"/>
        <item h="1" x="744"/>
        <item h="1" x="735"/>
        <item h="1" x="614"/>
        <item h="1" x="1842"/>
        <item h="1" x="755"/>
        <item h="1" x="1570"/>
        <item h="1" x="1870"/>
        <item h="1" x="1119"/>
        <item h="1" x="1173"/>
        <item h="1" x="1134"/>
        <item h="1" x="1428"/>
        <item h="1" x="404"/>
        <item h="1" x="397"/>
        <item h="1" x="19"/>
        <item h="1" x="388"/>
        <item h="1" x="71"/>
        <item h="1" x="1943"/>
        <item h="1" x="1161"/>
        <item h="1" x="761"/>
        <item h="1" x="405"/>
        <item h="1" x="626"/>
        <item h="1" x="800"/>
        <item h="1" x="1163"/>
        <item h="1" x="1517"/>
        <item h="1" x="232"/>
        <item h="1" x="1326"/>
        <item h="1" x="1294"/>
        <item h="1" x="1766"/>
        <item h="1" x="1831"/>
        <item h="1" x="530"/>
        <item h="1" x="438"/>
        <item h="1" x="681"/>
        <item h="1" x="160"/>
        <item h="1" x="1087"/>
        <item h="1" x="248"/>
        <item h="1" x="442"/>
        <item h="1" x="518"/>
        <item h="1" x="371"/>
        <item h="1" x="1153"/>
        <item h="1" x="905"/>
        <item h="1" x="1481"/>
        <item h="1" x="115"/>
        <item h="1" x="1662"/>
        <item h="1" x="1049"/>
        <item h="1" x="444"/>
        <item h="1" x="1890"/>
        <item h="1" x="351"/>
        <item h="1" x="1527"/>
        <item h="1" x="54"/>
        <item h="1" x="135"/>
        <item h="1" x="441"/>
        <item h="1" x="1553"/>
        <item h="1" x="1882"/>
        <item h="1" x="819"/>
        <item h="1" x="727"/>
        <item h="1" x="1905"/>
        <item h="1" x="285"/>
        <item h="1" x="1940"/>
        <item h="1" x="1454"/>
        <item h="1" x="821"/>
        <item h="1" x="65"/>
        <item h="1" x="588"/>
        <item h="1" x="541"/>
        <item h="1" x="1140"/>
        <item h="1" x="773"/>
        <item h="1" x="109"/>
        <item h="1" x="536"/>
        <item h="1" x="1819"/>
        <item h="1" x="1896"/>
        <item h="1" x="1079"/>
        <item h="1" x="1679"/>
        <item h="1" x="1020"/>
        <item h="1" x="221"/>
        <item h="1" x="1285"/>
        <item h="1" x="89"/>
        <item h="1" x="1639"/>
        <item h="1" x="255"/>
        <item h="1" x="1826"/>
        <item h="1" x="1180"/>
        <item h="1" x="1362"/>
        <item h="1" x="337"/>
        <item h="1" x="403"/>
        <item h="1" x="1139"/>
        <item h="1" x="1100"/>
        <item h="1" x="1719"/>
        <item h="1" x="154"/>
        <item h="1" x="28"/>
        <item h="1" x="1816"/>
        <item h="1" x="245"/>
        <item h="1" x="301"/>
        <item h="1" x="1120"/>
        <item h="1" x="1028"/>
        <item h="1" x="1199"/>
        <item h="1" x="412"/>
        <item h="1" x="374"/>
        <item h="1" x="146"/>
        <item h="1" x="145"/>
        <item h="1" x="498"/>
        <item h="1" x="1814"/>
        <item h="1" x="1541"/>
        <item h="1" x="1145"/>
        <item h="1" x="578"/>
        <item h="1" x="122"/>
        <item h="1" x="39"/>
        <item h="1" x="929"/>
        <item h="1" x="325"/>
        <item h="1" x="1413"/>
        <item h="1" x="1451"/>
        <item h="1" x="948"/>
        <item h="1" x="457"/>
        <item h="1" x="1577"/>
        <item h="1" x="1000"/>
        <item h="1" x="1648"/>
        <item h="1" x="1925"/>
        <item h="1" x="637"/>
        <item h="1" x="321"/>
        <item h="1" x="408"/>
        <item h="1" x="572"/>
        <item h="1" x="1756"/>
        <item h="1" x="1520"/>
        <item h="1" x="1548"/>
        <item h="1" x="1327"/>
        <item h="1" x="513"/>
        <item h="1" x="82"/>
        <item h="1" x="1123"/>
        <item h="1" x="873"/>
        <item h="1" x="1557"/>
        <item h="1" x="1705"/>
        <item h="1" x="980"/>
        <item h="1" x="199"/>
        <item h="1" x="1555"/>
        <item h="1" x="662"/>
        <item h="1" x="791"/>
        <item h="1" x="583"/>
        <item h="1" x="953"/>
        <item h="1" x="1191"/>
        <item h="1" x="1579"/>
        <item h="1" x="1511"/>
        <item h="1" x="1667"/>
        <item h="1" x="1071"/>
        <item h="1" x="302"/>
        <item h="1" x="547"/>
        <item h="1" x="1538"/>
        <item h="1" x="398"/>
        <item h="1" x="1811"/>
        <item h="1" x="1349"/>
        <item h="1" x="1390"/>
        <item h="1" x="219"/>
        <item h="1" x="387"/>
        <item h="1" x="865"/>
        <item h="1" x="1784"/>
        <item h="1" x="747"/>
        <item h="1" x="1516"/>
        <item h="1" x="1837"/>
        <item h="1" x="1562"/>
        <item h="1" x="879"/>
        <item h="1" x="1315"/>
        <item h="1" x="159"/>
        <item h="1" x="568"/>
        <item h="1" x="828"/>
        <item h="1" x="1759"/>
        <item h="1" x="1874"/>
        <item h="1" x="104"/>
        <item h="1" x="533"/>
        <item h="1" x="955"/>
        <item h="1" x="946"/>
        <item h="1" x="1523"/>
        <item h="1" x="265"/>
        <item h="1" x="943"/>
        <item h="1" x="344"/>
        <item h="1" x="391"/>
        <item h="1" x="1634"/>
        <item h="1" x="117"/>
        <item h="1" x="1612"/>
        <item h="1" x="919"/>
        <item h="1" x="1062"/>
        <item h="1" x="514"/>
        <item h="1" x="1549"/>
        <item h="1" x="1420"/>
        <item h="1" x="318"/>
        <item h="1" x="931"/>
        <item h="1" x="790"/>
        <item h="1" x="963"/>
        <item h="1" x="1066"/>
        <item h="1" x="786"/>
        <item h="1" x="849"/>
        <item h="1" x="1706"/>
        <item h="1" x="1429"/>
        <item h="1" x="393"/>
        <item h="1" x="689"/>
        <item h="1" x="1502"/>
        <item h="1" x="1335"/>
        <item h="1" x="268"/>
        <item h="1" x="622"/>
        <item h="1" x="1938"/>
        <item h="1" x="1786"/>
        <item h="1" x="658"/>
        <item h="1" x="470"/>
        <item h="1" x="782"/>
        <item h="1" x="1647"/>
        <item h="1" x="1845"/>
        <item h="1" x="882"/>
        <item h="1" x="36"/>
        <item h="1" x="261"/>
        <item h="1" x="105"/>
        <item h="1" x="1424"/>
        <item h="1" x="565"/>
        <item h="1" x="608"/>
        <item h="1" x="1089"/>
        <item h="1" x="969"/>
        <item h="1" x="210"/>
        <item h="1" x="1498"/>
        <item h="1" x="659"/>
        <item h="1" x="1721"/>
        <item h="1" x="1533"/>
        <item h="1" x="152"/>
        <item h="1" x="59"/>
        <item h="1" x="392"/>
        <item h="1" x="1363"/>
        <item h="1" x="918"/>
        <item h="1" x="801"/>
        <item h="1" x="1177"/>
        <item h="1" x="816"/>
        <item h="1" x="314"/>
        <item h="1" x="1885"/>
        <item h="1" x="1655"/>
        <item h="1" x="23"/>
        <item h="1" x="832"/>
        <item h="1" x="1488"/>
        <item h="1" x="1157"/>
        <item h="1" x="1737"/>
        <item h="1" x="548"/>
        <item h="1" x="1369"/>
        <item h="1" x="450"/>
        <item h="1" x="1944"/>
        <item h="1" x="811"/>
        <item h="1" x="1307"/>
        <item h="1" x="1559"/>
        <item h="1" x="994"/>
        <item h="1" x="1869"/>
        <item h="1" x="1303"/>
        <item h="1" x="661"/>
        <item h="1" x="598"/>
        <item h="1" x="606"/>
        <item h="1" x="1497"/>
        <item h="1" x="1353"/>
        <item h="1" x="722"/>
        <item h="1" x="1257"/>
        <item h="1" x="1197"/>
        <item h="1" x="1324"/>
        <item h="1" x="1627"/>
        <item h="1" x="114"/>
        <item h="1" x="1515"/>
        <item h="1" x="77"/>
        <item h="1" x="590"/>
        <item h="1" x="127"/>
        <item h="1" x="200"/>
        <item h="1" x="24"/>
        <item h="1" x="40"/>
        <item h="1" x="1007"/>
        <item h="1" x="1423"/>
        <item h="1" x="1613"/>
        <item h="1" x="623"/>
        <item h="1" x="377"/>
        <item h="1" x="1887"/>
        <item h="1" x="1661"/>
        <item h="1" x="86"/>
        <item h="1" x="349"/>
        <item h="1" x="883"/>
        <item h="1" x="334"/>
        <item h="1" x="1216"/>
        <item h="1" x="1151"/>
        <item h="1" x="389"/>
        <item h="1" x="1106"/>
        <item h="1" x="1416"/>
        <item h="1" x="92"/>
        <item h="1" x="228"/>
        <item h="1" x="67"/>
        <item h="1" x="1311"/>
        <item h="1" x="853"/>
        <item h="1" x="247"/>
        <item h="1" x="996"/>
        <item h="1" x="1795"/>
        <item h="1" x="788"/>
        <item h="1" x="848"/>
        <item h="1" x="116"/>
        <item h="1" x="1201"/>
        <item h="1" x="1542"/>
        <item h="1" x="390"/>
        <item h="1" x="872"/>
        <item h="1" x="1683"/>
        <item h="1" x="1248"/>
        <item h="1" x="287"/>
        <item h="1" x="629"/>
        <item h="1" x="812"/>
        <item h="1" x="984"/>
        <item h="1" x="463"/>
        <item h="1" x="348"/>
        <item h="1" x="133"/>
        <item h="1" x="1436"/>
        <item h="1" x="1880"/>
        <item h="1" x="537"/>
        <item h="1" x="706"/>
        <item h="1" x="372"/>
        <item h="1" x="98"/>
        <item h="1" x="743"/>
        <item h="1" x="515"/>
        <item h="1" x="586"/>
        <item h="1" x="1405"/>
        <item h="1" x="838"/>
        <item h="1" x="1105"/>
        <item h="1" x="1871"/>
        <item h="1" x="1861"/>
        <item h="1" x="632"/>
        <item h="1" x="1371"/>
        <item h="1" x="76"/>
        <item h="1" x="309"/>
        <item h="1" x="466"/>
        <item h="1" x="1879"/>
        <item h="1" x="1433"/>
        <item h="1" x="15"/>
        <item h="1" x="758"/>
        <item h="1" x="1459"/>
        <item h="1" x="995"/>
        <item h="1" x="775"/>
        <item h="1" x="204"/>
        <item h="1" x="1437"/>
        <item h="1" x="1926"/>
        <item h="1" x="804"/>
        <item h="1" x="120"/>
        <item h="1" x="1159"/>
        <item h="1" x="1070"/>
        <item h="1" x="521"/>
        <item h="1" x="206"/>
        <item h="1" x="1441"/>
        <item h="1" x="0"/>
        <item h="1" x="1643"/>
        <item h="1" x="831"/>
        <item h="1" x="1617"/>
        <item h="1" x="1082"/>
        <item h="1" x="1504"/>
        <item h="1" x="1308"/>
        <item h="1" x="516"/>
        <item h="1" x="1238"/>
        <item h="1" x="1589"/>
        <item h="1" x="764"/>
        <item h="1" x="142"/>
        <item h="1" x="682"/>
        <item h="1" x="1913"/>
        <item h="1" x="1095"/>
        <item h="1" x="740"/>
        <item h="1" x="339"/>
        <item h="1" x="62"/>
        <item h="1" x="1260"/>
        <item h="1" x="1299"/>
        <item h="1" x="161"/>
        <item h="1" x="609"/>
        <item h="1" x="1402"/>
        <item h="1" x="756"/>
        <item h="1" x="822"/>
        <item h="1" x="345"/>
        <item h="1" x="289"/>
        <item h="1" x="322"/>
        <item h="1" x="1221"/>
        <item h="1" x="653"/>
        <item h="1" x="1233"/>
        <item h="1" x="456"/>
        <item h="1" x="1723"/>
        <item h="1" x="1046"/>
        <item h="1" x="713"/>
        <item h="1" x="981"/>
        <item h="1" x="1656"/>
        <item h="1" x="1839"/>
        <item h="1" x="1090"/>
        <item h="1" x="1939"/>
        <item h="1" x="704"/>
        <item h="1" x="1164"/>
        <item h="1" x="949"/>
        <item h="1" x="1231"/>
        <item h="1" x="1403"/>
        <item h="1" x="890"/>
        <item h="1" x="1251"/>
        <item h="1" x="729"/>
        <item h="1" x="151"/>
        <item h="1" x="197"/>
        <item h="1" x="1521"/>
        <item h="1" x="1892"/>
        <item h="1" x="489"/>
        <item h="1" x="582"/>
        <item h="1" x="1116"/>
        <item h="1" x="1282"/>
        <item h="1" x="1687"/>
        <item h="1" x="1103"/>
        <item h="1" x="1558"/>
        <item h="1" x="1388"/>
        <item h="1" x="1846"/>
        <item h="1" x="406"/>
        <item h="1" x="340"/>
        <item h="1" x="886"/>
        <item h="1" x="1676"/>
        <item h="1" x="1152"/>
        <item h="1" x="465"/>
        <item h="1" x="1936"/>
        <item h="1" x="1318"/>
        <item h="1" x="125"/>
        <item h="1" x="721"/>
        <item h="1" x="789"/>
        <item h="1" x="1469"/>
        <item h="1" x="1329"/>
        <item h="1" x="726"/>
        <item h="1" x="1857"/>
        <item h="1" x="1296"/>
        <item h="1" x="367"/>
        <item h="1" x="1859"/>
        <item h="1" x="1053"/>
        <item h="1" x="1554"/>
        <item h="1" x="1245"/>
        <item h="1" x="138"/>
        <item h="1" x="272"/>
        <item h="1" x="1141"/>
        <item h="1" x="1628"/>
        <item h="1" x="1281"/>
        <item h="1" x="488"/>
        <item h="1" x="211"/>
        <item h="1" x="745"/>
        <item h="1" x="651"/>
        <item h="1" x="430"/>
        <item h="1" x="1483"/>
        <item h="1" x="907"/>
        <item h="1" x="1571"/>
        <item h="1" x="570"/>
        <item h="1" x="1"/>
        <item h="1" x="308"/>
        <item h="1" x="500"/>
        <item h="1" x="768"/>
        <item h="1" x="385"/>
        <item h="1" x="1827"/>
        <item h="1" x="1876"/>
        <item h="1" x="1067"/>
        <item h="1" x="859"/>
        <item h="1" x="1337"/>
        <item h="1" x="1092"/>
        <item h="1" x="993"/>
        <item h="1" x="1685"/>
        <item h="1" x="940"/>
        <item h="1" x="1083"/>
        <item h="1" x="549"/>
        <item h="1" x="1332"/>
        <item h="1" x="63"/>
        <item h="1" x="889"/>
        <item h="1" x="1039"/>
        <item h="1" x="1300"/>
        <item h="1" x="1790"/>
        <item h="1" x="668"/>
        <item h="1" x="750"/>
        <item h="1" x="369"/>
        <item h="1" x="901"/>
        <item h="1" x="979"/>
        <item h="1" x="904"/>
        <item h="1" x="550"/>
        <item h="1" x="363"/>
        <item h="1" x="725"/>
        <item h="1" x="1350"/>
        <item h="1" x="678"/>
        <item h="1" x="1794"/>
        <item h="1" x="409"/>
        <item h="1" x="836"/>
        <item h="1" x="1901"/>
        <item h="1" x="484"/>
        <item h="1" x="1102"/>
        <item h="1" x="1122"/>
        <item h="1" x="259"/>
        <item h="1" x="336"/>
        <item h="1" x="911"/>
        <item h="1" x="1129"/>
        <item h="1" x="461"/>
        <item h="1" x="1301"/>
        <item h="1" x="1265"/>
        <item h="1" x="196"/>
        <item h="1" x="490"/>
        <item h="1" x="331"/>
        <item h="1" x="869"/>
        <item h="1" x="851"/>
        <item h="1" x="459"/>
        <item h="1" x="1578"/>
        <item h="1" x="647"/>
        <item h="1" x="169"/>
        <item h="1" x="1513"/>
        <item h="1" x="767"/>
        <item h="1" x="1522"/>
        <item h="1" x="970"/>
        <item h="1" x="1005"/>
        <item h="1" x="1367"/>
        <item h="1" x="273"/>
        <item h="1" x="531"/>
        <item h="1" x="939"/>
        <item h="1" x="1396"/>
        <item h="1" x="2"/>
        <item h="1" x="182"/>
        <item h="1" x="1341"/>
        <item h="1" x="174"/>
        <item h="1" x="1894"/>
        <item h="1" x="111"/>
        <item h="1" x="483"/>
        <item h="1" x="1593"/>
        <item h="1" x="638"/>
        <item h="1" x="220"/>
        <item h="1" x="1606"/>
        <item t="default"/>
      </items>
    </pivotField>
    <pivotField axis="axisRow" showAll="0">
      <items count="6">
        <item x="3"/>
        <item x="4"/>
        <item x="2"/>
        <item x="0"/>
        <item x="1"/>
        <item t="default"/>
      </items>
    </pivotField>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7"/>
  </rowFields>
  <rowItems count="6">
    <i>
      <x/>
    </i>
    <i>
      <x v="1"/>
    </i>
    <i>
      <x v="2"/>
    </i>
    <i>
      <x v="3"/>
    </i>
    <i>
      <x v="4"/>
    </i>
    <i t="grand">
      <x/>
    </i>
  </rowItems>
  <colItems count="1">
    <i/>
  </colItems>
  <dataFields count="1">
    <dataField name="Sum of TotalPrice" fld="13" baseField="0" baseItem="0"/>
  </dataFields>
  <chartFormats count="18">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7" count="1" selected="0">
            <x v="2"/>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7" count="1" selected="0">
            <x v="0"/>
          </reference>
        </references>
      </pivotArea>
    </chartFormat>
    <chartFormat chart="12" format="10">
      <pivotArea type="data" outline="0" fieldPosition="0">
        <references count="2">
          <reference field="4294967294" count="1" selected="0">
            <x v="0"/>
          </reference>
          <reference field="7" count="1" selected="0">
            <x v="1"/>
          </reference>
        </references>
      </pivotArea>
    </chartFormat>
    <chartFormat chart="12" format="11">
      <pivotArea type="data" outline="0" fieldPosition="0">
        <references count="2">
          <reference field="4294967294" count="1" selected="0">
            <x v="0"/>
          </reference>
          <reference field="7" count="1" selected="0">
            <x v="2"/>
          </reference>
        </references>
      </pivotArea>
    </chartFormat>
    <chartFormat chart="12" format="12">
      <pivotArea type="data" outline="0" fieldPosition="0">
        <references count="2">
          <reference field="4294967294" count="1" selected="0">
            <x v="0"/>
          </reference>
          <reference field="7" count="1" selected="0">
            <x v="3"/>
          </reference>
        </references>
      </pivotArea>
    </chartFormat>
    <chartFormat chart="12" format="13">
      <pivotArea type="data" outline="0" fieldPosition="0">
        <references count="2">
          <reference field="4294967294" count="1" selected="0">
            <x v="0"/>
          </reference>
          <reference field="7" count="1" selected="0">
            <x v="4"/>
          </reference>
        </references>
      </pivotArea>
    </chartFormat>
    <chartFormat chart="14" format="20" series="1">
      <pivotArea type="data" outline="0" fieldPosition="0">
        <references count="1">
          <reference field="4294967294" count="1" selected="0">
            <x v="0"/>
          </reference>
        </references>
      </pivotArea>
    </chartFormat>
    <chartFormat chart="14" format="21">
      <pivotArea type="data" outline="0" fieldPosition="0">
        <references count="2">
          <reference field="4294967294" count="1" selected="0">
            <x v="0"/>
          </reference>
          <reference field="7" count="1" selected="0">
            <x v="0"/>
          </reference>
        </references>
      </pivotArea>
    </chartFormat>
    <chartFormat chart="14" format="22">
      <pivotArea type="data" outline="0" fieldPosition="0">
        <references count="2">
          <reference field="4294967294" count="1" selected="0">
            <x v="0"/>
          </reference>
          <reference field="7" count="1" selected="0">
            <x v="1"/>
          </reference>
        </references>
      </pivotArea>
    </chartFormat>
    <chartFormat chart="14" format="23">
      <pivotArea type="data" outline="0" fieldPosition="0">
        <references count="2">
          <reference field="4294967294" count="1" selected="0">
            <x v="0"/>
          </reference>
          <reference field="7" count="1" selected="0">
            <x v="2"/>
          </reference>
        </references>
      </pivotArea>
    </chartFormat>
    <chartFormat chart="14" format="24">
      <pivotArea type="data" outline="0" fieldPosition="0">
        <references count="2">
          <reference field="4294967294" count="1" selected="0">
            <x v="0"/>
          </reference>
          <reference field="7" count="1" selected="0">
            <x v="3"/>
          </reference>
        </references>
      </pivotArea>
    </chartFormat>
    <chartFormat chart="14" format="25">
      <pivotArea type="data" outline="0" fieldPosition="0">
        <references count="2">
          <reference field="4294967294" count="1" selected="0">
            <x v="0"/>
          </reference>
          <reference field="7" count="1" selected="0">
            <x v="4"/>
          </reference>
        </references>
      </pivotArea>
    </chartFormat>
    <chartFormat chart="7" format="2">
      <pivotArea type="data" outline="0" fieldPosition="0">
        <references count="2">
          <reference field="4294967294" count="1" selected="0">
            <x v="0"/>
          </reference>
          <reference field="7" count="1" selected="0">
            <x v="0"/>
          </reference>
        </references>
      </pivotArea>
    </chartFormat>
    <chartFormat chart="7" format="3">
      <pivotArea type="data" outline="0" fieldPosition="0">
        <references count="2">
          <reference field="4294967294" count="1" selected="0">
            <x v="0"/>
          </reference>
          <reference field="7" count="1" selected="0">
            <x v="1"/>
          </reference>
        </references>
      </pivotArea>
    </chartFormat>
    <chartFormat chart="7" format="4">
      <pivotArea type="data" outline="0" fieldPosition="0">
        <references count="2">
          <reference field="4294967294" count="1" selected="0">
            <x v="0"/>
          </reference>
          <reference field="7" count="1" selected="0">
            <x v="3"/>
          </reference>
        </references>
      </pivotArea>
    </chartFormat>
    <chartFormat chart="7" format="5">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CC18992-11DC-4FEA-9365-37510E8CCCE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20" firstHeaderRow="1" firstDataRow="1" firstDataCol="1"/>
  <pivotFields count="16">
    <pivotField numFmtId="14" showAll="0">
      <items count="825">
        <item x="504"/>
        <item x="246"/>
        <item x="306"/>
        <item x="723"/>
        <item x="380"/>
        <item x="153"/>
        <item x="526"/>
        <item x="804"/>
        <item x="819"/>
        <item x="685"/>
        <item x="71"/>
        <item x="537"/>
        <item x="196"/>
        <item x="165"/>
        <item x="592"/>
        <item x="743"/>
        <item x="293"/>
        <item x="641"/>
        <item x="123"/>
        <item x="456"/>
        <item x="530"/>
        <item x="148"/>
        <item x="236"/>
        <item x="5"/>
        <item x="384"/>
        <item x="69"/>
        <item x="124"/>
        <item x="63"/>
        <item x="312"/>
        <item x="181"/>
        <item x="14"/>
        <item x="701"/>
        <item x="680"/>
        <item x="623"/>
        <item x="159"/>
        <item x="769"/>
        <item x="552"/>
        <item x="759"/>
        <item x="792"/>
        <item x="770"/>
        <item x="594"/>
        <item x="509"/>
        <item x="89"/>
        <item x="821"/>
        <item x="732"/>
        <item x="179"/>
        <item x="411"/>
        <item x="103"/>
        <item x="191"/>
        <item x="18"/>
        <item x="410"/>
        <item x="225"/>
        <item x="50"/>
        <item x="693"/>
        <item x="607"/>
        <item x="193"/>
        <item x="437"/>
        <item x="472"/>
        <item x="248"/>
        <item x="27"/>
        <item x="502"/>
        <item x="441"/>
        <item x="233"/>
        <item x="80"/>
        <item x="730"/>
        <item x="231"/>
        <item x="305"/>
        <item x="515"/>
        <item x="1"/>
        <item x="448"/>
        <item x="240"/>
        <item x="329"/>
        <item x="364"/>
        <item x="118"/>
        <item x="379"/>
        <item x="111"/>
        <item x="169"/>
        <item x="353"/>
        <item x="194"/>
        <item x="450"/>
        <item x="452"/>
        <item x="807"/>
        <item x="638"/>
        <item x="548"/>
        <item x="184"/>
        <item x="543"/>
        <item x="423"/>
        <item x="144"/>
        <item x="404"/>
        <item x="435"/>
        <item x="360"/>
        <item x="302"/>
        <item x="469"/>
        <item x="213"/>
        <item x="259"/>
        <item x="430"/>
        <item x="38"/>
        <item x="178"/>
        <item x="671"/>
        <item x="365"/>
        <item x="66"/>
        <item x="221"/>
        <item x="321"/>
        <item x="653"/>
        <item x="415"/>
        <item x="133"/>
        <item x="694"/>
        <item x="742"/>
        <item x="426"/>
        <item x="760"/>
        <item x="414"/>
        <item x="327"/>
        <item x="712"/>
        <item x="109"/>
        <item x="264"/>
        <item x="375"/>
        <item x="229"/>
        <item x="647"/>
        <item x="145"/>
        <item x="336"/>
        <item x="566"/>
        <item x="244"/>
        <item x="735"/>
        <item x="398"/>
        <item x="53"/>
        <item x="67"/>
        <item x="242"/>
        <item x="517"/>
        <item x="122"/>
        <item x="74"/>
        <item x="484"/>
        <item x="611"/>
        <item x="174"/>
        <item x="152"/>
        <item x="177"/>
        <item x="370"/>
        <item x="161"/>
        <item x="114"/>
        <item x="352"/>
        <item x="354"/>
        <item x="427"/>
        <item x="752"/>
        <item x="17"/>
        <item x="787"/>
        <item x="326"/>
        <item x="711"/>
        <item x="316"/>
        <item x="464"/>
        <item x="320"/>
        <item x="564"/>
        <item x="198"/>
        <item x="490"/>
        <item x="190"/>
        <item x="76"/>
        <item x="82"/>
        <item x="220"/>
        <item x="166"/>
        <item x="250"/>
        <item x="428"/>
        <item x="396"/>
        <item x="681"/>
        <item x="214"/>
        <item x="622"/>
        <item x="176"/>
        <item x="604"/>
        <item x="631"/>
        <item x="237"/>
        <item x="586"/>
        <item x="132"/>
        <item x="201"/>
        <item x="121"/>
        <item x="434"/>
        <item x="60"/>
        <item x="745"/>
        <item x="438"/>
        <item x="531"/>
        <item x="741"/>
        <item x="217"/>
        <item x="731"/>
        <item x="447"/>
        <item x="779"/>
        <item x="348"/>
        <item x="160"/>
        <item x="562"/>
        <item x="75"/>
        <item x="288"/>
        <item x="767"/>
        <item x="19"/>
        <item x="506"/>
        <item x="713"/>
        <item x="806"/>
        <item x="318"/>
        <item x="22"/>
        <item x="618"/>
        <item x="637"/>
        <item x="761"/>
        <item x="219"/>
        <item x="781"/>
        <item x="222"/>
        <item x="418"/>
        <item x="704"/>
        <item x="675"/>
        <item x="7"/>
        <item x="698"/>
        <item x="809"/>
        <item x="192"/>
        <item x="577"/>
        <item x="818"/>
        <item x="315"/>
        <item x="626"/>
        <item x="803"/>
        <item x="296"/>
        <item x="62"/>
        <item x="274"/>
        <item x="343"/>
        <item x="359"/>
        <item x="579"/>
        <item x="514"/>
        <item x="588"/>
        <item x="202"/>
        <item x="59"/>
        <item x="345"/>
        <item x="466"/>
        <item x="106"/>
        <item x="9"/>
        <item x="496"/>
        <item x="613"/>
        <item x="660"/>
        <item x="211"/>
        <item x="569"/>
        <item x="356"/>
        <item x="798"/>
        <item x="811"/>
        <item x="270"/>
        <item x="10"/>
        <item x="155"/>
        <item x="425"/>
        <item x="16"/>
        <item x="610"/>
        <item x="299"/>
        <item x="656"/>
        <item x="212"/>
        <item x="593"/>
        <item x="483"/>
        <item x="740"/>
        <item x="495"/>
        <item x="482"/>
        <item x="341"/>
        <item x="739"/>
        <item x="238"/>
        <item x="521"/>
        <item x="137"/>
        <item x="550"/>
        <item x="30"/>
        <item x="57"/>
        <item x="251"/>
        <item x="527"/>
        <item x="207"/>
        <item x="20"/>
        <item x="688"/>
        <item x="254"/>
        <item x="317"/>
        <item x="230"/>
        <item x="708"/>
        <item x="573"/>
        <item x="574"/>
        <item x="673"/>
        <item x="29"/>
        <item x="810"/>
        <item x="115"/>
        <item x="697"/>
        <item x="669"/>
        <item x="442"/>
        <item x="171"/>
        <item x="763"/>
        <item x="812"/>
        <item x="788"/>
        <item x="720"/>
        <item x="64"/>
        <item x="157"/>
        <item x="51"/>
        <item x="366"/>
        <item x="215"/>
        <item x="187"/>
        <item x="223"/>
        <item x="322"/>
        <item x="61"/>
        <item x="290"/>
        <item x="620"/>
        <item x="172"/>
        <item x="692"/>
        <item x="532"/>
        <item x="719"/>
        <item x="292"/>
        <item x="536"/>
        <item x="471"/>
        <item x="519"/>
        <item x="776"/>
        <item x="158"/>
        <item x="505"/>
        <item x="337"/>
        <item x="140"/>
        <item x="445"/>
        <item x="313"/>
        <item x="47"/>
        <item x="439"/>
        <item x="108"/>
        <item x="705"/>
        <item x="486"/>
        <item x="314"/>
        <item x="6"/>
        <item x="308"/>
        <item x="749"/>
        <item x="403"/>
        <item x="683"/>
        <item x="580"/>
        <item x="762"/>
        <item x="565"/>
        <item x="339"/>
        <item x="420"/>
        <item x="350"/>
        <item x="563"/>
        <item x="358"/>
        <item x="632"/>
        <item x="646"/>
        <item x="374"/>
        <item x="335"/>
        <item x="130"/>
        <item x="657"/>
        <item x="273"/>
        <item x="284"/>
        <item x="42"/>
        <item x="325"/>
        <item x="164"/>
        <item x="540"/>
        <item x="629"/>
        <item x="68"/>
        <item x="263"/>
        <item x="545"/>
        <item x="652"/>
        <item x="432"/>
        <item x="755"/>
        <item x="382"/>
        <item x="758"/>
        <item x="338"/>
        <item x="738"/>
        <item x="475"/>
        <item x="780"/>
        <item x="628"/>
        <item x="272"/>
        <item x="664"/>
        <item x="707"/>
        <item x="101"/>
        <item x="710"/>
        <item x="41"/>
        <item x="800"/>
        <item x="146"/>
        <item x="15"/>
        <item x="33"/>
        <item x="820"/>
        <item x="765"/>
        <item x="138"/>
        <item x="393"/>
        <item x="714"/>
        <item x="616"/>
        <item x="409"/>
        <item x="78"/>
        <item x="24"/>
        <item x="85"/>
        <item x="387"/>
        <item x="11"/>
        <item x="113"/>
        <item x="319"/>
        <item x="134"/>
        <item x="88"/>
        <item x="582"/>
        <item x="294"/>
        <item x="578"/>
        <item x="751"/>
        <item x="125"/>
        <item x="408"/>
        <item x="110"/>
        <item x="756"/>
        <item x="591"/>
        <item x="271"/>
        <item x="600"/>
        <item x="344"/>
        <item x="518"/>
        <item x="170"/>
        <item x="304"/>
        <item x="46"/>
        <item x="129"/>
        <item x="468"/>
        <item x="334"/>
        <item x="553"/>
        <item x="226"/>
        <item x="662"/>
        <item x="783"/>
        <item x="127"/>
        <item x="796"/>
        <item x="596"/>
        <item x="173"/>
        <item x="49"/>
        <item x="107"/>
        <item x="503"/>
        <item x="183"/>
        <item x="303"/>
        <item x="525"/>
        <item x="511"/>
        <item x="757"/>
        <item x="606"/>
        <item x="725"/>
        <item x="0"/>
        <item x="268"/>
        <item x="619"/>
        <item x="381"/>
        <item x="397"/>
        <item x="639"/>
        <item x="687"/>
        <item x="260"/>
        <item x="451"/>
        <item x="331"/>
        <item x="510"/>
        <item x="571"/>
        <item x="141"/>
        <item x="487"/>
        <item x="630"/>
        <item x="689"/>
        <item x="256"/>
        <item x="663"/>
        <item x="686"/>
        <item x="659"/>
        <item x="278"/>
        <item x="116"/>
        <item x="750"/>
        <item x="255"/>
        <item x="2"/>
        <item x="206"/>
        <item x="538"/>
        <item x="678"/>
        <item x="104"/>
        <item x="773"/>
        <item x="309"/>
        <item x="156"/>
        <item x="93"/>
        <item x="651"/>
        <item x="112"/>
        <item x="436"/>
        <item x="609"/>
        <item x="54"/>
        <item x="422"/>
        <item x="367"/>
        <item x="474"/>
        <item x="8"/>
        <item x="342"/>
        <item x="822"/>
        <item x="285"/>
        <item x="465"/>
        <item x="416"/>
        <item x="440"/>
        <item x="383"/>
        <item x="182"/>
        <item x="587"/>
        <item x="677"/>
        <item x="516"/>
        <item x="706"/>
        <item x="43"/>
        <item x="392"/>
        <item x="199"/>
        <item x="774"/>
        <item x="823"/>
        <item x="257"/>
        <item x="555"/>
        <item x="431"/>
        <item x="203"/>
        <item x="764"/>
        <item x="535"/>
        <item x="330"/>
        <item x="533"/>
        <item x="400"/>
        <item x="4"/>
        <item x="32"/>
        <item x="667"/>
        <item x="39"/>
        <item x="40"/>
        <item x="598"/>
        <item x="413"/>
        <item x="777"/>
        <item x="766"/>
        <item x="793"/>
        <item x="249"/>
        <item x="210"/>
        <item x="388"/>
        <item x="557"/>
        <item x="349"/>
        <item x="90"/>
        <item x="281"/>
        <item x="205"/>
        <item x="801"/>
        <item x="399"/>
        <item x="700"/>
        <item x="412"/>
        <item x="539"/>
        <item x="310"/>
        <item x="668"/>
        <item x="737"/>
        <item x="126"/>
        <item x="676"/>
        <item x="696"/>
        <item x="368"/>
        <item x="597"/>
        <item x="91"/>
        <item x="568"/>
        <item x="265"/>
        <item x="295"/>
        <item x="83"/>
        <item x="346"/>
        <item x="401"/>
        <item x="94"/>
        <item x="70"/>
        <item x="347"/>
        <item x="389"/>
        <item x="498"/>
        <item x="142"/>
        <item x="92"/>
        <item x="23"/>
        <item x="277"/>
        <item x="154"/>
        <item x="150"/>
        <item x="633"/>
        <item x="709"/>
        <item x="726"/>
        <item x="37"/>
        <item x="599"/>
        <item x="136"/>
        <item x="340"/>
        <item x="77"/>
        <item x="590"/>
        <item x="185"/>
        <item x="361"/>
        <item x="21"/>
        <item x="276"/>
        <item x="462"/>
        <item x="799"/>
        <item x="640"/>
        <item x="218"/>
        <item x="721"/>
        <item x="478"/>
        <item x="666"/>
        <item x="753"/>
        <item x="117"/>
        <item x="286"/>
        <item x="289"/>
        <item x="175"/>
        <item x="546"/>
        <item x="287"/>
        <item x="635"/>
        <item x="625"/>
        <item x="458"/>
        <item x="444"/>
        <item x="544"/>
        <item x="12"/>
        <item x="151"/>
        <item x="575"/>
        <item x="247"/>
        <item x="624"/>
        <item x="386"/>
        <item x="523"/>
        <item x="605"/>
        <item x="729"/>
        <item x="570"/>
        <item x="262"/>
        <item x="307"/>
        <item x="332"/>
        <item x="252"/>
        <item x="817"/>
        <item x="323"/>
        <item x="791"/>
        <item x="556"/>
        <item x="561"/>
        <item x="391"/>
        <item x="679"/>
        <item x="699"/>
        <item x="73"/>
        <item x="672"/>
        <item x="460"/>
        <item x="786"/>
        <item x="528"/>
        <item x="494"/>
        <item x="216"/>
        <item x="253"/>
        <item x="815"/>
        <item x="279"/>
        <item x="224"/>
        <item x="655"/>
        <item x="186"/>
        <item x="784"/>
        <item x="209"/>
        <item x="261"/>
        <item x="79"/>
        <item x="805"/>
        <item x="35"/>
        <item x="429"/>
        <item x="163"/>
        <item x="559"/>
        <item x="96"/>
        <item x="433"/>
        <item x="727"/>
        <item x="507"/>
        <item x="395"/>
        <item x="84"/>
        <item x="394"/>
        <item x="72"/>
        <item x="390"/>
        <item x="467"/>
        <item x="131"/>
        <item x="508"/>
        <item x="541"/>
        <item x="491"/>
        <item x="782"/>
        <item x="733"/>
        <item x="617"/>
        <item x="139"/>
        <item x="372"/>
        <item x="301"/>
        <item x="328"/>
        <item x="232"/>
        <item x="48"/>
        <item x="376"/>
        <item x="300"/>
        <item x="324"/>
        <item x="549"/>
        <item x="691"/>
        <item x="135"/>
        <item x="585"/>
        <item x="529"/>
        <item x="189"/>
        <item x="644"/>
        <item x="642"/>
        <item x="243"/>
        <item x="188"/>
        <item x="477"/>
        <item x="808"/>
        <item x="56"/>
        <item x="421"/>
        <item x="195"/>
        <item x="634"/>
        <item x="31"/>
        <item x="405"/>
        <item x="771"/>
        <item x="128"/>
        <item x="34"/>
        <item x="650"/>
        <item x="446"/>
        <item x="736"/>
        <item x="612"/>
        <item x="234"/>
        <item x="95"/>
        <item x="814"/>
        <item x="424"/>
        <item x="682"/>
        <item x="665"/>
        <item x="97"/>
        <item x="235"/>
        <item x="542"/>
        <item x="167"/>
        <item x="55"/>
        <item x="744"/>
        <item x="362"/>
        <item x="333"/>
        <item x="453"/>
        <item x="197"/>
        <item x="572"/>
        <item x="778"/>
        <item x="589"/>
        <item x="204"/>
        <item x="297"/>
        <item x="560"/>
        <item x="621"/>
        <item x="715"/>
        <item x="149"/>
        <item x="25"/>
        <item x="500"/>
        <item x="567"/>
        <item x="105"/>
        <item x="52"/>
        <item x="512"/>
        <item x="789"/>
        <item x="351"/>
        <item x="558"/>
        <item x="480"/>
        <item x="98"/>
        <item x="369"/>
        <item x="208"/>
        <item x="499"/>
        <item x="658"/>
        <item x="3"/>
        <item x="724"/>
        <item x="406"/>
        <item x="797"/>
        <item x="534"/>
        <item x="795"/>
        <item x="280"/>
        <item x="501"/>
        <item x="245"/>
        <item x="455"/>
        <item x="119"/>
        <item x="584"/>
        <item x="695"/>
        <item x="716"/>
        <item x="443"/>
        <item x="58"/>
        <item x="702"/>
        <item x="481"/>
        <item x="703"/>
        <item x="615"/>
        <item x="485"/>
        <item x="65"/>
        <item x="385"/>
        <item x="554"/>
        <item x="267"/>
        <item x="470"/>
        <item x="728"/>
        <item x="239"/>
        <item x="649"/>
        <item x="602"/>
        <item x="595"/>
        <item x="476"/>
        <item x="718"/>
        <item x="180"/>
        <item x="473"/>
        <item x="488"/>
        <item x="603"/>
        <item x="643"/>
        <item x="513"/>
        <item x="26"/>
        <item x="813"/>
        <item x="489"/>
        <item x="497"/>
        <item x="266"/>
        <item x="614"/>
        <item x="479"/>
        <item x="269"/>
        <item x="547"/>
        <item x="258"/>
        <item x="601"/>
        <item x="373"/>
        <item x="100"/>
        <item x="355"/>
        <item x="463"/>
        <item x="371"/>
        <item x="802"/>
        <item x="378"/>
        <item x="627"/>
        <item x="168"/>
        <item x="44"/>
        <item x="283"/>
        <item x="722"/>
        <item x="754"/>
        <item x="661"/>
        <item x="775"/>
        <item x="576"/>
        <item x="794"/>
        <item x="81"/>
        <item x="551"/>
        <item x="357"/>
        <item x="417"/>
        <item x="790"/>
        <item x="670"/>
        <item x="654"/>
        <item x="45"/>
        <item x="99"/>
        <item x="785"/>
        <item x="454"/>
        <item x="363"/>
        <item x="608"/>
        <item x="522"/>
        <item x="461"/>
        <item x="36"/>
        <item x="457"/>
        <item x="674"/>
        <item x="493"/>
        <item x="816"/>
        <item x="690"/>
        <item x="636"/>
        <item x="459"/>
        <item x="228"/>
        <item x="748"/>
        <item x="768"/>
        <item x="86"/>
        <item x="520"/>
        <item x="583"/>
        <item x="147"/>
        <item x="419"/>
        <item x="407"/>
        <item x="648"/>
        <item x="120"/>
        <item x="402"/>
        <item x="200"/>
        <item x="772"/>
        <item x="449"/>
        <item x="291"/>
        <item x="311"/>
        <item x="377"/>
        <item x="143"/>
        <item x="734"/>
        <item x="746"/>
        <item x="241"/>
        <item x="227"/>
        <item x="102"/>
        <item x="298"/>
        <item x="162"/>
        <item x="13"/>
        <item x="275"/>
        <item x="87"/>
        <item x="717"/>
        <item x="684"/>
        <item x="524"/>
        <item x="492"/>
        <item x="28"/>
        <item x="282"/>
        <item x="581"/>
        <item x="645"/>
        <item x="747"/>
        <item t="default"/>
      </items>
    </pivotField>
    <pivotField showAll="0"/>
    <pivotField showAll="0"/>
    <pivotField axis="axisRow" showAll="0">
      <items count="5">
        <item x="2"/>
        <item x="1"/>
        <item x="0"/>
        <item x="3"/>
        <item t="default"/>
      </items>
    </pivotField>
    <pivotField showAll="0">
      <items count="8">
        <item x="5"/>
        <item x="4"/>
        <item x="2"/>
        <item x="3"/>
        <item x="6"/>
        <item x="1"/>
        <item x="0"/>
        <item t="default"/>
      </items>
    </pivotField>
    <pivotField showAll="0"/>
    <pivotField showAll="0"/>
    <pivotField showAll="0"/>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axis="axisRow" showAll="0" defaultSubtotal="0">
      <items count="5">
        <item x="0"/>
        <item x="1"/>
        <item x="2"/>
        <item x="3"/>
        <item x="4"/>
      </items>
    </pivotField>
  </pivotFields>
  <rowFields count="2">
    <field x="3"/>
    <field x="15"/>
  </rowFields>
  <rowItems count="17">
    <i>
      <x/>
    </i>
    <i r="1">
      <x v="1"/>
    </i>
    <i r="1">
      <x v="2"/>
    </i>
    <i r="1">
      <x v="3"/>
    </i>
    <i>
      <x v="1"/>
    </i>
    <i r="1">
      <x v="1"/>
    </i>
    <i r="1">
      <x v="2"/>
    </i>
    <i r="1">
      <x v="3"/>
    </i>
    <i>
      <x v="2"/>
    </i>
    <i r="1">
      <x v="1"/>
    </i>
    <i r="1">
      <x v="2"/>
    </i>
    <i r="1">
      <x v="3"/>
    </i>
    <i>
      <x v="3"/>
    </i>
    <i r="1">
      <x v="1"/>
    </i>
    <i r="1">
      <x v="2"/>
    </i>
    <i r="1">
      <x v="3"/>
    </i>
    <i t="grand">
      <x/>
    </i>
  </rowItems>
  <colItems count="1">
    <i/>
  </colItems>
  <dataFields count="1">
    <dataField name="Sum of TotalPrice" fld="13" baseField="0" baseItem="0"/>
  </dataFields>
  <chartFormats count="6">
    <chartFormat chart="15" format="0" series="1">
      <pivotArea type="data" outline="0" fieldPosition="0">
        <references count="1">
          <reference field="4294967294" count="1" selected="0">
            <x v="0"/>
          </reference>
        </references>
      </pivotArea>
    </chartFormat>
    <chartFormat chart="15" format="1">
      <pivotArea type="data" outline="0" fieldPosition="0">
        <references count="3">
          <reference field="4294967294" count="1" selected="0">
            <x v="0"/>
          </reference>
          <reference field="3" count="1" selected="0">
            <x v="3"/>
          </reference>
          <reference field="15" count="1" selected="0">
            <x v="2"/>
          </reference>
        </references>
      </pivotArea>
    </chartFormat>
    <chartFormat chart="15" format="2">
      <pivotArea type="data" outline="0" fieldPosition="0">
        <references count="3">
          <reference field="4294967294" count="1" selected="0">
            <x v="0"/>
          </reference>
          <reference field="3" count="1" selected="0">
            <x v="3"/>
          </reference>
          <reference field="15" count="1" selected="0">
            <x v="3"/>
          </reference>
        </references>
      </pivotArea>
    </chartFormat>
    <chartFormat chart="15" format="3">
      <pivotArea type="data" outline="0" fieldPosition="0">
        <references count="3">
          <reference field="4294967294" count="1" selected="0">
            <x v="0"/>
          </reference>
          <reference field="3" count="1" selected="0">
            <x v="3"/>
          </reference>
          <reference field="15" count="1" selected="0">
            <x v="1"/>
          </reference>
        </references>
      </pivotArea>
    </chartFormat>
    <chartFormat chart="18" format="5" series="1">
      <pivotArea type="data" outline="0" fieldPosition="0">
        <references count="1">
          <reference field="4294967294" count="1" selected="0">
            <x v="0"/>
          </reference>
        </references>
      </pivotArea>
    </chartFormat>
    <chartFormat chart="20"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35431F4-80D3-499A-92BC-16C66E69EA9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11" firstHeaderRow="0" firstDataRow="1" firstDataCol="1"/>
  <pivotFields count="16">
    <pivotField numFmtId="14" showAll="0">
      <items count="825">
        <item x="504"/>
        <item x="246"/>
        <item x="306"/>
        <item x="723"/>
        <item x="380"/>
        <item x="153"/>
        <item x="526"/>
        <item x="804"/>
        <item x="819"/>
        <item x="685"/>
        <item x="71"/>
        <item x="537"/>
        <item x="196"/>
        <item x="165"/>
        <item x="592"/>
        <item x="743"/>
        <item x="293"/>
        <item x="641"/>
        <item x="123"/>
        <item x="456"/>
        <item x="530"/>
        <item x="148"/>
        <item x="236"/>
        <item x="5"/>
        <item x="384"/>
        <item x="69"/>
        <item x="124"/>
        <item x="63"/>
        <item x="312"/>
        <item x="181"/>
        <item x="14"/>
        <item x="701"/>
        <item x="680"/>
        <item x="623"/>
        <item x="159"/>
        <item x="769"/>
        <item x="552"/>
        <item x="759"/>
        <item x="792"/>
        <item x="770"/>
        <item x="594"/>
        <item x="509"/>
        <item x="89"/>
        <item x="821"/>
        <item x="732"/>
        <item x="179"/>
        <item x="411"/>
        <item x="103"/>
        <item x="191"/>
        <item x="18"/>
        <item x="410"/>
        <item x="225"/>
        <item x="50"/>
        <item x="693"/>
        <item x="607"/>
        <item x="193"/>
        <item x="437"/>
        <item x="472"/>
        <item x="248"/>
        <item x="27"/>
        <item x="502"/>
        <item x="441"/>
        <item x="233"/>
        <item x="80"/>
        <item x="730"/>
        <item x="231"/>
        <item x="305"/>
        <item x="515"/>
        <item x="1"/>
        <item x="448"/>
        <item x="240"/>
        <item x="329"/>
        <item x="364"/>
        <item x="118"/>
        <item x="379"/>
        <item x="111"/>
        <item x="169"/>
        <item x="353"/>
        <item x="194"/>
        <item x="450"/>
        <item x="452"/>
        <item x="807"/>
        <item x="638"/>
        <item x="548"/>
        <item x="184"/>
        <item x="543"/>
        <item x="423"/>
        <item x="144"/>
        <item x="404"/>
        <item x="435"/>
        <item x="360"/>
        <item x="302"/>
        <item x="469"/>
        <item x="213"/>
        <item x="259"/>
        <item x="430"/>
        <item x="38"/>
        <item x="178"/>
        <item x="671"/>
        <item x="365"/>
        <item x="66"/>
        <item x="221"/>
        <item x="321"/>
        <item x="653"/>
        <item x="415"/>
        <item x="133"/>
        <item x="694"/>
        <item x="742"/>
        <item x="426"/>
        <item x="760"/>
        <item x="414"/>
        <item x="327"/>
        <item x="712"/>
        <item x="109"/>
        <item x="264"/>
        <item x="375"/>
        <item x="229"/>
        <item x="647"/>
        <item x="145"/>
        <item x="336"/>
        <item x="566"/>
        <item x="244"/>
        <item x="735"/>
        <item x="398"/>
        <item x="53"/>
        <item x="67"/>
        <item x="242"/>
        <item x="517"/>
        <item x="122"/>
        <item x="74"/>
        <item x="484"/>
        <item x="611"/>
        <item x="174"/>
        <item x="152"/>
        <item x="177"/>
        <item x="370"/>
        <item x="161"/>
        <item x="114"/>
        <item x="352"/>
        <item x="354"/>
        <item x="427"/>
        <item x="752"/>
        <item x="17"/>
        <item x="787"/>
        <item x="326"/>
        <item x="711"/>
        <item x="316"/>
        <item x="464"/>
        <item x="320"/>
        <item x="564"/>
        <item x="198"/>
        <item x="490"/>
        <item x="190"/>
        <item x="76"/>
        <item x="82"/>
        <item x="220"/>
        <item x="166"/>
        <item x="250"/>
        <item x="428"/>
        <item x="396"/>
        <item x="681"/>
        <item x="214"/>
        <item x="622"/>
        <item x="176"/>
        <item x="604"/>
        <item x="631"/>
        <item x="237"/>
        <item x="586"/>
        <item x="132"/>
        <item x="201"/>
        <item x="121"/>
        <item x="434"/>
        <item x="60"/>
        <item x="745"/>
        <item x="438"/>
        <item x="531"/>
        <item x="741"/>
        <item x="217"/>
        <item x="731"/>
        <item x="447"/>
        <item x="779"/>
        <item x="348"/>
        <item x="160"/>
        <item x="562"/>
        <item x="75"/>
        <item x="288"/>
        <item x="767"/>
        <item x="19"/>
        <item x="506"/>
        <item x="713"/>
        <item x="806"/>
        <item x="318"/>
        <item x="22"/>
        <item x="618"/>
        <item x="637"/>
        <item x="761"/>
        <item x="219"/>
        <item x="781"/>
        <item x="222"/>
        <item x="418"/>
        <item x="704"/>
        <item x="675"/>
        <item x="7"/>
        <item x="698"/>
        <item x="809"/>
        <item x="192"/>
        <item x="577"/>
        <item x="818"/>
        <item x="315"/>
        <item x="626"/>
        <item x="803"/>
        <item x="296"/>
        <item x="62"/>
        <item x="274"/>
        <item x="343"/>
        <item x="359"/>
        <item x="579"/>
        <item x="514"/>
        <item x="588"/>
        <item x="202"/>
        <item x="59"/>
        <item x="345"/>
        <item x="466"/>
        <item x="106"/>
        <item x="9"/>
        <item x="496"/>
        <item x="613"/>
        <item x="660"/>
        <item x="211"/>
        <item x="569"/>
        <item x="356"/>
        <item x="798"/>
        <item x="811"/>
        <item x="270"/>
        <item x="10"/>
        <item x="155"/>
        <item x="425"/>
        <item x="16"/>
        <item x="610"/>
        <item x="299"/>
        <item x="656"/>
        <item x="212"/>
        <item x="593"/>
        <item x="483"/>
        <item x="740"/>
        <item x="495"/>
        <item x="482"/>
        <item x="341"/>
        <item x="739"/>
        <item x="238"/>
        <item x="521"/>
        <item x="137"/>
        <item x="550"/>
        <item x="30"/>
        <item x="57"/>
        <item x="251"/>
        <item x="527"/>
        <item x="207"/>
        <item x="20"/>
        <item x="688"/>
        <item x="254"/>
        <item x="317"/>
        <item x="230"/>
        <item x="708"/>
        <item x="573"/>
        <item x="574"/>
        <item x="673"/>
        <item x="29"/>
        <item x="810"/>
        <item x="115"/>
        <item x="697"/>
        <item x="669"/>
        <item x="442"/>
        <item x="171"/>
        <item x="763"/>
        <item x="812"/>
        <item x="788"/>
        <item x="720"/>
        <item x="64"/>
        <item x="157"/>
        <item x="51"/>
        <item x="366"/>
        <item x="215"/>
        <item x="187"/>
        <item x="223"/>
        <item x="322"/>
        <item x="61"/>
        <item x="290"/>
        <item x="620"/>
        <item x="172"/>
        <item x="692"/>
        <item x="532"/>
        <item x="719"/>
        <item x="292"/>
        <item x="536"/>
        <item x="471"/>
        <item x="519"/>
        <item x="776"/>
        <item x="158"/>
        <item x="505"/>
        <item x="337"/>
        <item x="140"/>
        <item x="445"/>
        <item x="313"/>
        <item x="47"/>
        <item x="439"/>
        <item x="108"/>
        <item x="705"/>
        <item x="486"/>
        <item x="314"/>
        <item x="6"/>
        <item x="308"/>
        <item x="749"/>
        <item x="403"/>
        <item x="683"/>
        <item x="580"/>
        <item x="762"/>
        <item x="565"/>
        <item x="339"/>
        <item x="420"/>
        <item x="350"/>
        <item x="563"/>
        <item x="358"/>
        <item x="632"/>
        <item x="646"/>
        <item x="374"/>
        <item x="335"/>
        <item x="130"/>
        <item x="657"/>
        <item x="273"/>
        <item x="284"/>
        <item x="42"/>
        <item x="325"/>
        <item x="164"/>
        <item x="540"/>
        <item x="629"/>
        <item x="68"/>
        <item x="263"/>
        <item x="545"/>
        <item x="652"/>
        <item x="432"/>
        <item x="755"/>
        <item x="382"/>
        <item x="758"/>
        <item x="338"/>
        <item x="738"/>
        <item x="475"/>
        <item x="780"/>
        <item x="628"/>
        <item x="272"/>
        <item x="664"/>
        <item x="707"/>
        <item x="101"/>
        <item x="710"/>
        <item x="41"/>
        <item x="800"/>
        <item x="146"/>
        <item x="15"/>
        <item x="33"/>
        <item x="820"/>
        <item x="765"/>
        <item x="138"/>
        <item x="393"/>
        <item x="714"/>
        <item x="616"/>
        <item x="409"/>
        <item x="78"/>
        <item x="24"/>
        <item x="85"/>
        <item x="387"/>
        <item x="11"/>
        <item x="113"/>
        <item x="319"/>
        <item x="134"/>
        <item x="88"/>
        <item x="582"/>
        <item x="294"/>
        <item x="578"/>
        <item x="751"/>
        <item x="125"/>
        <item x="408"/>
        <item x="110"/>
        <item x="756"/>
        <item x="591"/>
        <item x="271"/>
        <item x="600"/>
        <item x="344"/>
        <item x="518"/>
        <item x="170"/>
        <item x="304"/>
        <item x="46"/>
        <item x="129"/>
        <item x="468"/>
        <item x="334"/>
        <item x="553"/>
        <item x="226"/>
        <item x="662"/>
        <item x="783"/>
        <item x="127"/>
        <item x="796"/>
        <item x="596"/>
        <item x="173"/>
        <item x="49"/>
        <item x="107"/>
        <item x="503"/>
        <item x="183"/>
        <item x="303"/>
        <item x="525"/>
        <item x="511"/>
        <item x="757"/>
        <item x="606"/>
        <item x="725"/>
        <item x="0"/>
        <item x="268"/>
        <item x="619"/>
        <item x="381"/>
        <item x="397"/>
        <item x="639"/>
        <item x="687"/>
        <item x="260"/>
        <item x="451"/>
        <item x="331"/>
        <item x="510"/>
        <item x="571"/>
        <item x="141"/>
        <item x="487"/>
        <item x="630"/>
        <item x="689"/>
        <item x="256"/>
        <item x="663"/>
        <item x="686"/>
        <item x="659"/>
        <item x="278"/>
        <item x="116"/>
        <item x="750"/>
        <item x="255"/>
        <item x="2"/>
        <item x="206"/>
        <item x="538"/>
        <item x="678"/>
        <item x="104"/>
        <item x="773"/>
        <item x="309"/>
        <item x="156"/>
        <item x="93"/>
        <item x="651"/>
        <item x="112"/>
        <item x="436"/>
        <item x="609"/>
        <item x="54"/>
        <item x="422"/>
        <item x="367"/>
        <item x="474"/>
        <item x="8"/>
        <item x="342"/>
        <item x="822"/>
        <item x="285"/>
        <item x="465"/>
        <item x="416"/>
        <item x="440"/>
        <item x="383"/>
        <item x="182"/>
        <item x="587"/>
        <item x="677"/>
        <item x="516"/>
        <item x="706"/>
        <item x="43"/>
        <item x="392"/>
        <item x="199"/>
        <item x="774"/>
        <item x="823"/>
        <item x="257"/>
        <item x="555"/>
        <item x="431"/>
        <item x="203"/>
        <item x="764"/>
        <item x="535"/>
        <item x="330"/>
        <item x="533"/>
        <item x="400"/>
        <item x="4"/>
        <item x="32"/>
        <item x="667"/>
        <item x="39"/>
        <item x="40"/>
        <item x="598"/>
        <item x="413"/>
        <item x="777"/>
        <item x="766"/>
        <item x="793"/>
        <item x="249"/>
        <item x="210"/>
        <item x="388"/>
        <item x="557"/>
        <item x="349"/>
        <item x="90"/>
        <item x="281"/>
        <item x="205"/>
        <item x="801"/>
        <item x="399"/>
        <item x="700"/>
        <item x="412"/>
        <item x="539"/>
        <item x="310"/>
        <item x="668"/>
        <item x="737"/>
        <item x="126"/>
        <item x="676"/>
        <item x="696"/>
        <item x="368"/>
        <item x="597"/>
        <item x="91"/>
        <item x="568"/>
        <item x="265"/>
        <item x="295"/>
        <item x="83"/>
        <item x="346"/>
        <item x="401"/>
        <item x="94"/>
        <item x="70"/>
        <item x="347"/>
        <item x="389"/>
        <item x="498"/>
        <item x="142"/>
        <item x="92"/>
        <item x="23"/>
        <item x="277"/>
        <item x="154"/>
        <item x="150"/>
        <item x="633"/>
        <item x="709"/>
        <item x="726"/>
        <item x="37"/>
        <item x="599"/>
        <item x="136"/>
        <item x="340"/>
        <item x="77"/>
        <item x="590"/>
        <item x="185"/>
        <item x="361"/>
        <item x="21"/>
        <item x="276"/>
        <item x="462"/>
        <item x="799"/>
        <item x="640"/>
        <item x="218"/>
        <item x="721"/>
        <item x="478"/>
        <item x="666"/>
        <item x="753"/>
        <item x="117"/>
        <item x="286"/>
        <item x="289"/>
        <item x="175"/>
        <item x="546"/>
        <item x="287"/>
        <item x="635"/>
        <item x="625"/>
        <item x="458"/>
        <item x="444"/>
        <item x="544"/>
        <item x="12"/>
        <item x="151"/>
        <item x="575"/>
        <item x="247"/>
        <item x="624"/>
        <item x="386"/>
        <item x="523"/>
        <item x="605"/>
        <item x="729"/>
        <item x="570"/>
        <item x="262"/>
        <item x="307"/>
        <item x="332"/>
        <item x="252"/>
        <item x="817"/>
        <item x="323"/>
        <item x="791"/>
        <item x="556"/>
        <item x="561"/>
        <item x="391"/>
        <item x="679"/>
        <item x="699"/>
        <item x="73"/>
        <item x="672"/>
        <item x="460"/>
        <item x="786"/>
        <item x="528"/>
        <item x="494"/>
        <item x="216"/>
        <item x="253"/>
        <item x="815"/>
        <item x="279"/>
        <item x="224"/>
        <item x="655"/>
        <item x="186"/>
        <item x="784"/>
        <item x="209"/>
        <item x="261"/>
        <item x="79"/>
        <item x="805"/>
        <item x="35"/>
        <item x="429"/>
        <item x="163"/>
        <item x="559"/>
        <item x="96"/>
        <item x="433"/>
        <item x="727"/>
        <item x="507"/>
        <item x="395"/>
        <item x="84"/>
        <item x="394"/>
        <item x="72"/>
        <item x="390"/>
        <item x="467"/>
        <item x="131"/>
        <item x="508"/>
        <item x="541"/>
        <item x="491"/>
        <item x="782"/>
        <item x="733"/>
        <item x="617"/>
        <item x="139"/>
        <item x="372"/>
        <item x="301"/>
        <item x="328"/>
        <item x="232"/>
        <item x="48"/>
        <item x="376"/>
        <item x="300"/>
        <item x="324"/>
        <item x="549"/>
        <item x="691"/>
        <item x="135"/>
        <item x="585"/>
        <item x="529"/>
        <item x="189"/>
        <item x="644"/>
        <item x="642"/>
        <item x="243"/>
        <item x="188"/>
        <item x="477"/>
        <item x="808"/>
        <item x="56"/>
        <item x="421"/>
        <item x="195"/>
        <item x="634"/>
        <item x="31"/>
        <item x="405"/>
        <item x="771"/>
        <item x="128"/>
        <item x="34"/>
        <item x="650"/>
        <item x="446"/>
        <item x="736"/>
        <item x="612"/>
        <item x="234"/>
        <item x="95"/>
        <item x="814"/>
        <item x="424"/>
        <item x="682"/>
        <item x="665"/>
        <item x="97"/>
        <item x="235"/>
        <item x="542"/>
        <item x="167"/>
        <item x="55"/>
        <item x="744"/>
        <item x="362"/>
        <item x="333"/>
        <item x="453"/>
        <item x="197"/>
        <item x="572"/>
        <item x="778"/>
        <item x="589"/>
        <item x="204"/>
        <item x="297"/>
        <item x="560"/>
        <item x="621"/>
        <item x="715"/>
        <item x="149"/>
        <item x="25"/>
        <item x="500"/>
        <item x="567"/>
        <item x="105"/>
        <item x="52"/>
        <item x="512"/>
        <item x="789"/>
        <item x="351"/>
        <item x="558"/>
        <item x="480"/>
        <item x="98"/>
        <item x="369"/>
        <item x="208"/>
        <item x="499"/>
        <item x="658"/>
        <item x="3"/>
        <item x="724"/>
        <item x="406"/>
        <item x="797"/>
        <item x="534"/>
        <item x="795"/>
        <item x="280"/>
        <item x="501"/>
        <item x="245"/>
        <item x="455"/>
        <item x="119"/>
        <item x="584"/>
        <item x="695"/>
        <item x="716"/>
        <item x="443"/>
        <item x="58"/>
        <item x="702"/>
        <item x="481"/>
        <item x="703"/>
        <item x="615"/>
        <item x="485"/>
        <item x="65"/>
        <item x="385"/>
        <item x="554"/>
        <item x="267"/>
        <item x="470"/>
        <item x="728"/>
        <item x="239"/>
        <item x="649"/>
        <item x="602"/>
        <item x="595"/>
        <item x="476"/>
        <item x="718"/>
        <item x="180"/>
        <item x="473"/>
        <item x="488"/>
        <item x="603"/>
        <item x="643"/>
        <item x="513"/>
        <item x="26"/>
        <item x="813"/>
        <item x="489"/>
        <item x="497"/>
        <item x="266"/>
        <item x="614"/>
        <item x="479"/>
        <item x="269"/>
        <item x="547"/>
        <item x="258"/>
        <item x="601"/>
        <item x="373"/>
        <item x="100"/>
        <item x="355"/>
        <item x="463"/>
        <item x="371"/>
        <item x="802"/>
        <item x="378"/>
        <item x="627"/>
        <item x="168"/>
        <item x="44"/>
        <item x="283"/>
        <item x="722"/>
        <item x="754"/>
        <item x="661"/>
        <item x="775"/>
        <item x="576"/>
        <item x="794"/>
        <item x="81"/>
        <item x="551"/>
        <item x="357"/>
        <item x="417"/>
        <item x="790"/>
        <item x="670"/>
        <item x="654"/>
        <item x="45"/>
        <item x="99"/>
        <item x="785"/>
        <item x="454"/>
        <item x="363"/>
        <item x="608"/>
        <item x="522"/>
        <item x="461"/>
        <item x="36"/>
        <item x="457"/>
        <item x="674"/>
        <item x="493"/>
        <item x="816"/>
        <item x="690"/>
        <item x="636"/>
        <item x="459"/>
        <item x="228"/>
        <item x="748"/>
        <item x="768"/>
        <item x="86"/>
        <item x="520"/>
        <item x="583"/>
        <item x="147"/>
        <item x="419"/>
        <item x="407"/>
        <item x="648"/>
        <item x="120"/>
        <item x="402"/>
        <item x="200"/>
        <item x="772"/>
        <item x="449"/>
        <item x="291"/>
        <item x="311"/>
        <item x="377"/>
        <item x="143"/>
        <item x="734"/>
        <item x="746"/>
        <item x="241"/>
        <item x="227"/>
        <item x="102"/>
        <item x="298"/>
        <item x="162"/>
        <item x="13"/>
        <item x="275"/>
        <item x="87"/>
        <item x="717"/>
        <item x="684"/>
        <item x="524"/>
        <item x="492"/>
        <item x="28"/>
        <item x="282"/>
        <item x="581"/>
        <item x="645"/>
        <item x="747"/>
        <item t="default"/>
      </items>
    </pivotField>
    <pivotField showAll="0"/>
    <pivotField showAll="0"/>
    <pivotField showAll="0">
      <items count="5">
        <item x="2"/>
        <item x="1"/>
        <item x="0"/>
        <item x="3"/>
        <item t="default"/>
      </items>
    </pivotField>
    <pivotField axis="axisRow" showAll="0">
      <items count="8">
        <item x="5"/>
        <item x="4"/>
        <item x="2"/>
        <item x="3"/>
        <item x="6"/>
        <item x="1"/>
        <item x="0"/>
        <item t="default"/>
      </items>
    </pivotField>
    <pivotField dataField="1" showAll="0"/>
    <pivotField showAll="0"/>
    <pivotField showAll="0"/>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4"/>
  </rowFields>
  <rowItems count="8">
    <i>
      <x/>
    </i>
    <i>
      <x v="1"/>
    </i>
    <i>
      <x v="2"/>
    </i>
    <i>
      <x v="3"/>
    </i>
    <i>
      <x v="4"/>
    </i>
    <i>
      <x v="5"/>
    </i>
    <i>
      <x v="6"/>
    </i>
    <i t="grand">
      <x/>
    </i>
  </rowItems>
  <colFields count="1">
    <field x="-2"/>
  </colFields>
  <colItems count="2">
    <i>
      <x/>
    </i>
    <i i="1">
      <x v="1"/>
    </i>
  </colItems>
  <dataFields count="2">
    <dataField name="Sum of TotalPrice" fld="13" baseField="0" baseItem="0"/>
    <dataField name="Sum of Quantity" fld="5" baseField="0" baseItem="0"/>
  </dataFields>
  <chartFormats count="8">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A1778EC-3C2F-4D31-B0E5-67390FF51F95}" autoFormatId="16" applyNumberFormats="0" applyBorderFormats="0" applyFontFormats="0" applyPatternFormats="0" applyAlignmentFormats="0" applyWidthHeightFormats="0">
  <queryTableRefresh nextId="16" unboundColumnsRight="1">
    <queryTableFields count="15">
      <queryTableField id="1" name="Date" tableColumnId="1"/>
      <queryTableField id="2" name="Time" tableColumnId="2"/>
      <queryTableField id="3" name="StoreID" tableColumnId="3"/>
      <queryTableField id="4" name="Location" tableColumnId="4"/>
      <queryTableField id="5" name="Product" tableColumnId="5"/>
      <queryTableField id="6" name="Quantity" tableColumnId="6"/>
      <queryTableField id="7" name="UnitPrice" tableColumnId="7"/>
      <queryTableField id="8" name="PaymentType" tableColumnId="8"/>
      <queryTableField id="9" name="TransactionID" tableColumnId="9"/>
      <queryTableField id="10" name="Cashier" tableColumnId="10"/>
      <queryTableField id="11" name="StoreManager" tableColumnId="11"/>
      <queryTableField id="12" name="TimeOfDay" tableColumnId="12"/>
      <queryTableField id="13" name="DayOfWeek" tableColumnId="13"/>
      <queryTableField id="14" name="TotalPrice" tableColumnId="14"/>
      <queryTableField id="15" dataBound="0"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8259722F-F0A4-468C-98D6-5BBBB1B36BC1}" sourceName="Months (Date)">
  <pivotTables>
    <pivotTable tabId="3" name="PivotTable1"/>
    <pivotTable tabId="11" name="PivotTable7"/>
    <pivotTable tabId="4" name="KPI_PIVOT"/>
    <pivotTable tabId="7" name="PivotTable3"/>
    <pivotTable tabId="8" name="PivotTable4"/>
    <pivotTable tabId="9" name="PivotTable5"/>
    <pivotTable tabId="10" name="PivotTable6"/>
  </pivotTables>
  <data>
    <tabular pivotCacheId="1668390478">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701A6306-FC35-4878-B9ED-172588C1BE0B}" sourceName="Location">
  <pivotTables>
    <pivotTable tabId="7" name="PivotTable3"/>
    <pivotTable tabId="3" name="PivotTable1"/>
    <pivotTable tabId="11" name="PivotTable7"/>
    <pivotTable tabId="4" name="KPI_PIVOT"/>
    <pivotTable tabId="8" name="PivotTable4"/>
    <pivotTable tabId="9" name="PivotTable5"/>
    <pivotTable tabId="10" name="PivotTable6"/>
  </pivotTables>
  <data>
    <tabular pivotCacheId="1668390478">
      <items count="4">
        <i x="2" s="1"/>
        <i x="1"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A34ED71F-794B-4A1F-B3D2-8DC4FC865F19}" sourceName="Product">
  <pivotTables>
    <pivotTable tabId="11" name="PivotTable7"/>
    <pivotTable tabId="3" name="PivotTable1"/>
    <pivotTable tabId="4" name="KPI_PIVOT"/>
    <pivotTable tabId="7" name="PivotTable3"/>
    <pivotTable tabId="8" name="PivotTable4"/>
    <pivotTable tabId="9" name="PivotTable5"/>
    <pivotTable tabId="10" name="PivotTable6"/>
  </pivotTables>
  <data>
    <tabular pivotCacheId="1668390478">
      <items count="7">
        <i x="5" s="1"/>
        <i x="4" s="1"/>
        <i x="2" s="1"/>
        <i x="3" s="1"/>
        <i x="6"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E934AB14-0EDA-46A0-9444-851267B0A730}" sourceName="Years (Date)">
  <pivotTables>
    <pivotTable tabId="10" name="PivotTable6"/>
    <pivotTable tabId="3" name="PivotTable1"/>
    <pivotTable tabId="11" name="PivotTable7"/>
    <pivotTable tabId="4" name="KPI_PIVOT"/>
    <pivotTable tabId="7" name="PivotTable3"/>
    <pivotTable tabId="8" name="PivotTable4"/>
    <pivotTable tabId="9" name="PivotTable5"/>
  </pivotTables>
  <data>
    <tabular pivotCacheId="1668390478">
      <items count="5">
        <i x="1" s="1"/>
        <i x="2" s="1"/>
        <i x="3" s="1"/>
        <i x="0" s="1" nd="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xr10:uid="{4D025A1B-1828-4D4C-B5B3-BC7990BB9026}" cache="Slicer_Months__Date" caption="Months (Date)" startItem="4"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70A608AB-E6A1-4A2A-9389-FE915BA1D9EC}" cache="Slicer_Location" caption="Locati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xr10:uid="{F4A8203C-6626-4939-A51D-9162EF865B99}" cache="Slicer_Years__Date" caption="Years (Date)"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CF025264-2E18-47D9-822E-EE959C11A998}" cache="Slicer_Product" caption="Product"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1" xr10:uid="{9E0D6654-008F-4C6E-A0B6-635ECA0C6351}" cache="Slicer_Months__Date" caption="Months (Date)" rowHeight="234950"/>
  <slicer name="Location 1" xr10:uid="{71C94C58-A664-4D8B-8213-43CFB18AE598}" cache="Slicer_Location" caption="Location" rowHeight="234950"/>
  <slicer name="Product 1" xr10:uid="{9090DFF0-55E5-4088-B4E4-93ACAE656FF0}" cache="Slicer_Product" caption="Product" rowHeight="234950"/>
  <slicer name="Years (Date) 1" xr10:uid="{28070D25-9BAF-49F8-8101-FF341EE75821}" cache="Slicer_Years__Date" caption="Years (Dat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1806BF-2E10-40F5-84D0-9F45A06531A8}" name="Sheet1" displayName="Sheet1" ref="A1:O2002" tableType="queryTable" totalsRowCount="1">
  <autoFilter ref="A1:O2001" xr:uid="{3F1806BF-2E10-40F5-84D0-9F45A06531A8}"/>
  <tableColumns count="15">
    <tableColumn id="1" xr3:uid="{372CF4CB-DBC4-4DA1-B784-B1712ADBC544}" uniqueName="1" name="Date" queryTableFieldId="1" dataDxfId="13" totalsRowDxfId="12"/>
    <tableColumn id="2" xr3:uid="{788176AC-7DE8-4C1A-9E80-E1E859B694DA}" uniqueName="2" name="Time" queryTableFieldId="2"/>
    <tableColumn id="3" xr3:uid="{F01AE6F8-8507-4775-9EA4-783D84637097}" uniqueName="3" name="StoreID" queryTableFieldId="3"/>
    <tableColumn id="4" xr3:uid="{83D20BD1-B855-4FCD-BF63-664567D30CB9}" uniqueName="4" name="Location" queryTableFieldId="4"/>
    <tableColumn id="5" xr3:uid="{4375A0BB-B2C5-4521-9E53-FDEBF732304D}" uniqueName="5" name="Product" queryTableFieldId="5" dataDxfId="11" totalsRowDxfId="10"/>
    <tableColumn id="6" xr3:uid="{F995BD12-04EC-4D77-8C8E-7CE5F4C1A4D0}" uniqueName="6" name="Quantity" queryTableFieldId="6"/>
    <tableColumn id="7" xr3:uid="{FCBE102B-4C5D-4D9B-B8F9-B28619A8F1F4}" uniqueName="7" name="UnitPrice" queryTableFieldId="7"/>
    <tableColumn id="8" xr3:uid="{7E1A6D28-FB6F-478B-A10A-1EEB1F4FD7E6}" uniqueName="8" name="PaymentType" queryTableFieldId="8" dataDxfId="9" totalsRowDxfId="8"/>
    <tableColumn id="9" xr3:uid="{06AE5E2D-0FE6-43A1-B599-CCB422085D0C}" uniqueName="9" name="TransactionID" queryTableFieldId="9"/>
    <tableColumn id="10" xr3:uid="{B2A3D00D-E47A-4D4B-AF80-18C380F1079D}" uniqueName="10" name="Cashier" queryTableFieldId="10"/>
    <tableColumn id="11" xr3:uid="{E84381CB-27A2-4F39-A9F4-1E7C4099E467}" uniqueName="11" name="StoreManager" queryTableFieldId="11" dataDxfId="7" totalsRowDxfId="6"/>
    <tableColumn id="12" xr3:uid="{7BEAE992-9860-4570-B667-2C4253CAA0B7}" uniqueName="12" name="TimeOfDay" queryTableFieldId="12" dataDxfId="5" totalsRowDxfId="4"/>
    <tableColumn id="13" xr3:uid="{C400E334-81BB-4577-BB00-BBF9718499EA}" uniqueName="13" name="DayOfWeek" queryTableFieldId="13" dataDxfId="3" totalsRowDxfId="2"/>
    <tableColumn id="14" xr3:uid="{ADA29417-9D56-4561-8B4B-F3ED5B451F21}" uniqueName="14" name="TotalPrice" queryTableFieldId="14"/>
    <tableColumn id="15" xr3:uid="{235ACCA5-1AEB-4F0D-88AE-22E77436FB34}" uniqueName="15" name="Column1" queryTableFieldId="15" dataDxfId="1" totalsRow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E2DEA-5E80-4B78-87CD-05C98120E93B}">
  <dimension ref="A3:C37"/>
  <sheetViews>
    <sheetView zoomScale="85" workbookViewId="0">
      <selection activeCell="V10" sqref="V10"/>
    </sheetView>
  </sheetViews>
  <sheetFormatPr defaultRowHeight="14.4" x14ac:dyDescent="0.3"/>
  <cols>
    <col min="1" max="1" width="13.44140625" bestFit="1" customWidth="1"/>
    <col min="2" max="2" width="11.33203125" bestFit="1" customWidth="1"/>
    <col min="3" max="3" width="14.109375" bestFit="1" customWidth="1"/>
    <col min="4" max="5" width="7" bestFit="1" customWidth="1"/>
    <col min="6" max="13" width="8.33203125" bestFit="1" customWidth="1"/>
    <col min="14" max="14" width="7" bestFit="1" customWidth="1"/>
    <col min="15" max="15" width="4.33203125" bestFit="1" customWidth="1"/>
    <col min="16" max="18" width="8.33203125" bestFit="1" customWidth="1"/>
    <col min="19" max="19" width="7" bestFit="1" customWidth="1"/>
    <col min="20" max="23" width="8.33203125" bestFit="1" customWidth="1"/>
    <col min="24" max="24" width="7" bestFit="1" customWidth="1"/>
    <col min="25" max="43" width="8.33203125" bestFit="1" customWidth="1"/>
    <col min="44" max="45" width="7" bestFit="1" customWidth="1"/>
    <col min="46" max="69" width="8.33203125" bestFit="1" customWidth="1"/>
    <col min="70" max="70" width="7" bestFit="1" customWidth="1"/>
    <col min="71" max="76" width="8.33203125" bestFit="1" customWidth="1"/>
    <col min="77" max="77" width="7" bestFit="1" customWidth="1"/>
    <col min="78" max="80" width="8.33203125" bestFit="1" customWidth="1"/>
    <col min="81" max="81" width="4.33203125" bestFit="1" customWidth="1"/>
    <col min="82" max="84" width="8.33203125" bestFit="1" customWidth="1"/>
    <col min="85" max="85" width="7" bestFit="1" customWidth="1"/>
    <col min="86" max="86" width="8.33203125" bestFit="1" customWidth="1"/>
    <col min="87" max="87" width="7" bestFit="1" customWidth="1"/>
    <col min="88" max="89" width="8.33203125" bestFit="1" customWidth="1"/>
    <col min="90" max="90" width="4.33203125" bestFit="1" customWidth="1"/>
    <col min="91" max="95" width="8.33203125" bestFit="1" customWidth="1"/>
    <col min="96" max="96" width="7" bestFit="1" customWidth="1"/>
    <col min="97" max="97" width="8.33203125" bestFit="1" customWidth="1"/>
    <col min="98" max="98" width="4.33203125" bestFit="1" customWidth="1"/>
    <col min="99" max="106" width="8.33203125" bestFit="1" customWidth="1"/>
    <col min="107" max="107" width="7" bestFit="1" customWidth="1"/>
    <col min="108" max="118" width="8.33203125" bestFit="1" customWidth="1"/>
    <col min="119" max="119" width="7" bestFit="1" customWidth="1"/>
    <col min="120" max="121" width="8.33203125" bestFit="1" customWidth="1"/>
    <col min="122" max="122" width="7" bestFit="1" customWidth="1"/>
    <col min="123" max="123" width="9.6640625" bestFit="1" customWidth="1"/>
    <col min="124" max="126" width="8.33203125" bestFit="1" customWidth="1"/>
    <col min="127" max="131" width="9.6640625" bestFit="1" customWidth="1"/>
    <col min="132" max="133" width="8.33203125" bestFit="1" customWidth="1"/>
    <col min="134" max="134" width="9.6640625" bestFit="1" customWidth="1"/>
    <col min="135" max="135" width="8.33203125" bestFit="1" customWidth="1"/>
    <col min="136" max="136" width="9.6640625" bestFit="1" customWidth="1"/>
    <col min="137" max="137" width="8.33203125" bestFit="1" customWidth="1"/>
    <col min="138" max="147" width="9.6640625" bestFit="1" customWidth="1"/>
    <col min="148" max="148" width="5.6640625" bestFit="1" customWidth="1"/>
    <col min="149" max="149" width="9.6640625" bestFit="1" customWidth="1"/>
    <col min="150" max="150" width="8.33203125" bestFit="1" customWidth="1"/>
    <col min="151" max="155" width="9.6640625" bestFit="1" customWidth="1"/>
    <col min="156" max="156" width="8.33203125" bestFit="1" customWidth="1"/>
    <col min="157" max="162" width="9.6640625" bestFit="1" customWidth="1"/>
    <col min="163" max="163" width="8.33203125" bestFit="1" customWidth="1"/>
    <col min="164" max="167" width="9.6640625" bestFit="1" customWidth="1"/>
    <col min="168" max="168" width="8.33203125" bestFit="1" customWidth="1"/>
    <col min="169" max="173" width="9.6640625" bestFit="1" customWidth="1"/>
    <col min="174" max="175" width="8.33203125" bestFit="1" customWidth="1"/>
    <col min="176" max="178" width="9.6640625" bestFit="1" customWidth="1"/>
    <col min="179" max="179" width="8.33203125" bestFit="1" customWidth="1"/>
    <col min="180" max="181" width="9.6640625" bestFit="1" customWidth="1"/>
    <col min="182" max="182" width="8.33203125" bestFit="1" customWidth="1"/>
    <col min="183" max="190" width="9.6640625" bestFit="1" customWidth="1"/>
    <col min="191" max="191" width="8.33203125" bestFit="1" customWidth="1"/>
    <col min="192" max="193" width="9.6640625" bestFit="1" customWidth="1"/>
    <col min="194" max="194" width="5.6640625" bestFit="1" customWidth="1"/>
    <col min="195" max="196" width="9.6640625" bestFit="1" customWidth="1"/>
    <col min="197" max="197" width="8.33203125" bestFit="1" customWidth="1"/>
    <col min="198" max="206" width="9.6640625" bestFit="1" customWidth="1"/>
    <col min="207" max="208" width="8.33203125" bestFit="1" customWidth="1"/>
    <col min="209" max="211" width="9.6640625" bestFit="1" customWidth="1"/>
    <col min="212" max="212" width="8.33203125" bestFit="1" customWidth="1"/>
    <col min="213" max="213" width="9.6640625" bestFit="1" customWidth="1"/>
    <col min="214" max="214" width="5.6640625" bestFit="1" customWidth="1"/>
    <col min="215" max="215" width="8.33203125" bestFit="1" customWidth="1"/>
    <col min="216" max="219" width="9.6640625" bestFit="1" customWidth="1"/>
    <col min="220" max="220" width="8.33203125" bestFit="1" customWidth="1"/>
    <col min="221" max="224" width="9.6640625" bestFit="1" customWidth="1"/>
    <col min="225" max="225" width="5.6640625" bestFit="1" customWidth="1"/>
    <col min="226" max="227" width="9.6640625" bestFit="1" customWidth="1"/>
    <col min="228" max="228" width="8.33203125" bestFit="1" customWidth="1"/>
    <col min="229" max="230" width="9.6640625" bestFit="1" customWidth="1"/>
    <col min="231" max="231" width="8.33203125" bestFit="1" customWidth="1"/>
    <col min="232" max="233" width="9.6640625" bestFit="1" customWidth="1"/>
    <col min="234" max="234" width="5.6640625" bestFit="1" customWidth="1"/>
    <col min="235" max="235" width="9.6640625" bestFit="1" customWidth="1"/>
    <col min="236" max="236" width="8.33203125" bestFit="1" customWidth="1"/>
    <col min="237" max="242" width="9.6640625" bestFit="1" customWidth="1"/>
    <col min="243" max="243" width="8.33203125" bestFit="1" customWidth="1"/>
    <col min="244" max="245" width="9.6640625" bestFit="1" customWidth="1"/>
    <col min="246" max="246" width="5.6640625" bestFit="1" customWidth="1"/>
    <col min="247" max="252" width="9.6640625" bestFit="1" customWidth="1"/>
    <col min="253" max="253" width="5.6640625" bestFit="1" customWidth="1"/>
    <col min="254" max="255" width="9.6640625" bestFit="1" customWidth="1"/>
    <col min="256" max="256" width="8.33203125" bestFit="1" customWidth="1"/>
    <col min="257" max="260" width="9.6640625" bestFit="1" customWidth="1"/>
    <col min="261" max="261" width="5.6640625" bestFit="1" customWidth="1"/>
    <col min="262" max="266" width="9.6640625" bestFit="1" customWidth="1"/>
    <col min="267" max="267" width="8.33203125" bestFit="1" customWidth="1"/>
    <col min="268" max="273" width="9.6640625" bestFit="1" customWidth="1"/>
    <col min="274" max="274" width="8.33203125" bestFit="1" customWidth="1"/>
    <col min="275" max="293" width="9.6640625" bestFit="1" customWidth="1"/>
    <col min="294" max="294" width="8.33203125" bestFit="1" customWidth="1"/>
    <col min="295" max="299" width="9.6640625" bestFit="1" customWidth="1"/>
    <col min="300" max="300" width="8.33203125" bestFit="1" customWidth="1"/>
    <col min="301" max="302" width="9.6640625" bestFit="1" customWidth="1"/>
    <col min="303" max="304" width="8.33203125" bestFit="1" customWidth="1"/>
    <col min="305" max="325" width="9.6640625" bestFit="1" customWidth="1"/>
    <col min="326" max="326" width="8.33203125" bestFit="1" customWidth="1"/>
    <col min="327" max="329" width="9.6640625" bestFit="1" customWidth="1"/>
    <col min="330" max="331" width="8.33203125" bestFit="1" customWidth="1"/>
    <col min="332" max="332" width="5.6640625" bestFit="1" customWidth="1"/>
    <col min="333" max="333" width="8.33203125" bestFit="1" customWidth="1"/>
    <col min="334" max="335" width="9.6640625" bestFit="1" customWidth="1"/>
    <col min="336" max="337" width="8.33203125" bestFit="1" customWidth="1"/>
    <col min="338" max="338" width="9.6640625" bestFit="1" customWidth="1"/>
    <col min="339" max="341" width="8.33203125" bestFit="1" customWidth="1"/>
    <col min="342" max="346" width="9.6640625" bestFit="1" customWidth="1"/>
    <col min="347" max="347" width="8.33203125" bestFit="1" customWidth="1"/>
    <col min="348" max="367" width="9.6640625" bestFit="1" customWidth="1"/>
    <col min="368" max="368" width="8.33203125" bestFit="1" customWidth="1"/>
    <col min="369" max="383" width="9.6640625" bestFit="1" customWidth="1"/>
    <col min="384" max="384" width="8.33203125" bestFit="1" customWidth="1"/>
    <col min="385" max="402" width="9.6640625" bestFit="1" customWidth="1"/>
    <col min="403" max="403" width="8.33203125" bestFit="1" customWidth="1"/>
    <col min="404" max="404" width="9.6640625" bestFit="1" customWidth="1"/>
    <col min="405" max="405" width="8.33203125" bestFit="1" customWidth="1"/>
    <col min="406" max="406" width="9.6640625" bestFit="1" customWidth="1"/>
    <col min="407" max="407" width="5.6640625" bestFit="1" customWidth="1"/>
    <col min="408" max="408" width="8.33203125" bestFit="1" customWidth="1"/>
    <col min="409" max="414" width="9.6640625" bestFit="1" customWidth="1"/>
    <col min="415" max="415" width="8.33203125" bestFit="1" customWidth="1"/>
    <col min="416" max="417" width="9.6640625" bestFit="1" customWidth="1"/>
    <col min="418" max="418" width="8.33203125" bestFit="1" customWidth="1"/>
    <col min="419" max="430" width="9.6640625" bestFit="1" customWidth="1"/>
    <col min="431" max="431" width="8.33203125" bestFit="1" customWidth="1"/>
    <col min="432" max="433" width="9.6640625" bestFit="1" customWidth="1"/>
    <col min="434" max="434" width="8.33203125" bestFit="1" customWidth="1"/>
    <col min="435" max="440" width="9.6640625" bestFit="1" customWidth="1"/>
    <col min="441" max="441" width="8.33203125" bestFit="1" customWidth="1"/>
    <col min="442" max="457" width="9.6640625" bestFit="1" customWidth="1"/>
    <col min="458" max="458" width="8.33203125" bestFit="1" customWidth="1"/>
    <col min="459" max="461" width="9.6640625" bestFit="1" customWidth="1"/>
    <col min="462" max="462" width="8.33203125" bestFit="1" customWidth="1"/>
    <col min="463" max="464" width="9.6640625" bestFit="1" customWidth="1"/>
    <col min="465" max="465" width="8.33203125" bestFit="1" customWidth="1"/>
    <col min="466" max="466" width="9.6640625" bestFit="1" customWidth="1"/>
    <col min="467" max="467" width="8.33203125" bestFit="1" customWidth="1"/>
    <col min="468" max="468" width="9.6640625" bestFit="1" customWidth="1"/>
    <col min="469" max="469" width="8.33203125" bestFit="1" customWidth="1"/>
    <col min="470" max="481" width="9.6640625" bestFit="1" customWidth="1"/>
    <col min="482" max="482" width="8.33203125" bestFit="1" customWidth="1"/>
    <col min="483" max="484" width="9.6640625" bestFit="1" customWidth="1"/>
    <col min="485" max="485" width="8.33203125" bestFit="1" customWidth="1"/>
    <col min="486" max="487" width="9.6640625" bestFit="1" customWidth="1"/>
    <col min="488" max="488" width="5.6640625" bestFit="1" customWidth="1"/>
    <col min="489" max="490" width="9.6640625" bestFit="1" customWidth="1"/>
    <col min="491" max="491" width="8.33203125" bestFit="1" customWidth="1"/>
    <col min="492" max="495" width="9.6640625" bestFit="1" customWidth="1"/>
    <col min="496" max="496" width="5.6640625" bestFit="1" customWidth="1"/>
    <col min="497" max="497" width="9.6640625" bestFit="1" customWidth="1"/>
    <col min="498" max="498" width="8.33203125" bestFit="1" customWidth="1"/>
    <col min="499" max="499" width="9.6640625" bestFit="1" customWidth="1"/>
    <col min="500" max="500" width="8.33203125" bestFit="1" customWidth="1"/>
    <col min="501" max="512" width="9.6640625" bestFit="1" customWidth="1"/>
    <col min="513" max="513" width="5.6640625" bestFit="1" customWidth="1"/>
    <col min="514" max="515" width="9.6640625" bestFit="1" customWidth="1"/>
    <col min="516" max="517" width="8.33203125" bestFit="1" customWidth="1"/>
    <col min="518" max="527" width="9.6640625" bestFit="1" customWidth="1"/>
    <col min="528" max="528" width="8.33203125" bestFit="1" customWidth="1"/>
    <col min="529" max="532" width="9.6640625" bestFit="1" customWidth="1"/>
    <col min="533" max="533" width="8.33203125" bestFit="1" customWidth="1"/>
    <col min="534" max="539" width="9.6640625" bestFit="1" customWidth="1"/>
    <col min="540" max="540" width="8.33203125" bestFit="1" customWidth="1"/>
    <col min="541" max="543" width="9.6640625" bestFit="1" customWidth="1"/>
    <col min="544" max="544" width="8.33203125" bestFit="1" customWidth="1"/>
    <col min="545" max="553" width="9.6640625" bestFit="1" customWidth="1"/>
    <col min="554" max="554" width="5.6640625" bestFit="1" customWidth="1"/>
    <col min="555" max="557" width="9.6640625" bestFit="1" customWidth="1"/>
    <col min="558" max="558" width="8.33203125" bestFit="1" customWidth="1"/>
    <col min="559" max="560" width="9.6640625" bestFit="1" customWidth="1"/>
    <col min="561" max="562" width="8.33203125" bestFit="1" customWidth="1"/>
    <col min="563" max="566" width="9.6640625" bestFit="1" customWidth="1"/>
    <col min="567" max="567" width="8.33203125" bestFit="1" customWidth="1"/>
    <col min="568" max="571" width="9.6640625" bestFit="1" customWidth="1"/>
    <col min="572" max="572" width="8.33203125" bestFit="1" customWidth="1"/>
    <col min="573" max="576" width="9.6640625" bestFit="1" customWidth="1"/>
    <col min="577" max="577" width="8.33203125" bestFit="1" customWidth="1"/>
    <col min="578" max="578" width="9.6640625" bestFit="1" customWidth="1"/>
    <col min="579" max="579" width="8.33203125" bestFit="1" customWidth="1"/>
    <col min="580" max="587" width="9.6640625" bestFit="1" customWidth="1"/>
    <col min="588" max="588" width="8.33203125" bestFit="1" customWidth="1"/>
    <col min="589" max="594" width="9.6640625" bestFit="1" customWidth="1"/>
    <col min="595" max="595" width="8.33203125" bestFit="1" customWidth="1"/>
    <col min="596" max="598" width="9.6640625" bestFit="1" customWidth="1"/>
    <col min="599" max="599" width="8.33203125" bestFit="1" customWidth="1"/>
    <col min="600" max="606" width="9.6640625" bestFit="1" customWidth="1"/>
    <col min="607" max="607" width="5.6640625" bestFit="1" customWidth="1"/>
    <col min="608" max="613" width="9.6640625" bestFit="1" customWidth="1"/>
    <col min="614" max="614" width="8.33203125" bestFit="1" customWidth="1"/>
    <col min="615" max="617" width="9.6640625" bestFit="1" customWidth="1"/>
    <col min="618" max="618" width="8.33203125" bestFit="1" customWidth="1"/>
    <col min="619" max="623" width="9.6640625" bestFit="1" customWidth="1"/>
    <col min="624" max="624" width="8.33203125" bestFit="1" customWidth="1"/>
    <col min="625" max="636" width="9.6640625" bestFit="1" customWidth="1"/>
    <col min="637" max="639" width="8.33203125" bestFit="1" customWidth="1"/>
    <col min="640" max="640" width="9.6640625" bestFit="1" customWidth="1"/>
    <col min="641" max="641" width="8.33203125" bestFit="1" customWidth="1"/>
    <col min="642" max="643" width="9.6640625" bestFit="1" customWidth="1"/>
    <col min="644" max="644" width="5.6640625" bestFit="1" customWidth="1"/>
    <col min="645" max="649" width="9.6640625" bestFit="1" customWidth="1"/>
    <col min="650" max="650" width="8.33203125" bestFit="1" customWidth="1"/>
    <col min="651" max="655" width="9.6640625" bestFit="1" customWidth="1"/>
    <col min="656" max="656" width="8.33203125" bestFit="1" customWidth="1"/>
    <col min="657" max="658" width="9.6640625" bestFit="1" customWidth="1"/>
    <col min="659" max="659" width="5.6640625" bestFit="1" customWidth="1"/>
    <col min="660" max="661" width="9.6640625" bestFit="1" customWidth="1"/>
    <col min="662" max="662" width="5.6640625" bestFit="1" customWidth="1"/>
    <col min="663" max="663" width="9.6640625" bestFit="1" customWidth="1"/>
    <col min="664" max="664" width="5.6640625" bestFit="1" customWidth="1"/>
    <col min="665" max="665" width="9.6640625" bestFit="1" customWidth="1"/>
    <col min="666" max="666" width="8.33203125" bestFit="1" customWidth="1"/>
    <col min="667" max="668" width="9.6640625" bestFit="1" customWidth="1"/>
    <col min="669" max="669" width="8.33203125" bestFit="1" customWidth="1"/>
    <col min="670" max="670" width="9.6640625" bestFit="1" customWidth="1"/>
    <col min="671" max="671" width="8.33203125" bestFit="1" customWidth="1"/>
    <col min="672" max="676" width="9.6640625" bestFit="1" customWidth="1"/>
    <col min="677" max="677" width="8.33203125" bestFit="1" customWidth="1"/>
    <col min="678" max="686" width="9.6640625" bestFit="1" customWidth="1"/>
    <col min="687" max="687" width="8.33203125" bestFit="1" customWidth="1"/>
    <col min="688" max="692" width="9.6640625" bestFit="1" customWidth="1"/>
    <col min="693" max="694" width="8.33203125" bestFit="1" customWidth="1"/>
    <col min="695" max="706" width="9.6640625" bestFit="1" customWidth="1"/>
    <col min="707" max="707" width="8.33203125" bestFit="1" customWidth="1"/>
    <col min="708" max="709" width="9.6640625" bestFit="1" customWidth="1"/>
    <col min="710" max="710" width="8.33203125" bestFit="1" customWidth="1"/>
    <col min="711" max="712" width="9.6640625" bestFit="1" customWidth="1"/>
    <col min="713" max="714" width="8.33203125" bestFit="1" customWidth="1"/>
    <col min="715" max="717" width="9.6640625" bestFit="1" customWidth="1"/>
    <col min="718" max="718" width="8.33203125" bestFit="1" customWidth="1"/>
    <col min="719" max="721" width="9.6640625" bestFit="1" customWidth="1"/>
    <col min="722" max="722" width="8.33203125" bestFit="1" customWidth="1"/>
    <col min="723" max="725" width="9.6640625" bestFit="1" customWidth="1"/>
    <col min="726" max="726" width="8.33203125" bestFit="1" customWidth="1"/>
    <col min="727" max="734" width="9.6640625" bestFit="1" customWidth="1"/>
    <col min="735" max="735" width="8.33203125" bestFit="1" customWidth="1"/>
    <col min="736" max="739" width="9.6640625" bestFit="1" customWidth="1"/>
    <col min="740" max="740" width="8.33203125" bestFit="1" customWidth="1"/>
    <col min="741" max="742" width="9.6640625" bestFit="1" customWidth="1"/>
    <col min="743" max="743" width="8.33203125" bestFit="1" customWidth="1"/>
    <col min="744" max="750" width="9.6640625" bestFit="1" customWidth="1"/>
    <col min="751" max="752" width="8.33203125" bestFit="1" customWidth="1"/>
    <col min="753" max="754" width="9.6640625" bestFit="1" customWidth="1"/>
    <col min="755" max="755" width="8.33203125" bestFit="1" customWidth="1"/>
    <col min="756" max="757" width="9.6640625" bestFit="1" customWidth="1"/>
    <col min="758" max="759" width="8.33203125" bestFit="1" customWidth="1"/>
    <col min="760" max="764" width="9.6640625" bestFit="1" customWidth="1"/>
    <col min="765" max="765" width="5.6640625" bestFit="1" customWidth="1"/>
    <col min="766" max="766" width="9.6640625" bestFit="1" customWidth="1"/>
    <col min="767" max="767" width="8.33203125" bestFit="1" customWidth="1"/>
    <col min="768" max="772" width="9.6640625" bestFit="1" customWidth="1"/>
    <col min="773" max="773" width="8.33203125" bestFit="1" customWidth="1"/>
    <col min="774" max="778" width="9.6640625" bestFit="1" customWidth="1"/>
    <col min="779" max="779" width="8.33203125" bestFit="1" customWidth="1"/>
    <col min="780" max="787" width="9.6640625" bestFit="1" customWidth="1"/>
    <col min="788" max="788" width="8.33203125" bestFit="1" customWidth="1"/>
    <col min="789" max="794" width="9.6640625" bestFit="1" customWidth="1"/>
    <col min="795" max="795" width="5.6640625" bestFit="1" customWidth="1"/>
    <col min="796" max="797" width="9.6640625" bestFit="1" customWidth="1"/>
    <col min="798" max="798" width="8.33203125" bestFit="1" customWidth="1"/>
    <col min="799" max="801" width="9.6640625" bestFit="1" customWidth="1"/>
    <col min="802" max="802" width="8.33203125" bestFit="1" customWidth="1"/>
    <col min="803" max="803" width="9.6640625" bestFit="1" customWidth="1"/>
    <col min="804" max="804" width="8.33203125" bestFit="1" customWidth="1"/>
    <col min="805" max="810" width="9.6640625" bestFit="1" customWidth="1"/>
    <col min="811" max="811" width="5.6640625" bestFit="1" customWidth="1"/>
    <col min="812" max="812" width="9.6640625" bestFit="1" customWidth="1"/>
    <col min="813" max="813" width="8.33203125" bestFit="1" customWidth="1"/>
    <col min="814" max="817" width="9.6640625" bestFit="1" customWidth="1"/>
    <col min="818" max="819" width="8.33203125" bestFit="1" customWidth="1"/>
    <col min="820" max="825" width="9.6640625" bestFit="1" customWidth="1"/>
    <col min="826" max="826" width="8.33203125" bestFit="1" customWidth="1"/>
    <col min="827" max="831" width="9.6640625" bestFit="1" customWidth="1"/>
    <col min="832" max="832" width="8.33203125" bestFit="1" customWidth="1"/>
    <col min="833" max="835" width="9.6640625" bestFit="1" customWidth="1"/>
    <col min="836" max="836" width="8.33203125" bestFit="1" customWidth="1"/>
    <col min="837" max="840" width="9.6640625" bestFit="1" customWidth="1"/>
    <col min="841" max="842" width="8.33203125" bestFit="1" customWidth="1"/>
    <col min="843" max="844" width="9.6640625" bestFit="1" customWidth="1"/>
    <col min="845" max="845" width="8.33203125" bestFit="1" customWidth="1"/>
    <col min="846" max="847" width="9.6640625" bestFit="1" customWidth="1"/>
    <col min="848" max="848" width="8.33203125" bestFit="1" customWidth="1"/>
    <col min="849" max="849" width="9.6640625" bestFit="1" customWidth="1"/>
    <col min="850" max="850" width="8.33203125" bestFit="1" customWidth="1"/>
    <col min="851" max="858" width="9.6640625" bestFit="1" customWidth="1"/>
    <col min="859" max="859" width="8.33203125" bestFit="1" customWidth="1"/>
    <col min="860" max="860" width="9.6640625" bestFit="1" customWidth="1"/>
    <col min="861" max="861" width="8.33203125" bestFit="1" customWidth="1"/>
    <col min="862" max="862" width="9.6640625" bestFit="1" customWidth="1"/>
    <col min="863" max="863" width="8.33203125" bestFit="1" customWidth="1"/>
    <col min="864" max="866" width="9.6640625" bestFit="1" customWidth="1"/>
    <col min="867" max="868" width="8.33203125" bestFit="1" customWidth="1"/>
    <col min="869" max="871" width="9.6640625" bestFit="1" customWidth="1"/>
    <col min="872" max="872" width="8.33203125" bestFit="1" customWidth="1"/>
    <col min="873" max="879" width="9.6640625" bestFit="1" customWidth="1"/>
    <col min="880" max="880" width="8.33203125" bestFit="1" customWidth="1"/>
    <col min="881" max="881" width="9.6640625" bestFit="1" customWidth="1"/>
    <col min="882" max="882" width="5.6640625" bestFit="1" customWidth="1"/>
    <col min="883" max="884" width="9.6640625" bestFit="1" customWidth="1"/>
    <col min="885" max="886" width="8.33203125" bestFit="1" customWidth="1"/>
    <col min="887" max="892" width="9.6640625" bestFit="1" customWidth="1"/>
    <col min="893" max="894" width="8.33203125" bestFit="1" customWidth="1"/>
    <col min="895" max="897" width="9.6640625" bestFit="1" customWidth="1"/>
    <col min="898" max="898" width="8.33203125" bestFit="1" customWidth="1"/>
    <col min="899" max="911" width="9.6640625" bestFit="1" customWidth="1"/>
    <col min="912" max="912" width="8.33203125" bestFit="1" customWidth="1"/>
    <col min="913" max="916" width="9.6640625" bestFit="1" customWidth="1"/>
    <col min="917" max="918" width="8.33203125" bestFit="1" customWidth="1"/>
    <col min="919" max="923" width="9.6640625" bestFit="1" customWidth="1"/>
    <col min="924" max="924" width="8.33203125" bestFit="1" customWidth="1"/>
    <col min="925" max="928" width="9.6640625" bestFit="1" customWidth="1"/>
    <col min="929" max="929" width="8.33203125" bestFit="1" customWidth="1"/>
    <col min="930" max="931" width="9.6640625" bestFit="1" customWidth="1"/>
    <col min="932" max="932" width="8.33203125" bestFit="1" customWidth="1"/>
    <col min="933" max="934" width="9.6640625" bestFit="1" customWidth="1"/>
    <col min="935" max="935" width="8.33203125" bestFit="1" customWidth="1"/>
    <col min="936" max="937" width="9.6640625" bestFit="1" customWidth="1"/>
    <col min="938" max="939" width="8.33203125" bestFit="1" customWidth="1"/>
    <col min="940" max="940" width="9.6640625" bestFit="1" customWidth="1"/>
    <col min="941" max="942" width="8.33203125" bestFit="1" customWidth="1"/>
    <col min="943" max="943" width="9.6640625" bestFit="1" customWidth="1"/>
    <col min="944" max="944" width="8.33203125" bestFit="1" customWidth="1"/>
    <col min="945" max="948" width="9.6640625" bestFit="1" customWidth="1"/>
    <col min="949" max="950" width="8.33203125" bestFit="1" customWidth="1"/>
    <col min="951" max="951" width="9.6640625" bestFit="1" customWidth="1"/>
    <col min="952" max="953" width="8.33203125" bestFit="1" customWidth="1"/>
    <col min="954" max="955" width="9.6640625" bestFit="1" customWidth="1"/>
    <col min="956" max="956" width="8.33203125" bestFit="1" customWidth="1"/>
    <col min="957" max="967" width="9.6640625" bestFit="1" customWidth="1"/>
    <col min="968" max="969" width="8.33203125" bestFit="1" customWidth="1"/>
    <col min="970" max="972" width="9.6640625" bestFit="1" customWidth="1"/>
    <col min="973" max="974" width="8.33203125" bestFit="1" customWidth="1"/>
    <col min="975" max="975" width="9.6640625" bestFit="1" customWidth="1"/>
    <col min="976" max="976" width="8.33203125" bestFit="1" customWidth="1"/>
    <col min="977" max="977" width="9.6640625" bestFit="1" customWidth="1"/>
    <col min="978" max="978" width="8.33203125" bestFit="1" customWidth="1"/>
    <col min="979" max="982" width="9.6640625" bestFit="1" customWidth="1"/>
    <col min="983" max="984" width="8.33203125" bestFit="1" customWidth="1"/>
    <col min="985" max="990" width="9.6640625" bestFit="1" customWidth="1"/>
    <col min="991" max="991" width="8.33203125" bestFit="1" customWidth="1"/>
    <col min="992" max="992" width="9.6640625" bestFit="1" customWidth="1"/>
    <col min="993" max="993" width="8.33203125" bestFit="1" customWidth="1"/>
    <col min="994" max="996" width="9.6640625" bestFit="1" customWidth="1"/>
    <col min="997" max="999" width="8.33203125" bestFit="1" customWidth="1"/>
    <col min="1000" max="1001" width="9.6640625" bestFit="1" customWidth="1"/>
    <col min="1002" max="1002" width="8.33203125" bestFit="1" customWidth="1"/>
    <col min="1003" max="1003" width="9.6640625" bestFit="1" customWidth="1"/>
    <col min="1004" max="1004" width="8.33203125" bestFit="1" customWidth="1"/>
    <col min="1005" max="1008" width="9.6640625" bestFit="1" customWidth="1"/>
    <col min="1009" max="1009" width="8.33203125" bestFit="1" customWidth="1"/>
    <col min="1010" max="1018" width="9.6640625" bestFit="1" customWidth="1"/>
    <col min="1019" max="1019" width="8.33203125" bestFit="1" customWidth="1"/>
    <col min="1020" max="1020" width="9.6640625" bestFit="1" customWidth="1"/>
    <col min="1021" max="1021" width="8.33203125" bestFit="1" customWidth="1"/>
    <col min="1022" max="1030" width="9.6640625" bestFit="1" customWidth="1"/>
    <col min="1031" max="1031" width="8.33203125" bestFit="1" customWidth="1"/>
    <col min="1032" max="1035" width="9.6640625" bestFit="1" customWidth="1"/>
    <col min="1036" max="1037" width="8.33203125" bestFit="1" customWidth="1"/>
    <col min="1038" max="1038" width="9.6640625" bestFit="1" customWidth="1"/>
    <col min="1039" max="1039" width="8.33203125" bestFit="1" customWidth="1"/>
    <col min="1040" max="1042" width="9.6640625" bestFit="1" customWidth="1"/>
    <col min="1043" max="1043" width="8.33203125" bestFit="1" customWidth="1"/>
    <col min="1044" max="1044" width="9.6640625" bestFit="1" customWidth="1"/>
    <col min="1045" max="1046" width="8.33203125" bestFit="1" customWidth="1"/>
    <col min="1047" max="1051" width="9.6640625" bestFit="1" customWidth="1"/>
    <col min="1052" max="1052" width="5.6640625" bestFit="1" customWidth="1"/>
    <col min="1053" max="1053" width="8.33203125" bestFit="1" customWidth="1"/>
    <col min="1054" max="1056" width="9.6640625" bestFit="1" customWidth="1"/>
    <col min="1057" max="1057" width="8.33203125" bestFit="1" customWidth="1"/>
    <col min="1058" max="1059" width="9.6640625" bestFit="1" customWidth="1"/>
    <col min="1060" max="1060" width="8.33203125" bestFit="1" customWidth="1"/>
    <col min="1061" max="1061" width="9.6640625" bestFit="1" customWidth="1"/>
    <col min="1062" max="1062" width="5.6640625" bestFit="1" customWidth="1"/>
    <col min="1063" max="1064" width="9.6640625" bestFit="1" customWidth="1"/>
    <col min="1065" max="1065" width="8.33203125" bestFit="1" customWidth="1"/>
    <col min="1066" max="1070" width="9.6640625" bestFit="1" customWidth="1"/>
    <col min="1071" max="1071" width="8.33203125" bestFit="1" customWidth="1"/>
    <col min="1072" max="1074" width="9.6640625" bestFit="1" customWidth="1"/>
    <col min="1075" max="1075" width="8.33203125" bestFit="1" customWidth="1"/>
    <col min="1076" max="1080" width="9.6640625" bestFit="1" customWidth="1"/>
    <col min="1081" max="1081" width="8.33203125" bestFit="1" customWidth="1"/>
    <col min="1082" max="1082" width="9.6640625" bestFit="1" customWidth="1"/>
    <col min="1083" max="1083" width="8.33203125" bestFit="1" customWidth="1"/>
    <col min="1084" max="1084" width="9.6640625" bestFit="1" customWidth="1"/>
    <col min="1085" max="1085" width="8.33203125" bestFit="1" customWidth="1"/>
    <col min="1086" max="1088" width="9.6640625" bestFit="1" customWidth="1"/>
    <col min="1089" max="1089" width="5.6640625" bestFit="1" customWidth="1"/>
    <col min="1090" max="1091" width="9.6640625" bestFit="1" customWidth="1"/>
    <col min="1092" max="1092" width="8.33203125" bestFit="1" customWidth="1"/>
    <col min="1093" max="1095" width="9.6640625" bestFit="1" customWidth="1"/>
    <col min="1096" max="1097" width="8.33203125" bestFit="1" customWidth="1"/>
    <col min="1098" max="1098" width="9.6640625" bestFit="1" customWidth="1"/>
    <col min="1099" max="1102" width="8.33203125" bestFit="1" customWidth="1"/>
    <col min="1103" max="1103" width="9.6640625" bestFit="1" customWidth="1"/>
    <col min="1104" max="1104" width="8.33203125" bestFit="1" customWidth="1"/>
    <col min="1105" max="1108" width="9.6640625" bestFit="1" customWidth="1"/>
    <col min="1109" max="1109" width="8.33203125" bestFit="1" customWidth="1"/>
    <col min="1110" max="1111" width="9.6640625" bestFit="1" customWidth="1"/>
    <col min="1112" max="1114" width="11" bestFit="1" customWidth="1"/>
    <col min="1115" max="1115" width="9.6640625" bestFit="1" customWidth="1"/>
    <col min="1116" max="1116" width="11" bestFit="1" customWidth="1"/>
    <col min="1117" max="1117" width="9.6640625" bestFit="1" customWidth="1"/>
    <col min="1118" max="1123" width="11" bestFit="1" customWidth="1"/>
    <col min="1124" max="1125" width="9.6640625" bestFit="1" customWidth="1"/>
    <col min="1126" max="1126" width="11" bestFit="1" customWidth="1"/>
    <col min="1127" max="1127" width="9.6640625" bestFit="1" customWidth="1"/>
    <col min="1128" max="1133" width="11" bestFit="1" customWidth="1"/>
    <col min="1134" max="1134" width="9.6640625" bestFit="1" customWidth="1"/>
    <col min="1135" max="1135" width="11" bestFit="1" customWidth="1"/>
    <col min="1136" max="1136" width="9.6640625" bestFit="1" customWidth="1"/>
    <col min="1137" max="1137" width="11" bestFit="1" customWidth="1"/>
    <col min="1138" max="1138" width="7" bestFit="1" customWidth="1"/>
    <col min="1139" max="1147" width="11" bestFit="1" customWidth="1"/>
    <col min="1148" max="1148" width="9.6640625" bestFit="1" customWidth="1"/>
    <col min="1149" max="1155" width="11" bestFit="1" customWidth="1"/>
    <col min="1156" max="1156" width="9.6640625" bestFit="1" customWidth="1"/>
    <col min="1157" max="1157" width="11" bestFit="1" customWidth="1"/>
    <col min="1158" max="1158" width="9.6640625" bestFit="1" customWidth="1"/>
    <col min="1159" max="1160" width="11" bestFit="1" customWidth="1"/>
    <col min="1161" max="1161" width="7" bestFit="1" customWidth="1"/>
    <col min="1162" max="1162" width="9.6640625" bestFit="1" customWidth="1"/>
    <col min="1163" max="1165" width="11" bestFit="1" customWidth="1"/>
    <col min="1166" max="1166" width="9.6640625" bestFit="1" customWidth="1"/>
    <col min="1167" max="1167" width="7" bestFit="1" customWidth="1"/>
    <col min="1168" max="1168" width="9.6640625" bestFit="1" customWidth="1"/>
    <col min="1169" max="1174" width="11" bestFit="1" customWidth="1"/>
    <col min="1175" max="1175" width="9.6640625" bestFit="1" customWidth="1"/>
    <col min="1176" max="1182" width="11" bestFit="1" customWidth="1"/>
    <col min="1183" max="1183" width="9.6640625" bestFit="1" customWidth="1"/>
    <col min="1184" max="1184" width="11" bestFit="1" customWidth="1"/>
    <col min="1185" max="1185" width="9.6640625" bestFit="1" customWidth="1"/>
    <col min="1186" max="1196" width="11" bestFit="1" customWidth="1"/>
    <col min="1197" max="1197" width="9.6640625" bestFit="1" customWidth="1"/>
    <col min="1198" max="1199" width="11" bestFit="1" customWidth="1"/>
    <col min="1200" max="1200" width="9.6640625" bestFit="1" customWidth="1"/>
    <col min="1201" max="1201" width="7" bestFit="1" customWidth="1"/>
    <col min="1202" max="1202" width="11" bestFit="1" customWidth="1"/>
    <col min="1203" max="1203" width="9.6640625" bestFit="1" customWidth="1"/>
    <col min="1204" max="1205" width="11" bestFit="1" customWidth="1"/>
    <col min="1206" max="1206" width="9.6640625" bestFit="1" customWidth="1"/>
    <col min="1207" max="1217" width="11" bestFit="1" customWidth="1"/>
    <col min="1218" max="1218" width="9.6640625" bestFit="1" customWidth="1"/>
    <col min="1219" max="1226" width="11" bestFit="1" customWidth="1"/>
    <col min="1227" max="1227" width="9.6640625" bestFit="1" customWidth="1"/>
    <col min="1228" max="1230" width="11" bestFit="1" customWidth="1"/>
    <col min="1231" max="1231" width="9.6640625" bestFit="1" customWidth="1"/>
    <col min="1232" max="1239" width="11" bestFit="1" customWidth="1"/>
    <col min="1240" max="1241" width="9.6640625" bestFit="1" customWidth="1"/>
    <col min="1242" max="1244" width="11" bestFit="1" customWidth="1"/>
    <col min="1245" max="1245" width="9.6640625" bestFit="1" customWidth="1"/>
    <col min="1246" max="1246" width="11" bestFit="1" customWidth="1"/>
    <col min="1247" max="1247" width="9.6640625" bestFit="1" customWidth="1"/>
    <col min="1248" max="1251" width="11" bestFit="1" customWidth="1"/>
    <col min="1252" max="1252" width="9.6640625" bestFit="1" customWidth="1"/>
    <col min="1253" max="1253" width="11" bestFit="1" customWidth="1"/>
    <col min="1254" max="1254" width="7" bestFit="1" customWidth="1"/>
    <col min="1255" max="1256" width="11" bestFit="1" customWidth="1"/>
    <col min="1257" max="1258" width="9.6640625" bestFit="1" customWidth="1"/>
    <col min="1259" max="1264" width="11" bestFit="1" customWidth="1"/>
    <col min="1265" max="1266" width="9.6640625" bestFit="1" customWidth="1"/>
    <col min="1267" max="1274" width="11" bestFit="1" customWidth="1"/>
    <col min="1275" max="1276" width="9.6640625" bestFit="1" customWidth="1"/>
    <col min="1277" max="1280" width="11" bestFit="1" customWidth="1"/>
    <col min="1281" max="1281" width="7" bestFit="1" customWidth="1"/>
    <col min="1282" max="1284" width="11" bestFit="1" customWidth="1"/>
    <col min="1285" max="1285" width="7" bestFit="1" customWidth="1"/>
    <col min="1286" max="1286" width="9.6640625" bestFit="1" customWidth="1"/>
    <col min="1287" max="1292" width="11" bestFit="1" customWidth="1"/>
    <col min="1293" max="1293" width="9.6640625" bestFit="1" customWidth="1"/>
    <col min="1294" max="1295" width="11" bestFit="1" customWidth="1"/>
    <col min="1296" max="1296" width="7" bestFit="1" customWidth="1"/>
    <col min="1297" max="1297" width="11" bestFit="1" customWidth="1"/>
    <col min="1298" max="1298" width="9.6640625" bestFit="1" customWidth="1"/>
    <col min="1299" max="1299" width="11" bestFit="1" customWidth="1"/>
    <col min="1300" max="1302" width="9.6640625" bestFit="1" customWidth="1"/>
    <col min="1303" max="1307" width="11" bestFit="1" customWidth="1"/>
    <col min="1308" max="1308" width="7" bestFit="1" customWidth="1"/>
    <col min="1309" max="1309" width="9.6640625" bestFit="1" customWidth="1"/>
    <col min="1310" max="1311" width="11" bestFit="1" customWidth="1"/>
    <col min="1312" max="1314" width="9.6640625" bestFit="1" customWidth="1"/>
    <col min="1315" max="1315" width="11" bestFit="1" customWidth="1"/>
    <col min="1316" max="1316" width="9.6640625" bestFit="1" customWidth="1"/>
    <col min="1317" max="1317" width="11" bestFit="1" customWidth="1"/>
    <col min="1318" max="1318" width="9.6640625" bestFit="1" customWidth="1"/>
    <col min="1319" max="1319" width="11" bestFit="1" customWidth="1"/>
    <col min="1320" max="1320" width="9.6640625" bestFit="1" customWidth="1"/>
    <col min="1321" max="1325" width="11" bestFit="1" customWidth="1"/>
    <col min="1326" max="1326" width="9.6640625" bestFit="1" customWidth="1"/>
    <col min="1327" max="1328" width="11" bestFit="1" customWidth="1"/>
    <col min="1329" max="1329" width="9.6640625" bestFit="1" customWidth="1"/>
    <col min="1330" max="1331" width="11" bestFit="1" customWidth="1"/>
    <col min="1332" max="1332" width="9.6640625" bestFit="1" customWidth="1"/>
    <col min="1333" max="1333" width="7" bestFit="1" customWidth="1"/>
    <col min="1334" max="1336" width="11" bestFit="1" customWidth="1"/>
    <col min="1337" max="1337" width="9.6640625" bestFit="1" customWidth="1"/>
    <col min="1338" max="1344" width="11" bestFit="1" customWidth="1"/>
    <col min="1345" max="1345" width="9.6640625" bestFit="1" customWidth="1"/>
    <col min="1346" max="1346" width="11" bestFit="1" customWidth="1"/>
    <col min="1347" max="1347" width="9.6640625" bestFit="1" customWidth="1"/>
    <col min="1348" max="1355" width="11" bestFit="1" customWidth="1"/>
    <col min="1356" max="1356" width="9.6640625" bestFit="1" customWidth="1"/>
    <col min="1357" max="1360" width="11" bestFit="1" customWidth="1"/>
    <col min="1361" max="1361" width="9.6640625" bestFit="1" customWidth="1"/>
    <col min="1362" max="1362" width="11" bestFit="1" customWidth="1"/>
    <col min="1363" max="1363" width="9.6640625" bestFit="1" customWidth="1"/>
    <col min="1364" max="1365" width="11" bestFit="1" customWidth="1"/>
    <col min="1366" max="1366" width="9.6640625" bestFit="1" customWidth="1"/>
    <col min="1367" max="1367" width="11" bestFit="1" customWidth="1"/>
    <col min="1368" max="1368" width="9.6640625" bestFit="1" customWidth="1"/>
    <col min="1369" max="1370" width="11" bestFit="1" customWidth="1"/>
    <col min="1371" max="1371" width="9.6640625" bestFit="1" customWidth="1"/>
    <col min="1372" max="1373" width="11" bestFit="1" customWidth="1"/>
    <col min="1374" max="1374" width="7" bestFit="1" customWidth="1"/>
    <col min="1375" max="1375" width="9.6640625" bestFit="1" customWidth="1"/>
    <col min="1376" max="1382" width="11" bestFit="1" customWidth="1"/>
    <col min="1383" max="1383" width="9.6640625" bestFit="1" customWidth="1"/>
    <col min="1384" max="1384" width="11" bestFit="1" customWidth="1"/>
    <col min="1385" max="1385" width="9.6640625" bestFit="1" customWidth="1"/>
    <col min="1386" max="1387" width="11" bestFit="1" customWidth="1"/>
    <col min="1388" max="1388" width="9.6640625" bestFit="1" customWidth="1"/>
    <col min="1389" max="1394" width="11" bestFit="1" customWidth="1"/>
    <col min="1395" max="1395" width="9.6640625" bestFit="1" customWidth="1"/>
    <col min="1396" max="1397" width="11" bestFit="1" customWidth="1"/>
    <col min="1398" max="1398" width="9.6640625" bestFit="1" customWidth="1"/>
    <col min="1399" max="1399" width="11" bestFit="1" customWidth="1"/>
    <col min="1400" max="1400" width="7" bestFit="1" customWidth="1"/>
    <col min="1401" max="1403" width="11" bestFit="1" customWidth="1"/>
    <col min="1404" max="1404" width="9.6640625" bestFit="1" customWidth="1"/>
    <col min="1405" max="1406" width="11" bestFit="1" customWidth="1"/>
    <col min="1407" max="1409" width="9.6640625" bestFit="1" customWidth="1"/>
    <col min="1410" max="1412" width="11" bestFit="1" customWidth="1"/>
    <col min="1413" max="1413" width="9.6640625" bestFit="1" customWidth="1"/>
    <col min="1414" max="1414" width="11" bestFit="1" customWidth="1"/>
    <col min="1415" max="1418" width="9.6640625" bestFit="1" customWidth="1"/>
    <col min="1419" max="1421" width="11" bestFit="1" customWidth="1"/>
    <col min="1422" max="1422" width="7" bestFit="1" customWidth="1"/>
    <col min="1423" max="1423" width="11" bestFit="1" customWidth="1"/>
    <col min="1424" max="1425" width="9.6640625" bestFit="1" customWidth="1"/>
    <col min="1426" max="1428" width="11" bestFit="1" customWidth="1"/>
    <col min="1429" max="1429" width="9.6640625" bestFit="1" customWidth="1"/>
    <col min="1430" max="1432" width="11" bestFit="1" customWidth="1"/>
    <col min="1433" max="1434" width="9.6640625" bestFit="1" customWidth="1"/>
    <col min="1435" max="1436" width="11" bestFit="1" customWidth="1"/>
    <col min="1437" max="1437" width="7" bestFit="1" customWidth="1"/>
    <col min="1438" max="1442" width="11" bestFit="1" customWidth="1"/>
    <col min="1443" max="1444" width="9.6640625" bestFit="1" customWidth="1"/>
    <col min="1445" max="1446" width="11" bestFit="1" customWidth="1"/>
    <col min="1447" max="1447" width="9.6640625" bestFit="1" customWidth="1"/>
    <col min="1448" max="1451" width="11" bestFit="1" customWidth="1"/>
    <col min="1452" max="1452" width="9.6640625" bestFit="1" customWidth="1"/>
    <col min="1453" max="1454" width="11" bestFit="1" customWidth="1"/>
    <col min="1455" max="1455" width="7" bestFit="1" customWidth="1"/>
    <col min="1456" max="1458" width="11" bestFit="1" customWidth="1"/>
    <col min="1459" max="1459" width="7" bestFit="1" customWidth="1"/>
    <col min="1460" max="1462" width="11" bestFit="1" customWidth="1"/>
    <col min="1463" max="1464" width="9.6640625" bestFit="1" customWidth="1"/>
    <col min="1465" max="1465" width="11" bestFit="1" customWidth="1"/>
    <col min="1466" max="1466" width="9.6640625" bestFit="1" customWidth="1"/>
    <col min="1467" max="1470" width="11" bestFit="1" customWidth="1"/>
    <col min="1471" max="1471" width="9.6640625" bestFit="1" customWidth="1"/>
    <col min="1472" max="1473" width="11" bestFit="1" customWidth="1"/>
    <col min="1474" max="1474" width="9.6640625" bestFit="1" customWidth="1"/>
    <col min="1475" max="1477" width="11" bestFit="1" customWidth="1"/>
    <col min="1478" max="1478" width="9.6640625" bestFit="1" customWidth="1"/>
    <col min="1479" max="1486" width="11" bestFit="1" customWidth="1"/>
    <col min="1487" max="1487" width="9.6640625" bestFit="1" customWidth="1"/>
    <col min="1488" max="1488" width="7" bestFit="1" customWidth="1"/>
    <col min="1489" max="1489" width="11" bestFit="1" customWidth="1"/>
    <col min="1490" max="1490" width="9.6640625" bestFit="1" customWidth="1"/>
    <col min="1491" max="1491" width="11" bestFit="1" customWidth="1"/>
    <col min="1492" max="1492" width="9.6640625" bestFit="1" customWidth="1"/>
    <col min="1493" max="1495" width="11" bestFit="1" customWidth="1"/>
    <col min="1496" max="1498" width="9.6640625" bestFit="1" customWidth="1"/>
    <col min="1499" max="1499" width="11" bestFit="1" customWidth="1"/>
    <col min="1500" max="1500" width="9.6640625" bestFit="1" customWidth="1"/>
    <col min="1501" max="1503" width="11" bestFit="1" customWidth="1"/>
    <col min="1504" max="1505" width="9.6640625" bestFit="1" customWidth="1"/>
    <col min="1506" max="1509" width="11" bestFit="1" customWidth="1"/>
    <col min="1510" max="1510" width="9.6640625" bestFit="1" customWidth="1"/>
    <col min="1511" max="1512" width="11" bestFit="1" customWidth="1"/>
    <col min="1513" max="1513" width="9.6640625" bestFit="1" customWidth="1"/>
    <col min="1514" max="1514" width="11" bestFit="1" customWidth="1"/>
    <col min="1515" max="1515" width="9.6640625" bestFit="1" customWidth="1"/>
    <col min="1516" max="1517" width="11" bestFit="1" customWidth="1"/>
    <col min="1518" max="1518" width="9.6640625" bestFit="1" customWidth="1"/>
    <col min="1519" max="1522" width="11" bestFit="1" customWidth="1"/>
    <col min="1523" max="1524" width="9.6640625" bestFit="1" customWidth="1"/>
    <col min="1525" max="1526" width="11" bestFit="1" customWidth="1"/>
    <col min="1527" max="1527" width="9.6640625" bestFit="1" customWidth="1"/>
    <col min="1528" max="1534" width="11" bestFit="1" customWidth="1"/>
    <col min="1535" max="1536" width="9.6640625" bestFit="1" customWidth="1"/>
    <col min="1537" max="1543" width="11" bestFit="1" customWidth="1"/>
    <col min="1544" max="1544" width="7" bestFit="1" customWidth="1"/>
    <col min="1545" max="1553" width="11" bestFit="1" customWidth="1"/>
    <col min="1554" max="1555" width="9.6640625" bestFit="1" customWidth="1"/>
    <col min="1556" max="1559" width="11" bestFit="1" customWidth="1"/>
    <col min="1560" max="1560" width="9.6640625" bestFit="1" customWidth="1"/>
    <col min="1561" max="1561" width="11" bestFit="1" customWidth="1"/>
    <col min="1562" max="1563" width="9.6640625" bestFit="1" customWidth="1"/>
    <col min="1564" max="1565" width="11" bestFit="1" customWidth="1"/>
    <col min="1566" max="1566" width="9.6640625" bestFit="1" customWidth="1"/>
    <col min="1567" max="1576" width="11" bestFit="1" customWidth="1"/>
    <col min="1577" max="1578" width="9.6640625" bestFit="1" customWidth="1"/>
    <col min="1579" max="1581" width="11" bestFit="1" customWidth="1"/>
    <col min="1582" max="1582" width="7" bestFit="1" customWidth="1"/>
    <col min="1583" max="1583" width="9.6640625" bestFit="1" customWidth="1"/>
    <col min="1584" max="1584" width="11" bestFit="1" customWidth="1"/>
    <col min="1585" max="1585" width="9.6640625" bestFit="1" customWidth="1"/>
    <col min="1586" max="1586" width="11" bestFit="1" customWidth="1"/>
    <col min="1587" max="1587" width="9.6640625" bestFit="1" customWidth="1"/>
    <col min="1588" max="1588" width="11" bestFit="1" customWidth="1"/>
    <col min="1589" max="1589" width="9.6640625" bestFit="1" customWidth="1"/>
    <col min="1590" max="1590" width="11" bestFit="1" customWidth="1"/>
    <col min="1591" max="1591" width="9.6640625" bestFit="1" customWidth="1"/>
    <col min="1592" max="1593" width="11" bestFit="1" customWidth="1"/>
    <col min="1594" max="1594" width="9.6640625" bestFit="1" customWidth="1"/>
    <col min="1595" max="1596" width="11" bestFit="1" customWidth="1"/>
    <col min="1597" max="1597" width="9.6640625" bestFit="1" customWidth="1"/>
    <col min="1598" max="1599" width="11" bestFit="1" customWidth="1"/>
    <col min="1600" max="1600" width="9.6640625" bestFit="1" customWidth="1"/>
    <col min="1601" max="1604" width="11" bestFit="1" customWidth="1"/>
    <col min="1605" max="1605" width="9.6640625" bestFit="1" customWidth="1"/>
    <col min="1606" max="1606" width="11" bestFit="1" customWidth="1"/>
    <col min="1607" max="1607" width="9.6640625" bestFit="1" customWidth="1"/>
    <col min="1608" max="1608" width="11" bestFit="1" customWidth="1"/>
    <col min="1609" max="1609" width="9.6640625" bestFit="1" customWidth="1"/>
    <col min="1610" max="1610" width="7" bestFit="1" customWidth="1"/>
    <col min="1611" max="1612" width="11" bestFit="1" customWidth="1"/>
    <col min="1613" max="1613" width="9.6640625" bestFit="1" customWidth="1"/>
    <col min="1614" max="1615" width="11" bestFit="1" customWidth="1"/>
    <col min="1616" max="1616" width="9.6640625" bestFit="1" customWidth="1"/>
    <col min="1617" max="1617" width="11" bestFit="1" customWidth="1"/>
    <col min="1618" max="1618" width="9.6640625" bestFit="1" customWidth="1"/>
    <col min="1619" max="1619" width="11" bestFit="1" customWidth="1"/>
    <col min="1620" max="1621" width="9.6640625" bestFit="1" customWidth="1"/>
    <col min="1622" max="1622" width="7" bestFit="1" customWidth="1"/>
    <col min="1623" max="1631" width="11" bestFit="1" customWidth="1"/>
    <col min="1632" max="1632" width="7" bestFit="1" customWidth="1"/>
    <col min="1633" max="1633" width="9.6640625" bestFit="1" customWidth="1"/>
    <col min="1634" max="1638" width="11" bestFit="1" customWidth="1"/>
    <col min="1639" max="1640" width="9.6640625" bestFit="1" customWidth="1"/>
    <col min="1641" max="1641" width="11" bestFit="1" customWidth="1"/>
    <col min="1642" max="1642" width="9.6640625" bestFit="1" customWidth="1"/>
    <col min="1643" max="1643" width="7" bestFit="1" customWidth="1"/>
    <col min="1644" max="1646" width="11" bestFit="1" customWidth="1"/>
    <col min="1647" max="1647" width="7" bestFit="1" customWidth="1"/>
    <col min="1648" max="1648" width="11" bestFit="1" customWidth="1"/>
    <col min="1649" max="1649" width="9.6640625" bestFit="1" customWidth="1"/>
    <col min="1650" max="1657" width="11" bestFit="1" customWidth="1"/>
    <col min="1658" max="1658" width="9.6640625" bestFit="1" customWidth="1"/>
    <col min="1659" max="1659" width="11" bestFit="1" customWidth="1"/>
    <col min="1660" max="1660" width="9.6640625" bestFit="1" customWidth="1"/>
    <col min="1661" max="1661" width="7" bestFit="1" customWidth="1"/>
    <col min="1662" max="1662" width="11" bestFit="1" customWidth="1"/>
    <col min="1663" max="1663" width="9.6640625" bestFit="1" customWidth="1"/>
    <col min="1664" max="1668" width="11" bestFit="1" customWidth="1"/>
    <col min="1669" max="1669" width="9.6640625" bestFit="1" customWidth="1"/>
    <col min="1670" max="1670" width="11" bestFit="1" customWidth="1"/>
    <col min="1671" max="1672" width="9.6640625" bestFit="1" customWidth="1"/>
    <col min="1673" max="1675" width="11" bestFit="1" customWidth="1"/>
    <col min="1676" max="1676" width="9.6640625" bestFit="1" customWidth="1"/>
    <col min="1677" max="1678" width="11" bestFit="1" customWidth="1"/>
    <col min="1679" max="1679" width="9.6640625" bestFit="1" customWidth="1"/>
    <col min="1680" max="1680" width="11" bestFit="1" customWidth="1"/>
    <col min="1681" max="1683" width="9.6640625" bestFit="1" customWidth="1"/>
    <col min="1684" max="1686" width="11" bestFit="1" customWidth="1"/>
    <col min="1687" max="1687" width="9.6640625" bestFit="1" customWidth="1"/>
    <col min="1688" max="1688" width="11" bestFit="1" customWidth="1"/>
    <col min="1689" max="1689" width="9.6640625" bestFit="1" customWidth="1"/>
    <col min="1690" max="1690" width="11" bestFit="1" customWidth="1"/>
    <col min="1691" max="1691" width="9.6640625" bestFit="1" customWidth="1"/>
    <col min="1692" max="1696" width="11" bestFit="1" customWidth="1"/>
    <col min="1697" max="1698" width="9.6640625" bestFit="1" customWidth="1"/>
    <col min="1699" max="1699" width="11" bestFit="1" customWidth="1"/>
    <col min="1700" max="1700" width="9.6640625" bestFit="1" customWidth="1"/>
    <col min="1701" max="1702" width="11" bestFit="1" customWidth="1"/>
    <col min="1703" max="1703" width="9.6640625" bestFit="1" customWidth="1"/>
    <col min="1704" max="1710" width="11" bestFit="1" customWidth="1"/>
    <col min="1711" max="1712" width="9.6640625" bestFit="1" customWidth="1"/>
    <col min="1713" max="1715" width="11" bestFit="1" customWidth="1"/>
    <col min="1716" max="1716" width="9.6640625" bestFit="1" customWidth="1"/>
    <col min="1717" max="1719" width="11" bestFit="1" customWidth="1"/>
    <col min="1720" max="1720" width="7" bestFit="1" customWidth="1"/>
    <col min="1721" max="1724" width="9.6640625" bestFit="1" customWidth="1"/>
    <col min="1725" max="1727" width="11" bestFit="1" customWidth="1"/>
    <col min="1728" max="1728" width="9.6640625" bestFit="1" customWidth="1"/>
    <col min="1729" max="1729" width="11" bestFit="1" customWidth="1"/>
    <col min="1730" max="1731" width="9.6640625" bestFit="1" customWidth="1"/>
    <col min="1732" max="1732" width="11" bestFit="1" customWidth="1"/>
    <col min="1733" max="1733" width="9.6640625" bestFit="1" customWidth="1"/>
    <col min="1734" max="1737" width="11" bestFit="1" customWidth="1"/>
    <col min="1738" max="1739" width="9.6640625" bestFit="1" customWidth="1"/>
    <col min="1740" max="1741" width="11" bestFit="1" customWidth="1"/>
    <col min="1742" max="1742" width="7" bestFit="1" customWidth="1"/>
    <col min="1743" max="1744" width="11" bestFit="1" customWidth="1"/>
    <col min="1745" max="1745" width="9.6640625" bestFit="1" customWidth="1"/>
    <col min="1746" max="1754" width="11" bestFit="1" customWidth="1"/>
    <col min="1755" max="1755" width="9.6640625" bestFit="1" customWidth="1"/>
    <col min="1756" max="1756" width="11" bestFit="1" customWidth="1"/>
    <col min="1757" max="1757" width="9.6640625" bestFit="1" customWidth="1"/>
    <col min="1758" max="1761" width="11" bestFit="1" customWidth="1"/>
    <col min="1762" max="1762" width="7" bestFit="1" customWidth="1"/>
    <col min="1763" max="1765" width="11" bestFit="1" customWidth="1"/>
    <col min="1766" max="1766" width="9.6640625" bestFit="1" customWidth="1"/>
    <col min="1767" max="1767" width="11" bestFit="1" customWidth="1"/>
    <col min="1768" max="1771" width="9.6640625" bestFit="1" customWidth="1"/>
    <col min="1772" max="1774" width="11" bestFit="1" customWidth="1"/>
    <col min="1775" max="1775" width="7" bestFit="1" customWidth="1"/>
    <col min="1776" max="1776" width="11" bestFit="1" customWidth="1"/>
    <col min="1777" max="1777" width="7" bestFit="1" customWidth="1"/>
    <col min="1778" max="1782" width="11" bestFit="1" customWidth="1"/>
    <col min="1783" max="1783" width="7" bestFit="1" customWidth="1"/>
    <col min="1784" max="1785" width="11" bestFit="1" customWidth="1"/>
    <col min="1786" max="1787" width="9.6640625" bestFit="1" customWidth="1"/>
    <col min="1788" max="1795" width="11" bestFit="1" customWidth="1"/>
    <col min="1796" max="1796" width="9.6640625" bestFit="1" customWidth="1"/>
    <col min="1797" max="1798" width="11" bestFit="1" customWidth="1"/>
    <col min="1799" max="1799" width="9.6640625" bestFit="1" customWidth="1"/>
    <col min="1800" max="1801" width="11" bestFit="1" customWidth="1"/>
    <col min="1802" max="1802" width="9.6640625" bestFit="1" customWidth="1"/>
    <col min="1803" max="1803" width="11" bestFit="1" customWidth="1"/>
    <col min="1804" max="1804" width="9.6640625" bestFit="1" customWidth="1"/>
    <col min="1805" max="1805" width="11" bestFit="1" customWidth="1"/>
    <col min="1806" max="1807" width="9.6640625" bestFit="1" customWidth="1"/>
    <col min="1808" max="1813" width="11" bestFit="1" customWidth="1"/>
    <col min="1814" max="1814" width="9.6640625" bestFit="1" customWidth="1"/>
    <col min="1815" max="1815" width="11" bestFit="1" customWidth="1"/>
    <col min="1816" max="1816" width="9.6640625" bestFit="1" customWidth="1"/>
    <col min="1817" max="1823" width="11" bestFit="1" customWidth="1"/>
    <col min="1824" max="1824" width="9.6640625" bestFit="1" customWidth="1"/>
    <col min="1825" max="1825" width="11" bestFit="1" customWidth="1"/>
    <col min="1826" max="1826" width="9.6640625" bestFit="1" customWidth="1"/>
    <col min="1827" max="1830" width="11" bestFit="1" customWidth="1"/>
    <col min="1831" max="1831" width="9.6640625" bestFit="1" customWidth="1"/>
    <col min="1832" max="1832" width="11" bestFit="1" customWidth="1"/>
    <col min="1833" max="1833" width="9.6640625" bestFit="1" customWidth="1"/>
    <col min="1834" max="1841" width="11" bestFit="1" customWidth="1"/>
    <col min="1842" max="1842" width="9.6640625" bestFit="1" customWidth="1"/>
    <col min="1843" max="1846" width="11" bestFit="1" customWidth="1"/>
    <col min="1847" max="1847" width="9.6640625" bestFit="1" customWidth="1"/>
    <col min="1848" max="1848" width="11" bestFit="1" customWidth="1"/>
    <col min="1849" max="1850" width="9.6640625" bestFit="1" customWidth="1"/>
    <col min="1851" max="1852" width="11" bestFit="1" customWidth="1"/>
    <col min="1853" max="1853" width="9.6640625" bestFit="1" customWidth="1"/>
    <col min="1854" max="1854" width="7" bestFit="1" customWidth="1"/>
    <col min="1855" max="1855" width="9.6640625" bestFit="1" customWidth="1"/>
    <col min="1856" max="1859" width="11" bestFit="1" customWidth="1"/>
    <col min="1860" max="1860" width="7" bestFit="1" customWidth="1"/>
    <col min="1861" max="1863" width="11" bestFit="1" customWidth="1"/>
    <col min="1864" max="1866" width="9.6640625" bestFit="1" customWidth="1"/>
    <col min="1867" max="1870" width="11" bestFit="1" customWidth="1"/>
    <col min="1871" max="1873" width="9.6640625" bestFit="1" customWidth="1"/>
    <col min="1874" max="1876" width="11" bestFit="1" customWidth="1"/>
    <col min="1877" max="1877" width="9.6640625" bestFit="1" customWidth="1"/>
    <col min="1878" max="1881" width="11" bestFit="1" customWidth="1"/>
    <col min="1882" max="1883" width="9.6640625" bestFit="1" customWidth="1"/>
    <col min="1884" max="1884" width="11" bestFit="1" customWidth="1"/>
    <col min="1885" max="1885" width="7" bestFit="1" customWidth="1"/>
    <col min="1886" max="1886" width="11" bestFit="1" customWidth="1"/>
    <col min="1887" max="1887" width="9.6640625" bestFit="1" customWidth="1"/>
    <col min="1888" max="1889" width="11" bestFit="1" customWidth="1"/>
    <col min="1890" max="1892" width="9.6640625" bestFit="1" customWidth="1"/>
    <col min="1893" max="1893" width="11" bestFit="1" customWidth="1"/>
    <col min="1894" max="1895" width="9.6640625" bestFit="1" customWidth="1"/>
    <col min="1896" max="1896" width="7" bestFit="1" customWidth="1"/>
    <col min="1897" max="1901" width="9.6640625" bestFit="1" customWidth="1"/>
    <col min="1902" max="1906" width="11" bestFit="1" customWidth="1"/>
    <col min="1907" max="1912" width="9.6640625" bestFit="1" customWidth="1"/>
    <col min="1913" max="1913" width="11" bestFit="1" customWidth="1"/>
    <col min="1914" max="1914" width="9.6640625" bestFit="1" customWidth="1"/>
    <col min="1915" max="1915" width="11" bestFit="1" customWidth="1"/>
    <col min="1916" max="1916" width="9.6640625" bestFit="1" customWidth="1"/>
    <col min="1917" max="1919" width="11" bestFit="1" customWidth="1"/>
    <col min="1920" max="1920" width="9.6640625" bestFit="1" customWidth="1"/>
    <col min="1921" max="1924" width="11" bestFit="1" customWidth="1"/>
    <col min="1925" max="1928" width="9.6640625" bestFit="1" customWidth="1"/>
    <col min="1929" max="1929" width="11" bestFit="1" customWidth="1"/>
    <col min="1930" max="1930" width="9.6640625" bestFit="1" customWidth="1"/>
    <col min="1931" max="1931" width="11" bestFit="1" customWidth="1"/>
    <col min="1932" max="1932" width="9.6640625" bestFit="1" customWidth="1"/>
    <col min="1933" max="1933" width="11" bestFit="1" customWidth="1"/>
    <col min="1934" max="1934" width="7" bestFit="1" customWidth="1"/>
    <col min="1935" max="1935" width="9.6640625" bestFit="1" customWidth="1"/>
    <col min="1936" max="1936" width="11" bestFit="1" customWidth="1"/>
    <col min="1937" max="1938" width="9.6640625" bestFit="1" customWidth="1"/>
    <col min="1939" max="1944" width="11" bestFit="1" customWidth="1"/>
    <col min="1945" max="1947" width="9.6640625" bestFit="1" customWidth="1"/>
    <col min="1948" max="1948" width="11" bestFit="1" customWidth="1"/>
    <col min="1949" max="1949" width="9.6640625" bestFit="1" customWidth="1"/>
    <col min="1950" max="1954" width="11" bestFit="1" customWidth="1"/>
    <col min="1955" max="1959" width="9.6640625" bestFit="1" customWidth="1"/>
    <col min="1960" max="1960" width="11" bestFit="1" customWidth="1"/>
    <col min="1961" max="1966" width="9.6640625" bestFit="1" customWidth="1"/>
    <col min="1967" max="1967" width="7" bestFit="1" customWidth="1"/>
    <col min="1968" max="1969" width="9.6640625" bestFit="1" customWidth="1"/>
    <col min="1970" max="1970" width="7" bestFit="1" customWidth="1"/>
    <col min="1971" max="1977" width="9.6640625" bestFit="1" customWidth="1"/>
    <col min="1978" max="1978" width="7" bestFit="1" customWidth="1"/>
    <col min="1979" max="1986" width="9.6640625" bestFit="1" customWidth="1"/>
    <col min="1987" max="1987" width="15.77734375" bestFit="1" customWidth="1"/>
    <col min="1988" max="1988" width="11" bestFit="1" customWidth="1"/>
    <col min="1989" max="1989" width="16" bestFit="1" customWidth="1"/>
    <col min="1990" max="1990" width="9.6640625" bestFit="1" customWidth="1"/>
    <col min="1991" max="1991" width="14.109375" bestFit="1" customWidth="1"/>
    <col min="1992" max="1992" width="11" bestFit="1" customWidth="1"/>
    <col min="1993" max="1993" width="16" bestFit="1" customWidth="1"/>
    <col min="1994" max="1994" width="11" bestFit="1" customWidth="1"/>
    <col min="1995" max="1995" width="15.6640625" bestFit="1" customWidth="1"/>
    <col min="1996" max="1996" width="11" bestFit="1" customWidth="1"/>
    <col min="1997" max="1997" width="16" bestFit="1" customWidth="1"/>
    <col min="1998" max="1998" width="9.6640625" bestFit="1" customWidth="1"/>
    <col min="1999" max="1999" width="14.44140625" bestFit="1" customWidth="1"/>
    <col min="2000" max="2000" width="9.6640625" bestFit="1" customWidth="1"/>
    <col min="2001" max="2001" width="14.109375" bestFit="1" customWidth="1"/>
    <col min="2002" max="2002" width="9.6640625" bestFit="1" customWidth="1"/>
    <col min="2003" max="2003" width="14.44140625" bestFit="1" customWidth="1"/>
    <col min="2004" max="2004" width="11" bestFit="1" customWidth="1"/>
    <col min="2005" max="2005" width="16" bestFit="1" customWidth="1"/>
    <col min="2006" max="2006" width="11" bestFit="1" customWidth="1"/>
    <col min="2007" max="2007" width="16" bestFit="1" customWidth="1"/>
    <col min="2008" max="2008" width="9.6640625" bestFit="1" customWidth="1"/>
    <col min="2009" max="2009" width="14.44140625" bestFit="1" customWidth="1"/>
    <col min="2010" max="2010" width="11" bestFit="1" customWidth="1"/>
    <col min="2011" max="2011" width="16" bestFit="1" customWidth="1"/>
    <col min="2012" max="2012" width="9.6640625" bestFit="1" customWidth="1"/>
    <col min="2013" max="2013" width="14.109375" bestFit="1" customWidth="1"/>
    <col min="2014" max="2014" width="11" bestFit="1" customWidth="1"/>
    <col min="2015" max="2015" width="16" bestFit="1" customWidth="1"/>
    <col min="2016" max="2016" width="11" bestFit="1" customWidth="1"/>
    <col min="2017" max="2017" width="16" bestFit="1" customWidth="1"/>
    <col min="2018" max="2018" width="11" bestFit="1" customWidth="1"/>
    <col min="2019" max="2019" width="16" bestFit="1" customWidth="1"/>
    <col min="2020" max="2020" width="11" bestFit="1" customWidth="1"/>
    <col min="2021" max="2021" width="16" bestFit="1" customWidth="1"/>
    <col min="2022" max="2022" width="9.6640625" bestFit="1" customWidth="1"/>
    <col min="2023" max="2023" width="14.44140625" bestFit="1" customWidth="1"/>
    <col min="2024" max="2024" width="11" bestFit="1" customWidth="1"/>
    <col min="2025" max="2025" width="15.6640625" bestFit="1" customWidth="1"/>
    <col min="2026" max="2026" width="11" bestFit="1" customWidth="1"/>
    <col min="2027" max="2027" width="16" bestFit="1" customWidth="1"/>
    <col min="2028" max="2028" width="11" bestFit="1" customWidth="1"/>
    <col min="2029" max="2029" width="16" bestFit="1" customWidth="1"/>
    <col min="2030" max="2030" width="11" bestFit="1" customWidth="1"/>
    <col min="2031" max="2031" width="16" bestFit="1" customWidth="1"/>
    <col min="2032" max="2032" width="11" bestFit="1" customWidth="1"/>
    <col min="2033" max="2033" width="16" bestFit="1" customWidth="1"/>
    <col min="2034" max="2034" width="11" bestFit="1" customWidth="1"/>
    <col min="2035" max="2035" width="16" bestFit="1" customWidth="1"/>
    <col min="2036" max="2036" width="11" bestFit="1" customWidth="1"/>
    <col min="2037" max="2037" width="16" bestFit="1" customWidth="1"/>
    <col min="2038" max="2038" width="11" bestFit="1" customWidth="1"/>
    <col min="2039" max="2039" width="16" bestFit="1" customWidth="1"/>
    <col min="2040" max="2040" width="11" bestFit="1" customWidth="1"/>
    <col min="2041" max="2041" width="15.6640625" bestFit="1" customWidth="1"/>
    <col min="2042" max="2042" width="9.6640625" bestFit="1" customWidth="1"/>
    <col min="2043" max="2043" width="14.109375" bestFit="1" customWidth="1"/>
    <col min="2044" max="2044" width="11" bestFit="1" customWidth="1"/>
    <col min="2045" max="2045" width="16" bestFit="1" customWidth="1"/>
    <col min="2046" max="2046" width="9.6640625" bestFit="1" customWidth="1"/>
    <col min="2047" max="2047" width="14.109375" bestFit="1" customWidth="1"/>
    <col min="2048" max="2048" width="11" bestFit="1" customWidth="1"/>
    <col min="2049" max="2049" width="15.6640625" bestFit="1" customWidth="1"/>
    <col min="2050" max="2050" width="11" bestFit="1" customWidth="1"/>
    <col min="2051" max="2051" width="16" bestFit="1" customWidth="1"/>
    <col min="2052" max="2052" width="11" bestFit="1" customWidth="1"/>
    <col min="2053" max="2053" width="16" bestFit="1" customWidth="1"/>
    <col min="2054" max="2054" width="11" bestFit="1" customWidth="1"/>
    <col min="2055" max="2055" width="16" bestFit="1" customWidth="1"/>
    <col min="2056" max="2056" width="11" bestFit="1" customWidth="1"/>
    <col min="2057" max="2057" width="15.6640625" bestFit="1" customWidth="1"/>
    <col min="2058" max="2058" width="11" bestFit="1" customWidth="1"/>
    <col min="2059" max="2059" width="16" bestFit="1" customWidth="1"/>
    <col min="2060" max="2060" width="11" bestFit="1" customWidth="1"/>
    <col min="2061" max="2061" width="16" bestFit="1" customWidth="1"/>
    <col min="2062" max="2062" width="11" bestFit="1" customWidth="1"/>
    <col min="2063" max="2063" width="15.6640625" bestFit="1" customWidth="1"/>
    <col min="2064" max="2064" width="11" bestFit="1" customWidth="1"/>
    <col min="2065" max="2065" width="15" bestFit="1" customWidth="1"/>
    <col min="2066" max="2066" width="9.6640625" bestFit="1" customWidth="1"/>
    <col min="2067" max="2067" width="14.44140625" bestFit="1" customWidth="1"/>
    <col min="2068" max="2068" width="11" bestFit="1" customWidth="1"/>
    <col min="2069" max="2069" width="15.6640625" bestFit="1" customWidth="1"/>
    <col min="2070" max="2070" width="11" bestFit="1" customWidth="1"/>
    <col min="2071" max="2071" width="16" bestFit="1" customWidth="1"/>
    <col min="2072" max="2072" width="11" bestFit="1" customWidth="1"/>
    <col min="2073" max="2073" width="15.6640625" bestFit="1" customWidth="1"/>
    <col min="2074" max="2074" width="11" bestFit="1" customWidth="1"/>
    <col min="2075" max="2075" width="16" bestFit="1" customWidth="1"/>
    <col min="2076" max="2076" width="9.6640625" bestFit="1" customWidth="1"/>
    <col min="2077" max="2077" width="14.44140625" bestFit="1" customWidth="1"/>
    <col min="2078" max="2078" width="9.6640625" bestFit="1" customWidth="1"/>
    <col min="2079" max="2079" width="14.44140625" bestFit="1" customWidth="1"/>
    <col min="2080" max="2080" width="11" bestFit="1" customWidth="1"/>
    <col min="2081" max="2081" width="16" bestFit="1" customWidth="1"/>
    <col min="2082" max="2082" width="9.6640625" bestFit="1" customWidth="1"/>
    <col min="2083" max="2083" width="14.44140625" bestFit="1" customWidth="1"/>
    <col min="2084" max="2084" width="11" bestFit="1" customWidth="1"/>
    <col min="2085" max="2085" width="16" bestFit="1" customWidth="1"/>
    <col min="2086" max="2086" width="11" bestFit="1" customWidth="1"/>
    <col min="2087" max="2087" width="16" bestFit="1" customWidth="1"/>
    <col min="2088" max="2088" width="11" bestFit="1" customWidth="1"/>
    <col min="2089" max="2089" width="16" bestFit="1" customWidth="1"/>
    <col min="2090" max="2090" width="9.6640625" bestFit="1" customWidth="1"/>
    <col min="2091" max="2091" width="14.44140625" bestFit="1" customWidth="1"/>
    <col min="2092" max="2092" width="11" bestFit="1" customWidth="1"/>
    <col min="2093" max="2093" width="15.6640625" bestFit="1" customWidth="1"/>
    <col min="2094" max="2094" width="9.6640625" bestFit="1" customWidth="1"/>
    <col min="2095" max="2095" width="14.109375" bestFit="1" customWidth="1"/>
    <col min="2096" max="2096" width="9.6640625" bestFit="1" customWidth="1"/>
    <col min="2097" max="2097" width="14.109375" bestFit="1" customWidth="1"/>
    <col min="2098" max="2098" width="11" bestFit="1" customWidth="1"/>
    <col min="2099" max="2099" width="15.6640625" bestFit="1" customWidth="1"/>
    <col min="2100" max="2100" width="11" bestFit="1" customWidth="1"/>
    <col min="2101" max="2101" width="15.6640625" bestFit="1" customWidth="1"/>
    <col min="2102" max="2102" width="11" bestFit="1" customWidth="1"/>
    <col min="2103" max="2103" width="15.6640625" bestFit="1" customWidth="1"/>
    <col min="2104" max="2104" width="11" bestFit="1" customWidth="1"/>
    <col min="2105" max="2105" width="15.6640625" bestFit="1" customWidth="1"/>
    <col min="2106" max="2106" width="11" bestFit="1" customWidth="1"/>
    <col min="2107" max="2107" width="15" bestFit="1" customWidth="1"/>
    <col min="2108" max="2108" width="7" bestFit="1" customWidth="1"/>
    <col min="2109" max="2109" width="12" bestFit="1" customWidth="1"/>
    <col min="2110" max="2110" width="9.6640625" bestFit="1" customWidth="1"/>
    <col min="2111" max="2111" width="14.109375" bestFit="1" customWidth="1"/>
    <col min="2112" max="2112" width="11" bestFit="1" customWidth="1"/>
    <col min="2113" max="2113" width="15.6640625" bestFit="1" customWidth="1"/>
    <col min="2114" max="2114" width="11" bestFit="1" customWidth="1"/>
    <col min="2115" max="2115" width="15.6640625" bestFit="1" customWidth="1"/>
    <col min="2116" max="2116" width="11" bestFit="1" customWidth="1"/>
    <col min="2117" max="2117" width="16" bestFit="1" customWidth="1"/>
    <col min="2118" max="2118" width="9.6640625" bestFit="1" customWidth="1"/>
    <col min="2119" max="2119" width="14.44140625" bestFit="1" customWidth="1"/>
    <col min="2120" max="2120" width="11" bestFit="1" customWidth="1"/>
    <col min="2121" max="2121" width="15" bestFit="1" customWidth="1"/>
    <col min="2122" max="2122" width="11" bestFit="1" customWidth="1"/>
    <col min="2123" max="2123" width="15.6640625" bestFit="1" customWidth="1"/>
    <col min="2124" max="2124" width="9.6640625" bestFit="1" customWidth="1"/>
    <col min="2125" max="2125" width="14.109375" bestFit="1" customWidth="1"/>
    <col min="2126" max="2126" width="11" bestFit="1" customWidth="1"/>
    <col min="2127" max="2127" width="16" bestFit="1" customWidth="1"/>
    <col min="2128" max="2128" width="7" bestFit="1" customWidth="1"/>
    <col min="2129" max="2129" width="12.33203125" bestFit="1" customWidth="1"/>
    <col min="2130" max="2130" width="11" bestFit="1" customWidth="1"/>
    <col min="2131" max="2131" width="16" bestFit="1" customWidth="1"/>
    <col min="2132" max="2132" width="11" bestFit="1" customWidth="1"/>
    <col min="2133" max="2133" width="16" bestFit="1" customWidth="1"/>
    <col min="2134" max="2134" width="9.6640625" bestFit="1" customWidth="1"/>
    <col min="2135" max="2135" width="14.109375" bestFit="1" customWidth="1"/>
    <col min="2136" max="2136" width="11" bestFit="1" customWidth="1"/>
    <col min="2137" max="2137" width="15.6640625" bestFit="1" customWidth="1"/>
    <col min="2138" max="2138" width="11" bestFit="1" customWidth="1"/>
    <col min="2139" max="2139" width="16" bestFit="1" customWidth="1"/>
    <col min="2140" max="2140" width="11" bestFit="1" customWidth="1"/>
    <col min="2141" max="2141" width="16" bestFit="1" customWidth="1"/>
    <col min="2142" max="2142" width="11" bestFit="1" customWidth="1"/>
    <col min="2143" max="2143" width="15.6640625" bestFit="1" customWidth="1"/>
    <col min="2144" max="2144" width="11" bestFit="1" customWidth="1"/>
    <col min="2145" max="2145" width="16" bestFit="1" customWidth="1"/>
    <col min="2146" max="2146" width="9.6640625" bestFit="1" customWidth="1"/>
    <col min="2147" max="2147" width="14.109375" bestFit="1" customWidth="1"/>
    <col min="2148" max="2148" width="11" bestFit="1" customWidth="1"/>
    <col min="2149" max="2149" width="16" bestFit="1" customWidth="1"/>
    <col min="2150" max="2150" width="11" bestFit="1" customWidth="1"/>
    <col min="2151" max="2151" width="16" bestFit="1" customWidth="1"/>
    <col min="2152" max="2152" width="11" bestFit="1" customWidth="1"/>
    <col min="2153" max="2153" width="16" bestFit="1" customWidth="1"/>
    <col min="2154" max="2154" width="9.6640625" bestFit="1" customWidth="1"/>
    <col min="2155" max="2155" width="14.109375" bestFit="1" customWidth="1"/>
    <col min="2156" max="2156" width="11" bestFit="1" customWidth="1"/>
    <col min="2157" max="2157" width="15.6640625" bestFit="1" customWidth="1"/>
    <col min="2158" max="2158" width="11" bestFit="1" customWidth="1"/>
    <col min="2159" max="2159" width="16" bestFit="1" customWidth="1"/>
    <col min="2160" max="2160" width="11" bestFit="1" customWidth="1"/>
    <col min="2161" max="2161" width="16" bestFit="1" customWidth="1"/>
    <col min="2162" max="2162" width="11" bestFit="1" customWidth="1"/>
    <col min="2163" max="2163" width="16" bestFit="1" customWidth="1"/>
    <col min="2164" max="2164" width="11" bestFit="1" customWidth="1"/>
    <col min="2165" max="2165" width="16" bestFit="1" customWidth="1"/>
    <col min="2166" max="2166" width="9.6640625" bestFit="1" customWidth="1"/>
    <col min="2167" max="2167" width="14.44140625" bestFit="1" customWidth="1"/>
    <col min="2168" max="2168" width="11" bestFit="1" customWidth="1"/>
    <col min="2169" max="2169" width="16" bestFit="1" customWidth="1"/>
    <col min="2170" max="2170" width="9.6640625" bestFit="1" customWidth="1"/>
    <col min="2171" max="2171" width="14.44140625" bestFit="1" customWidth="1"/>
    <col min="2172" max="2172" width="11" bestFit="1" customWidth="1"/>
    <col min="2173" max="2173" width="15.6640625" bestFit="1" customWidth="1"/>
    <col min="2174" max="2174" width="9.6640625" bestFit="1" customWidth="1"/>
    <col min="2175" max="2175" width="14.44140625" bestFit="1" customWidth="1"/>
    <col min="2176" max="2176" width="11" bestFit="1" customWidth="1"/>
    <col min="2177" max="2177" width="16" bestFit="1" customWidth="1"/>
    <col min="2178" max="2178" width="11" bestFit="1" customWidth="1"/>
    <col min="2179" max="2179" width="16" bestFit="1" customWidth="1"/>
    <col min="2180" max="2180" width="11" bestFit="1" customWidth="1"/>
    <col min="2181" max="2181" width="16" bestFit="1" customWidth="1"/>
    <col min="2182" max="2182" width="7" bestFit="1" customWidth="1"/>
    <col min="2183" max="2183" width="12.33203125" bestFit="1" customWidth="1"/>
    <col min="2184" max="2184" width="11" bestFit="1" customWidth="1"/>
    <col min="2185" max="2185" width="16" bestFit="1" customWidth="1"/>
    <col min="2186" max="2186" width="11" bestFit="1" customWidth="1"/>
    <col min="2187" max="2187" width="16" bestFit="1" customWidth="1"/>
    <col min="2188" max="2188" width="9.6640625" bestFit="1" customWidth="1"/>
    <col min="2189" max="2189" width="14.44140625" bestFit="1" customWidth="1"/>
    <col min="2190" max="2190" width="11" bestFit="1" customWidth="1"/>
    <col min="2191" max="2191" width="15.6640625" bestFit="1" customWidth="1"/>
    <col min="2192" max="2192" width="11" bestFit="1" customWidth="1"/>
    <col min="2193" max="2193" width="15.6640625" bestFit="1" customWidth="1"/>
    <col min="2194" max="2194" width="11" bestFit="1" customWidth="1"/>
    <col min="2195" max="2195" width="16" bestFit="1" customWidth="1"/>
    <col min="2196" max="2196" width="9.6640625" bestFit="1" customWidth="1"/>
    <col min="2197" max="2197" width="14.109375" bestFit="1" customWidth="1"/>
    <col min="2198" max="2198" width="9.6640625" bestFit="1" customWidth="1"/>
    <col min="2199" max="2199" width="14.44140625" bestFit="1" customWidth="1"/>
    <col min="2200" max="2200" width="11" bestFit="1" customWidth="1"/>
    <col min="2201" max="2201" width="15.6640625" bestFit="1" customWidth="1"/>
    <col min="2202" max="2202" width="9.6640625" bestFit="1" customWidth="1"/>
    <col min="2203" max="2203" width="14.44140625" bestFit="1" customWidth="1"/>
    <col min="2204" max="2204" width="9.6640625" bestFit="1" customWidth="1"/>
    <col min="2205" max="2205" width="14.109375" bestFit="1" customWidth="1"/>
    <col min="2206" max="2206" width="9.6640625" bestFit="1" customWidth="1"/>
    <col min="2207" max="2207" width="14.109375" bestFit="1" customWidth="1"/>
    <col min="2208" max="2208" width="9.6640625" bestFit="1" customWidth="1"/>
    <col min="2209" max="2209" width="14.44140625" bestFit="1" customWidth="1"/>
    <col min="2210" max="2210" width="11" bestFit="1" customWidth="1"/>
    <col min="2211" max="2211" width="15.6640625" bestFit="1" customWidth="1"/>
    <col min="2212" max="2212" width="9.6640625" bestFit="1" customWidth="1"/>
    <col min="2213" max="2213" width="14.44140625" bestFit="1" customWidth="1"/>
    <col min="2214" max="2214" width="11" bestFit="1" customWidth="1"/>
    <col min="2215" max="2215" width="16" bestFit="1" customWidth="1"/>
    <col min="2216" max="2216" width="11" bestFit="1" customWidth="1"/>
    <col min="2217" max="2217" width="15.6640625" bestFit="1" customWidth="1"/>
    <col min="2218" max="2218" width="11" bestFit="1" customWidth="1"/>
    <col min="2219" max="2219" width="16" bestFit="1" customWidth="1"/>
    <col min="2220" max="2220" width="11" bestFit="1" customWidth="1"/>
    <col min="2221" max="2221" width="16" bestFit="1" customWidth="1"/>
    <col min="2222" max="2222" width="9.6640625" bestFit="1" customWidth="1"/>
    <col min="2223" max="2223" width="14.44140625" bestFit="1" customWidth="1"/>
    <col min="2224" max="2224" width="11" bestFit="1" customWidth="1"/>
    <col min="2225" max="2225" width="16" bestFit="1" customWidth="1"/>
    <col min="2226" max="2226" width="11" bestFit="1" customWidth="1"/>
    <col min="2227" max="2227" width="16" bestFit="1" customWidth="1"/>
    <col min="2228" max="2228" width="12.33203125" bestFit="1" customWidth="1"/>
    <col min="2229" max="2229" width="16.5546875" bestFit="1" customWidth="1"/>
    <col min="2230" max="2230" width="12.33203125" bestFit="1" customWidth="1"/>
    <col min="2231" max="2231" width="17" bestFit="1" customWidth="1"/>
    <col min="2232" max="2232" width="12.33203125" bestFit="1" customWidth="1"/>
    <col min="2233" max="2233" width="16.5546875" bestFit="1" customWidth="1"/>
    <col min="2234" max="2234" width="11" bestFit="1" customWidth="1"/>
    <col min="2235" max="2235" width="15.6640625" bestFit="1" customWidth="1"/>
    <col min="2236" max="2236" width="12.33203125" bestFit="1" customWidth="1"/>
    <col min="2237" max="2237" width="17" bestFit="1" customWidth="1"/>
    <col min="2238" max="2238" width="11" bestFit="1" customWidth="1"/>
    <col min="2239" max="2239" width="15.6640625" bestFit="1" customWidth="1"/>
    <col min="2240" max="2240" width="12.33203125" bestFit="1" customWidth="1"/>
    <col min="2241" max="2241" width="17" bestFit="1" customWidth="1"/>
    <col min="2242" max="2242" width="12.33203125" bestFit="1" customWidth="1"/>
    <col min="2243" max="2243" width="16.5546875" bestFit="1" customWidth="1"/>
    <col min="2244" max="2244" width="12.33203125" bestFit="1" customWidth="1"/>
    <col min="2245" max="2245" width="16.5546875" bestFit="1" customWidth="1"/>
    <col min="2246" max="2246" width="12.33203125" bestFit="1" customWidth="1"/>
    <col min="2247" max="2247" width="16.21875" bestFit="1" customWidth="1"/>
    <col min="2248" max="2248" width="12.33203125" bestFit="1" customWidth="1"/>
    <col min="2249" max="2249" width="16.21875" bestFit="1" customWidth="1"/>
    <col min="2250" max="2250" width="12.33203125" bestFit="1" customWidth="1"/>
    <col min="2251" max="2251" width="16.5546875" bestFit="1" customWidth="1"/>
    <col min="2252" max="2252" width="11" bestFit="1" customWidth="1"/>
    <col min="2253" max="2253" width="15" bestFit="1" customWidth="1"/>
    <col min="2254" max="2254" width="11" bestFit="1" customWidth="1"/>
    <col min="2255" max="2255" width="15" bestFit="1" customWidth="1"/>
    <col min="2256" max="2256" width="12.33203125" bestFit="1" customWidth="1"/>
    <col min="2257" max="2257" width="16.5546875" bestFit="1" customWidth="1"/>
    <col min="2258" max="2258" width="11" bestFit="1" customWidth="1"/>
    <col min="2259" max="2259" width="14.6640625" bestFit="1" customWidth="1"/>
    <col min="2260" max="2260" width="12.33203125" bestFit="1" customWidth="1"/>
    <col min="2261" max="2261" width="16.21875" bestFit="1" customWidth="1"/>
    <col min="2262" max="2262" width="12.33203125" bestFit="1" customWidth="1"/>
    <col min="2263" max="2263" width="16.5546875" bestFit="1" customWidth="1"/>
    <col min="2264" max="2264" width="12.33203125" bestFit="1" customWidth="1"/>
    <col min="2265" max="2265" width="16.5546875" bestFit="1" customWidth="1"/>
    <col min="2266" max="2266" width="12.33203125" bestFit="1" customWidth="1"/>
    <col min="2267" max="2267" width="16.5546875" bestFit="1" customWidth="1"/>
    <col min="2268" max="2268" width="12.33203125" bestFit="1" customWidth="1"/>
    <col min="2269" max="2269" width="16.21875" bestFit="1" customWidth="1"/>
    <col min="2270" max="2270" width="12.33203125" bestFit="1" customWidth="1"/>
    <col min="2271" max="2271" width="16.5546875" bestFit="1" customWidth="1"/>
    <col min="2272" max="2272" width="11" bestFit="1" customWidth="1"/>
    <col min="2273" max="2273" width="15" bestFit="1" customWidth="1"/>
    <col min="2274" max="2274" width="12.33203125" bestFit="1" customWidth="1"/>
    <col min="2275" max="2275" width="16.5546875" bestFit="1" customWidth="1"/>
    <col min="2276" max="2276" width="11" bestFit="1" customWidth="1"/>
    <col min="2277" max="2277" width="15.6640625" bestFit="1" customWidth="1"/>
    <col min="2278" max="2278" width="12.33203125" bestFit="1" customWidth="1"/>
    <col min="2279" max="2279" width="17" bestFit="1" customWidth="1"/>
    <col min="2280" max="2280" width="8.33203125" bestFit="1" customWidth="1"/>
    <col min="2281" max="2281" width="13.33203125" bestFit="1" customWidth="1"/>
    <col min="2282" max="2282" width="12.33203125" bestFit="1" customWidth="1"/>
    <col min="2283" max="2283" width="16.5546875" bestFit="1" customWidth="1"/>
    <col min="2284" max="2284" width="12.33203125" bestFit="1" customWidth="1"/>
    <col min="2285" max="2285" width="17" bestFit="1" customWidth="1"/>
    <col min="2286" max="2286" width="12.33203125" bestFit="1" customWidth="1"/>
    <col min="2287" max="2287" width="17" bestFit="1" customWidth="1"/>
    <col min="2288" max="2288" width="12.33203125" bestFit="1" customWidth="1"/>
    <col min="2289" max="2289" width="17" bestFit="1" customWidth="1"/>
    <col min="2290" max="2290" width="12.33203125" bestFit="1" customWidth="1"/>
    <col min="2291" max="2291" width="17" bestFit="1" customWidth="1"/>
    <col min="2292" max="2292" width="12.33203125" bestFit="1" customWidth="1"/>
    <col min="2293" max="2293" width="17" bestFit="1" customWidth="1"/>
    <col min="2294" max="2294" width="12.33203125" bestFit="1" customWidth="1"/>
    <col min="2295" max="2295" width="17" bestFit="1" customWidth="1"/>
    <col min="2296" max="2296" width="12.33203125" bestFit="1" customWidth="1"/>
    <col min="2297" max="2297" width="17" bestFit="1" customWidth="1"/>
    <col min="2298" max="2298" width="12.33203125" bestFit="1" customWidth="1"/>
    <col min="2299" max="2299" width="16.5546875" bestFit="1" customWidth="1"/>
    <col min="2300" max="2300" width="11" bestFit="1" customWidth="1"/>
    <col min="2301" max="2301" width="15.6640625" bestFit="1" customWidth="1"/>
    <col min="2302" max="2302" width="12.33203125" bestFit="1" customWidth="1"/>
    <col min="2303" max="2303" width="17" bestFit="1" customWidth="1"/>
    <col min="2304" max="2304" width="12.33203125" bestFit="1" customWidth="1"/>
    <col min="2305" max="2305" width="16.5546875" bestFit="1" customWidth="1"/>
    <col min="2306" max="2306" width="12.33203125" bestFit="1" customWidth="1"/>
    <col min="2307" max="2307" width="17" bestFit="1" customWidth="1"/>
    <col min="2308" max="2308" width="12.33203125" bestFit="1" customWidth="1"/>
    <col min="2309" max="2309" width="17" bestFit="1" customWidth="1"/>
    <col min="2310" max="2310" width="12.33203125" bestFit="1" customWidth="1"/>
    <col min="2311" max="2311" width="17" bestFit="1" customWidth="1"/>
    <col min="2312" max="2312" width="12.33203125" bestFit="1" customWidth="1"/>
    <col min="2313" max="2313" width="17" bestFit="1" customWidth="1"/>
    <col min="2314" max="2314" width="12.33203125" bestFit="1" customWidth="1"/>
    <col min="2315" max="2315" width="16.5546875" bestFit="1" customWidth="1"/>
    <col min="2316" max="2316" width="11" bestFit="1" customWidth="1"/>
    <col min="2317" max="2317" width="15.6640625" bestFit="1" customWidth="1"/>
    <col min="2318" max="2318" width="12.33203125" bestFit="1" customWidth="1"/>
    <col min="2319" max="2319" width="17" bestFit="1" customWidth="1"/>
    <col min="2320" max="2320" width="11" bestFit="1" customWidth="1"/>
    <col min="2321" max="2321" width="15.6640625" bestFit="1" customWidth="1"/>
    <col min="2322" max="2322" width="12.33203125" bestFit="1" customWidth="1"/>
    <col min="2323" max="2323" width="17" bestFit="1" customWidth="1"/>
    <col min="2324" max="2324" width="12.33203125" bestFit="1" customWidth="1"/>
    <col min="2325" max="2325" width="17" bestFit="1" customWidth="1"/>
    <col min="2326" max="2326" width="8.33203125" bestFit="1" customWidth="1"/>
    <col min="2327" max="2327" width="13.33203125" bestFit="1" customWidth="1"/>
    <col min="2328" max="2328" width="11" bestFit="1" customWidth="1"/>
    <col min="2329" max="2329" width="15" bestFit="1" customWidth="1"/>
    <col min="2330" max="2330" width="12.33203125" bestFit="1" customWidth="1"/>
    <col min="2331" max="2331" width="17" bestFit="1" customWidth="1"/>
    <col min="2332" max="2332" width="12.33203125" bestFit="1" customWidth="1"/>
    <col min="2333" max="2333" width="16.5546875" bestFit="1" customWidth="1"/>
    <col min="2334" max="2334" width="12.33203125" bestFit="1" customWidth="1"/>
    <col min="2335" max="2335" width="17" bestFit="1" customWidth="1"/>
    <col min="2336" max="2336" width="11" bestFit="1" customWidth="1"/>
    <col min="2337" max="2337" width="15" bestFit="1" customWidth="1"/>
    <col min="2338" max="2338" width="8.33203125" bestFit="1" customWidth="1"/>
    <col min="2339" max="2339" width="13.33203125" bestFit="1" customWidth="1"/>
    <col min="2340" max="2340" width="11" bestFit="1" customWidth="1"/>
    <col min="2341" max="2341" width="15.6640625" bestFit="1" customWidth="1"/>
    <col min="2342" max="2342" width="12.33203125" bestFit="1" customWidth="1"/>
    <col min="2343" max="2343" width="17" bestFit="1" customWidth="1"/>
    <col min="2344" max="2344" width="12.33203125" bestFit="1" customWidth="1"/>
    <col min="2345" max="2345" width="17" bestFit="1" customWidth="1"/>
    <col min="2346" max="2346" width="12.33203125" bestFit="1" customWidth="1"/>
    <col min="2347" max="2347" width="17" bestFit="1" customWidth="1"/>
    <col min="2348" max="2348" width="12.33203125" bestFit="1" customWidth="1"/>
    <col min="2349" max="2349" width="17" bestFit="1" customWidth="1"/>
    <col min="2350" max="2350" width="12.33203125" bestFit="1" customWidth="1"/>
    <col min="2351" max="2351" width="16.21875" bestFit="1" customWidth="1"/>
    <col min="2352" max="2352" width="12.33203125" bestFit="1" customWidth="1"/>
    <col min="2353" max="2353" width="17" bestFit="1" customWidth="1"/>
    <col min="2354" max="2354" width="11" bestFit="1" customWidth="1"/>
    <col min="2355" max="2355" width="14.6640625" bestFit="1" customWidth="1"/>
    <col min="2356" max="2356" width="12.33203125" bestFit="1" customWidth="1"/>
    <col min="2357" max="2357" width="16.5546875" bestFit="1" customWidth="1"/>
    <col min="2358" max="2358" width="12.33203125" bestFit="1" customWidth="1"/>
    <col min="2359" max="2359" width="16.5546875" bestFit="1" customWidth="1"/>
    <col min="2360" max="2360" width="12.33203125" bestFit="1" customWidth="1"/>
    <col min="2361" max="2361" width="17" bestFit="1" customWidth="1"/>
    <col min="2362" max="2362" width="12.33203125" bestFit="1" customWidth="1"/>
    <col min="2363" max="2363" width="17" bestFit="1" customWidth="1"/>
    <col min="2364" max="2364" width="12.33203125" bestFit="1" customWidth="1"/>
    <col min="2365" max="2365" width="17" bestFit="1" customWidth="1"/>
    <col min="2366" max="2366" width="12.33203125" bestFit="1" customWidth="1"/>
    <col min="2367" max="2367" width="17" bestFit="1" customWidth="1"/>
    <col min="2368" max="2368" width="12.33203125" bestFit="1" customWidth="1"/>
    <col min="2369" max="2369" width="17" bestFit="1" customWidth="1"/>
    <col min="2370" max="2370" width="11" bestFit="1" customWidth="1"/>
    <col min="2371" max="2371" width="15" bestFit="1" customWidth="1"/>
    <col min="2372" max="2372" width="12.33203125" bestFit="1" customWidth="1"/>
    <col min="2373" max="2373" width="17" bestFit="1" customWidth="1"/>
    <col min="2374" max="2374" width="11" bestFit="1" customWidth="1"/>
    <col min="2375" max="2375" width="15.6640625" bestFit="1" customWidth="1"/>
    <col min="2376" max="2376" width="12.33203125" bestFit="1" customWidth="1"/>
    <col min="2377" max="2377" width="16.5546875" bestFit="1" customWidth="1"/>
    <col min="2378" max="2378" width="12.33203125" bestFit="1" customWidth="1"/>
    <col min="2379" max="2379" width="17" bestFit="1" customWidth="1"/>
    <col min="2380" max="2380" width="12.33203125" bestFit="1" customWidth="1"/>
    <col min="2381" max="2381" width="17" bestFit="1" customWidth="1"/>
    <col min="2382" max="2382" width="12.33203125" bestFit="1" customWidth="1"/>
    <col min="2383" max="2383" width="17" bestFit="1" customWidth="1"/>
    <col min="2384" max="2384" width="12.33203125" bestFit="1" customWidth="1"/>
    <col min="2385" max="2385" width="17" bestFit="1" customWidth="1"/>
    <col min="2386" max="2386" width="12.33203125" bestFit="1" customWidth="1"/>
    <col min="2387" max="2387" width="16.21875" bestFit="1" customWidth="1"/>
    <col min="2388" max="2388" width="12.33203125" bestFit="1" customWidth="1"/>
    <col min="2389" max="2389" width="16.5546875" bestFit="1" customWidth="1"/>
    <col min="2390" max="2390" width="12.33203125" bestFit="1" customWidth="1"/>
    <col min="2391" max="2391" width="17" bestFit="1" customWidth="1"/>
    <col min="2392" max="2392" width="12.33203125" bestFit="1" customWidth="1"/>
    <col min="2393" max="2393" width="17" bestFit="1" customWidth="1"/>
    <col min="2394" max="2394" width="12.33203125" bestFit="1" customWidth="1"/>
    <col min="2395" max="2395" width="17" bestFit="1" customWidth="1"/>
    <col min="2396" max="2396" width="12.33203125" bestFit="1" customWidth="1"/>
    <col min="2397" max="2397" width="17" bestFit="1" customWidth="1"/>
    <col min="2398" max="2398" width="11" bestFit="1" customWidth="1"/>
    <col min="2399" max="2399" width="15" bestFit="1" customWidth="1"/>
    <col min="2400" max="2400" width="12.33203125" bestFit="1" customWidth="1"/>
    <col min="2401" max="2401" width="16.5546875" bestFit="1" customWidth="1"/>
    <col min="2402" max="2402" width="12.33203125" bestFit="1" customWidth="1"/>
    <col min="2403" max="2403" width="17" bestFit="1" customWidth="1"/>
    <col min="2404" max="2404" width="11" bestFit="1" customWidth="1"/>
    <col min="2405" max="2405" width="15" bestFit="1" customWidth="1"/>
    <col min="2406" max="2406" width="8.33203125" bestFit="1" customWidth="1"/>
    <col min="2407" max="2407" width="12.5546875" bestFit="1" customWidth="1"/>
    <col min="2408" max="2408" width="12.33203125" bestFit="1" customWidth="1"/>
    <col min="2409" max="2409" width="16.21875" bestFit="1" customWidth="1"/>
    <col min="2410" max="2410" width="11" bestFit="1" customWidth="1"/>
    <col min="2411" max="2411" width="14.33203125" bestFit="1" customWidth="1"/>
    <col min="2412" max="2412" width="12.33203125" bestFit="1" customWidth="1"/>
    <col min="2413" max="2413" width="16.21875" bestFit="1" customWidth="1"/>
    <col min="2414" max="2414" width="12.33203125" bestFit="1" customWidth="1"/>
    <col min="2415" max="2415" width="16.21875" bestFit="1" customWidth="1"/>
    <col min="2416" max="2416" width="11" bestFit="1" customWidth="1"/>
    <col min="2417" max="2417" width="14.6640625" bestFit="1" customWidth="1"/>
    <col min="2418" max="2418" width="12.33203125" bestFit="1" customWidth="1"/>
    <col min="2419" max="2419" width="16.21875" bestFit="1" customWidth="1"/>
    <col min="2420" max="2420" width="12.33203125" bestFit="1" customWidth="1"/>
    <col min="2421" max="2421" width="16.21875" bestFit="1" customWidth="1"/>
    <col min="2422" max="2422" width="12.33203125" bestFit="1" customWidth="1"/>
    <col min="2423" max="2423" width="16.21875" bestFit="1" customWidth="1"/>
    <col min="2424" max="2424" width="12.33203125" bestFit="1" customWidth="1"/>
    <col min="2425" max="2425" width="16.21875" bestFit="1" customWidth="1"/>
    <col min="2426" max="2426" width="12.33203125" bestFit="1" customWidth="1"/>
    <col min="2427" max="2427" width="16.21875" bestFit="1" customWidth="1"/>
    <col min="2428" max="2428" width="12.33203125" bestFit="1" customWidth="1"/>
    <col min="2429" max="2429" width="16.21875" bestFit="1" customWidth="1"/>
    <col min="2430" max="2430" width="12.33203125" bestFit="1" customWidth="1"/>
    <col min="2431" max="2431" width="16.5546875" bestFit="1" customWidth="1"/>
    <col min="2432" max="2432" width="12.33203125" bestFit="1" customWidth="1"/>
    <col min="2433" max="2433" width="16.5546875" bestFit="1" customWidth="1"/>
    <col min="2434" max="2434" width="12.33203125" bestFit="1" customWidth="1"/>
    <col min="2435" max="2435" width="16.5546875" bestFit="1" customWidth="1"/>
    <col min="2436" max="2436" width="12.33203125" bestFit="1" customWidth="1"/>
    <col min="2437" max="2437" width="16.5546875" bestFit="1" customWidth="1"/>
    <col min="2438" max="2438" width="12.33203125" bestFit="1" customWidth="1"/>
    <col min="2439" max="2439" width="16.5546875" bestFit="1" customWidth="1"/>
    <col min="2440" max="2440" width="11" bestFit="1" customWidth="1"/>
    <col min="2441" max="2441" width="14.6640625" bestFit="1" customWidth="1"/>
    <col min="2442" max="2442" width="12.33203125" bestFit="1" customWidth="1"/>
    <col min="2443" max="2443" width="16.5546875" bestFit="1" customWidth="1"/>
    <col min="2444" max="2444" width="12.33203125" bestFit="1" customWidth="1"/>
    <col min="2445" max="2445" width="16.5546875" bestFit="1" customWidth="1"/>
    <col min="2446" max="2446" width="12.33203125" bestFit="1" customWidth="1"/>
    <col min="2447" max="2447" width="16.21875" bestFit="1" customWidth="1"/>
    <col min="2448" max="2448" width="12.33203125" bestFit="1" customWidth="1"/>
    <col min="2449" max="2449" width="16.5546875" bestFit="1" customWidth="1"/>
    <col min="2450" max="2450" width="12.33203125" bestFit="1" customWidth="1"/>
    <col min="2451" max="2451" width="16.5546875" bestFit="1" customWidth="1"/>
    <col min="2452" max="2452" width="12.33203125" bestFit="1" customWidth="1"/>
    <col min="2453" max="2453" width="16.5546875" bestFit="1" customWidth="1"/>
    <col min="2454" max="2454" width="12.33203125" bestFit="1" customWidth="1"/>
    <col min="2455" max="2455" width="16.5546875" bestFit="1" customWidth="1"/>
    <col min="2456" max="2456" width="12.33203125" bestFit="1" customWidth="1"/>
    <col min="2457" max="2457" width="16.5546875" bestFit="1" customWidth="1"/>
    <col min="2458" max="2458" width="11" bestFit="1" customWidth="1"/>
    <col min="2459" max="2459" width="15" bestFit="1" customWidth="1"/>
    <col min="2460" max="2460" width="12.33203125" bestFit="1" customWidth="1"/>
    <col min="2461" max="2461" width="16.21875" bestFit="1" customWidth="1"/>
    <col min="2462" max="2462" width="12.33203125" bestFit="1" customWidth="1"/>
    <col min="2463" max="2463" width="16.5546875" bestFit="1" customWidth="1"/>
    <col min="2464" max="2464" width="12.33203125" bestFit="1" customWidth="1"/>
    <col min="2465" max="2465" width="16.5546875" bestFit="1" customWidth="1"/>
    <col min="2466" max="2466" width="11" bestFit="1" customWidth="1"/>
    <col min="2467" max="2467" width="15" bestFit="1" customWidth="1"/>
    <col min="2468" max="2468" width="12.33203125" bestFit="1" customWidth="1"/>
    <col min="2469" max="2469" width="16.5546875" bestFit="1" customWidth="1"/>
    <col min="2470" max="2470" width="12.33203125" bestFit="1" customWidth="1"/>
    <col min="2471" max="2471" width="15.77734375" bestFit="1" customWidth="1"/>
    <col min="2472" max="2472" width="12.33203125" bestFit="1" customWidth="1"/>
    <col min="2473" max="2473" width="16.5546875" bestFit="1" customWidth="1"/>
    <col min="2474" max="2474" width="12.33203125" bestFit="1" customWidth="1"/>
    <col min="2475" max="2475" width="16.5546875" bestFit="1" customWidth="1"/>
    <col min="2476" max="2476" width="12.33203125" bestFit="1" customWidth="1"/>
    <col min="2477" max="2477" width="16.5546875" bestFit="1" customWidth="1"/>
    <col min="2478" max="2478" width="12.33203125" bestFit="1" customWidth="1"/>
    <col min="2479" max="2479" width="16.5546875" bestFit="1" customWidth="1"/>
    <col min="2480" max="2480" width="12.33203125" bestFit="1" customWidth="1"/>
    <col min="2481" max="2481" width="16.5546875" bestFit="1" customWidth="1"/>
    <col min="2482" max="2482" width="12.33203125" bestFit="1" customWidth="1"/>
    <col min="2483" max="2483" width="15.77734375" bestFit="1" customWidth="1"/>
    <col min="2484" max="2484" width="11" bestFit="1" customWidth="1"/>
    <col min="2485" max="2485" width="15" bestFit="1" customWidth="1"/>
    <col min="2486" max="2486" width="11" bestFit="1" customWidth="1"/>
    <col min="2487" max="2487" width="15" bestFit="1" customWidth="1"/>
    <col min="2488" max="2488" width="12.33203125" bestFit="1" customWidth="1"/>
    <col min="2489" max="2489" width="16.5546875" bestFit="1" customWidth="1"/>
    <col min="2490" max="2490" width="12.33203125" bestFit="1" customWidth="1"/>
    <col min="2491" max="2491" width="16.5546875" bestFit="1" customWidth="1"/>
    <col min="2492" max="2492" width="12.33203125" bestFit="1" customWidth="1"/>
    <col min="2493" max="2493" width="16.5546875" bestFit="1" customWidth="1"/>
    <col min="2494" max="2494" width="11" bestFit="1" customWidth="1"/>
    <col min="2495" max="2495" width="15" bestFit="1" customWidth="1"/>
    <col min="2496" max="2496" width="12.33203125" bestFit="1" customWidth="1"/>
    <col min="2497" max="2497" width="16.5546875" bestFit="1" customWidth="1"/>
    <col min="2498" max="2498" width="11" bestFit="1" customWidth="1"/>
    <col min="2499" max="2499" width="15" bestFit="1" customWidth="1"/>
    <col min="2500" max="2500" width="12.33203125" bestFit="1" customWidth="1"/>
    <col min="2501" max="2501" width="16.5546875" bestFit="1" customWidth="1"/>
    <col min="2502" max="2502" width="12.33203125" bestFit="1" customWidth="1"/>
    <col min="2503" max="2503" width="16.21875" bestFit="1" customWidth="1"/>
    <col min="2504" max="2504" width="12.33203125" bestFit="1" customWidth="1"/>
    <col min="2505" max="2505" width="16.21875" bestFit="1" customWidth="1"/>
    <col min="2506" max="2506" width="12.33203125" bestFit="1" customWidth="1"/>
    <col min="2507" max="2507" width="16.21875" bestFit="1" customWidth="1"/>
    <col min="2508" max="2508" width="11" bestFit="1" customWidth="1"/>
    <col min="2509" max="2509" width="15" bestFit="1" customWidth="1"/>
    <col min="2510" max="2510" width="12.33203125" bestFit="1" customWidth="1"/>
    <col min="2511" max="2511" width="16.5546875" bestFit="1" customWidth="1"/>
    <col min="2512" max="2512" width="8.33203125" bestFit="1" customWidth="1"/>
    <col min="2513" max="2513" width="12.5546875" bestFit="1" customWidth="1"/>
    <col min="2514" max="2514" width="12.33203125" bestFit="1" customWidth="1"/>
    <col min="2515" max="2515" width="16.21875" bestFit="1" customWidth="1"/>
    <col min="2516" max="2516" width="12.33203125" bestFit="1" customWidth="1"/>
    <col min="2517" max="2517" width="16.21875" bestFit="1" customWidth="1"/>
    <col min="2518" max="2518" width="11" bestFit="1" customWidth="1"/>
    <col min="2519" max="2519" width="15" bestFit="1" customWidth="1"/>
    <col min="2520" max="2520" width="11" bestFit="1" customWidth="1"/>
    <col min="2521" max="2521" width="14.6640625" bestFit="1" customWidth="1"/>
    <col min="2522" max="2522" width="12.33203125" bestFit="1" customWidth="1"/>
    <col min="2523" max="2523" width="16.5546875" bestFit="1" customWidth="1"/>
    <col min="2524" max="2524" width="12.33203125" bestFit="1" customWidth="1"/>
    <col min="2525" max="2525" width="16.5546875" bestFit="1" customWidth="1"/>
    <col min="2526" max="2526" width="12.33203125" bestFit="1" customWidth="1"/>
    <col min="2527" max="2527" width="16.5546875" bestFit="1" customWidth="1"/>
    <col min="2528" max="2528" width="12.33203125" bestFit="1" customWidth="1"/>
    <col min="2529" max="2529" width="16.5546875" bestFit="1" customWidth="1"/>
    <col min="2530" max="2530" width="12.33203125" bestFit="1" customWidth="1"/>
    <col min="2531" max="2531" width="16.5546875" bestFit="1" customWidth="1"/>
    <col min="2532" max="2532" width="12.33203125" bestFit="1" customWidth="1"/>
    <col min="2533" max="2533" width="16.5546875" bestFit="1" customWidth="1"/>
    <col min="2534" max="2534" width="11" bestFit="1" customWidth="1"/>
    <col min="2535" max="2535" width="15" bestFit="1" customWidth="1"/>
    <col min="2536" max="2536" width="11" bestFit="1" customWidth="1"/>
    <col min="2537" max="2537" width="15" bestFit="1" customWidth="1"/>
    <col min="2538" max="2538" width="12.33203125" bestFit="1" customWidth="1"/>
    <col min="2539" max="2539" width="16.5546875" bestFit="1" customWidth="1"/>
    <col min="2540" max="2540" width="12.33203125" bestFit="1" customWidth="1"/>
    <col min="2541" max="2541" width="16.5546875" bestFit="1" customWidth="1"/>
    <col min="2542" max="2542" width="12.33203125" bestFit="1" customWidth="1"/>
    <col min="2543" max="2543" width="16.5546875" bestFit="1" customWidth="1"/>
    <col min="2544" max="2544" width="12.33203125" bestFit="1" customWidth="1"/>
    <col min="2545" max="2545" width="16.5546875" bestFit="1" customWidth="1"/>
    <col min="2546" max="2546" width="12.33203125" bestFit="1" customWidth="1"/>
    <col min="2547" max="2547" width="16.5546875" bestFit="1" customWidth="1"/>
    <col min="2548" max="2548" width="12.33203125" bestFit="1" customWidth="1"/>
    <col min="2549" max="2549" width="17" bestFit="1" customWidth="1"/>
    <col min="2550" max="2550" width="12.33203125" bestFit="1" customWidth="1"/>
    <col min="2551" max="2551" width="17" bestFit="1" customWidth="1"/>
    <col min="2552" max="2552" width="12.33203125" bestFit="1" customWidth="1"/>
    <col min="2553" max="2553" width="16.5546875" bestFit="1" customWidth="1"/>
    <col min="2554" max="2554" width="11" bestFit="1" customWidth="1"/>
    <col min="2555" max="2555" width="14.33203125" bestFit="1" customWidth="1"/>
    <col min="2556" max="2556" width="11" bestFit="1" customWidth="1"/>
    <col min="2557" max="2557" width="14.6640625" bestFit="1" customWidth="1"/>
    <col min="2558" max="2558" width="12.33203125" bestFit="1" customWidth="1"/>
    <col min="2559" max="2559" width="16.5546875" bestFit="1" customWidth="1"/>
    <col min="2560" max="2560" width="12.33203125" bestFit="1" customWidth="1"/>
    <col min="2561" max="2561" width="16.5546875" bestFit="1" customWidth="1"/>
    <col min="2562" max="2562" width="12.33203125" bestFit="1" customWidth="1"/>
    <col min="2563" max="2563" width="16.5546875" bestFit="1" customWidth="1"/>
    <col min="2564" max="2564" width="12.33203125" bestFit="1" customWidth="1"/>
    <col min="2565" max="2565" width="17" bestFit="1" customWidth="1"/>
    <col min="2566" max="2566" width="8.33203125" bestFit="1" customWidth="1"/>
    <col min="2567" max="2567" width="13.33203125" bestFit="1" customWidth="1"/>
    <col min="2568" max="2568" width="12.33203125" bestFit="1" customWidth="1"/>
    <col min="2569" max="2569" width="17" bestFit="1" customWidth="1"/>
    <col min="2570" max="2570" width="12.33203125" bestFit="1" customWidth="1"/>
    <col min="2571" max="2571" width="16.21875" bestFit="1" customWidth="1"/>
    <col min="2572" max="2572" width="12.33203125" bestFit="1" customWidth="1"/>
    <col min="2573" max="2573" width="15.77734375" bestFit="1" customWidth="1"/>
    <col min="2574" max="2574" width="8.33203125" bestFit="1" customWidth="1"/>
    <col min="2575" max="2575" width="13.33203125" bestFit="1" customWidth="1"/>
    <col min="2576" max="2576" width="11" bestFit="1" customWidth="1"/>
    <col min="2577" max="2577" width="15.6640625" bestFit="1" customWidth="1"/>
    <col min="2578" max="2578" width="12.33203125" bestFit="1" customWidth="1"/>
    <col min="2579" max="2579" width="17" bestFit="1" customWidth="1"/>
    <col min="2580" max="2580" width="12.33203125" bestFit="1" customWidth="1"/>
    <col min="2581" max="2581" width="17" bestFit="1" customWidth="1"/>
    <col min="2582" max="2582" width="12.33203125" bestFit="1" customWidth="1"/>
    <col min="2583" max="2583" width="17" bestFit="1" customWidth="1"/>
    <col min="2584" max="2584" width="12.33203125" bestFit="1" customWidth="1"/>
    <col min="2585" max="2585" width="17" bestFit="1" customWidth="1"/>
    <col min="2586" max="2586" width="12.33203125" bestFit="1" customWidth="1"/>
    <col min="2587" max="2587" width="17" bestFit="1" customWidth="1"/>
    <col min="2588" max="2588" width="12.33203125" bestFit="1" customWidth="1"/>
    <col min="2589" max="2589" width="17" bestFit="1" customWidth="1"/>
    <col min="2590" max="2590" width="11" bestFit="1" customWidth="1"/>
    <col min="2591" max="2591" width="15" bestFit="1" customWidth="1"/>
    <col min="2592" max="2592" width="12.33203125" bestFit="1" customWidth="1"/>
    <col min="2593" max="2593" width="16.5546875" bestFit="1" customWidth="1"/>
    <col min="2594" max="2594" width="12.33203125" bestFit="1" customWidth="1"/>
    <col min="2595" max="2595" width="16.5546875" bestFit="1" customWidth="1"/>
    <col min="2596" max="2596" width="8.33203125" bestFit="1" customWidth="1"/>
    <col min="2597" max="2597" width="13.33203125" bestFit="1" customWidth="1"/>
    <col min="2598" max="2598" width="12.33203125" bestFit="1" customWidth="1"/>
    <col min="2599" max="2599" width="17" bestFit="1" customWidth="1"/>
    <col min="2600" max="2600" width="11" bestFit="1" customWidth="1"/>
    <col min="2601" max="2601" width="15.6640625" bestFit="1" customWidth="1"/>
    <col min="2602" max="2602" width="12.33203125" bestFit="1" customWidth="1"/>
    <col min="2603" max="2603" width="17" bestFit="1" customWidth="1"/>
    <col min="2604" max="2604" width="11" bestFit="1" customWidth="1"/>
    <col min="2605" max="2605" width="15.6640625" bestFit="1" customWidth="1"/>
    <col min="2606" max="2606" width="11" bestFit="1" customWidth="1"/>
    <col min="2607" max="2607" width="15.6640625" bestFit="1" customWidth="1"/>
    <col min="2608" max="2608" width="11" bestFit="1" customWidth="1"/>
    <col min="2609" max="2609" width="15" bestFit="1" customWidth="1"/>
    <col min="2610" max="2610" width="12.33203125" bestFit="1" customWidth="1"/>
    <col min="2611" max="2611" width="16.5546875" bestFit="1" customWidth="1"/>
    <col min="2612" max="2612" width="12.33203125" bestFit="1" customWidth="1"/>
    <col min="2613" max="2613" width="17" bestFit="1" customWidth="1"/>
    <col min="2614" max="2614" width="12.33203125" bestFit="1" customWidth="1"/>
    <col min="2615" max="2615" width="17" bestFit="1" customWidth="1"/>
    <col min="2616" max="2616" width="12.33203125" bestFit="1" customWidth="1"/>
    <col min="2617" max="2617" width="17" bestFit="1" customWidth="1"/>
    <col min="2618" max="2618" width="12.33203125" bestFit="1" customWidth="1"/>
    <col min="2619" max="2619" width="17" bestFit="1" customWidth="1"/>
    <col min="2620" max="2620" width="8.33203125" bestFit="1" customWidth="1"/>
    <col min="2621" max="2621" width="13.33203125" bestFit="1" customWidth="1"/>
    <col min="2622" max="2622" width="11" bestFit="1" customWidth="1"/>
    <col min="2623" max="2623" width="15" bestFit="1" customWidth="1"/>
    <col min="2624" max="2624" width="12.33203125" bestFit="1" customWidth="1"/>
    <col min="2625" max="2625" width="17" bestFit="1" customWidth="1"/>
    <col min="2626" max="2626" width="12.33203125" bestFit="1" customWidth="1"/>
    <col min="2627" max="2627" width="16.5546875" bestFit="1" customWidth="1"/>
    <col min="2628" max="2628" width="11" bestFit="1" customWidth="1"/>
    <col min="2629" max="2629" width="15.6640625" bestFit="1" customWidth="1"/>
    <col min="2630" max="2630" width="11" bestFit="1" customWidth="1"/>
    <col min="2631" max="2631" width="15.6640625" bestFit="1" customWidth="1"/>
    <col min="2632" max="2632" width="11" bestFit="1" customWidth="1"/>
    <col min="2633" max="2633" width="15" bestFit="1" customWidth="1"/>
    <col min="2634" max="2634" width="12.33203125" bestFit="1" customWidth="1"/>
    <col min="2635" max="2635" width="17" bestFit="1" customWidth="1"/>
    <col min="2636" max="2636" width="11" bestFit="1" customWidth="1"/>
    <col min="2637" max="2637" width="15.6640625" bestFit="1" customWidth="1"/>
    <col min="2638" max="2638" width="12.33203125" bestFit="1" customWidth="1"/>
    <col min="2639" max="2639" width="17" bestFit="1" customWidth="1"/>
    <col min="2640" max="2640" width="11" bestFit="1" customWidth="1"/>
    <col min="2641" max="2641" width="15.6640625" bestFit="1" customWidth="1"/>
    <col min="2642" max="2642" width="12.33203125" bestFit="1" customWidth="1"/>
    <col min="2643" max="2643" width="17" bestFit="1" customWidth="1"/>
    <col min="2644" max="2644" width="11" bestFit="1" customWidth="1"/>
    <col min="2645" max="2645" width="15.6640625" bestFit="1" customWidth="1"/>
    <col min="2646" max="2646" width="12.33203125" bestFit="1" customWidth="1"/>
    <col min="2647" max="2647" width="17" bestFit="1" customWidth="1"/>
    <col min="2648" max="2648" width="12.33203125" bestFit="1" customWidth="1"/>
    <col min="2649" max="2649" width="17" bestFit="1" customWidth="1"/>
    <col min="2650" max="2650" width="12.33203125" bestFit="1" customWidth="1"/>
    <col min="2651" max="2651" width="17" bestFit="1" customWidth="1"/>
    <col min="2652" max="2652" width="12.33203125" bestFit="1" customWidth="1"/>
    <col min="2653" max="2653" width="17" bestFit="1" customWidth="1"/>
    <col min="2654" max="2654" width="12.33203125" bestFit="1" customWidth="1"/>
    <col min="2655" max="2655" width="17" bestFit="1" customWidth="1"/>
    <col min="2656" max="2656" width="11" bestFit="1" customWidth="1"/>
    <col min="2657" max="2657" width="15.6640625" bestFit="1" customWidth="1"/>
    <col min="2658" max="2658" width="12.33203125" bestFit="1" customWidth="1"/>
    <col min="2659" max="2659" width="17" bestFit="1" customWidth="1"/>
    <col min="2660" max="2660" width="12.33203125" bestFit="1" customWidth="1"/>
    <col min="2661" max="2661" width="16.5546875" bestFit="1" customWidth="1"/>
    <col min="2662" max="2662" width="11" bestFit="1" customWidth="1"/>
    <col min="2663" max="2663" width="15.6640625" bestFit="1" customWidth="1"/>
    <col min="2664" max="2664" width="12.33203125" bestFit="1" customWidth="1"/>
    <col min="2665" max="2665" width="17" bestFit="1" customWidth="1"/>
    <col min="2666" max="2666" width="12.33203125" bestFit="1" customWidth="1"/>
    <col min="2667" max="2667" width="17" bestFit="1" customWidth="1"/>
    <col min="2668" max="2668" width="11" bestFit="1" customWidth="1"/>
    <col min="2669" max="2669" width="15" bestFit="1" customWidth="1"/>
    <col min="2670" max="2670" width="8.33203125" bestFit="1" customWidth="1"/>
    <col min="2671" max="2671" width="13.33203125" bestFit="1" customWidth="1"/>
    <col min="2672" max="2672" width="12.33203125" bestFit="1" customWidth="1"/>
    <col min="2673" max="2673" width="16.5546875" bestFit="1" customWidth="1"/>
    <col min="2674" max="2674" width="12.33203125" bestFit="1" customWidth="1"/>
    <col min="2675" max="2675" width="16.5546875" bestFit="1" customWidth="1"/>
    <col min="2676" max="2676" width="12.33203125" bestFit="1" customWidth="1"/>
    <col min="2677" max="2677" width="16.21875" bestFit="1" customWidth="1"/>
    <col min="2678" max="2678" width="11" bestFit="1" customWidth="1"/>
    <col min="2679" max="2679" width="14.6640625" bestFit="1" customWidth="1"/>
    <col min="2680" max="2680" width="12.33203125" bestFit="1" customWidth="1"/>
    <col min="2681" max="2681" width="16.5546875" bestFit="1" customWidth="1"/>
    <col min="2682" max="2682" width="12.33203125" bestFit="1" customWidth="1"/>
    <col min="2683" max="2683" width="16.5546875" bestFit="1" customWidth="1"/>
    <col min="2684" max="2684" width="12.33203125" bestFit="1" customWidth="1"/>
    <col min="2685" max="2685" width="16.5546875" bestFit="1" customWidth="1"/>
    <col min="2686" max="2686" width="12.33203125" bestFit="1" customWidth="1"/>
    <col min="2687" max="2687" width="16.5546875" bestFit="1" customWidth="1"/>
    <col min="2688" max="2688" width="12.33203125" bestFit="1" customWidth="1"/>
    <col min="2689" max="2689" width="16.5546875" bestFit="1" customWidth="1"/>
    <col min="2690" max="2690" width="12.33203125" bestFit="1" customWidth="1"/>
    <col min="2691" max="2691" width="17" bestFit="1" customWidth="1"/>
    <col min="2692" max="2692" width="12.33203125" bestFit="1" customWidth="1"/>
    <col min="2693" max="2693" width="17" bestFit="1" customWidth="1"/>
    <col min="2694" max="2694" width="11" bestFit="1" customWidth="1"/>
    <col min="2695" max="2695" width="15.6640625" bestFit="1" customWidth="1"/>
    <col min="2696" max="2696" width="12.33203125" bestFit="1" customWidth="1"/>
    <col min="2697" max="2697" width="17" bestFit="1" customWidth="1"/>
    <col min="2698" max="2698" width="11" bestFit="1" customWidth="1"/>
    <col min="2699" max="2699" width="15.6640625" bestFit="1" customWidth="1"/>
    <col min="2700" max="2700" width="12.33203125" bestFit="1" customWidth="1"/>
    <col min="2701" max="2701" width="16.5546875" bestFit="1" customWidth="1"/>
    <col min="2702" max="2702" width="12.33203125" bestFit="1" customWidth="1"/>
    <col min="2703" max="2703" width="17" bestFit="1" customWidth="1"/>
    <col min="2704" max="2704" width="12.33203125" bestFit="1" customWidth="1"/>
    <col min="2705" max="2705" width="17" bestFit="1" customWidth="1"/>
    <col min="2706" max="2706" width="12.33203125" bestFit="1" customWidth="1"/>
    <col min="2707" max="2707" width="16.5546875" bestFit="1" customWidth="1"/>
    <col min="2708" max="2708" width="12.33203125" bestFit="1" customWidth="1"/>
    <col min="2709" max="2709" width="17" bestFit="1" customWidth="1"/>
    <col min="2710" max="2710" width="12.33203125" bestFit="1" customWidth="1"/>
    <col min="2711" max="2711" width="17" bestFit="1" customWidth="1"/>
    <col min="2712" max="2712" width="12.33203125" bestFit="1" customWidth="1"/>
    <col min="2713" max="2713" width="16.21875" bestFit="1" customWidth="1"/>
    <col min="2714" max="2714" width="12.33203125" bestFit="1" customWidth="1"/>
    <col min="2715" max="2715" width="16.5546875" bestFit="1" customWidth="1"/>
    <col min="2716" max="2716" width="11" bestFit="1" customWidth="1"/>
    <col min="2717" max="2717" width="15.6640625" bestFit="1" customWidth="1"/>
    <col min="2718" max="2718" width="12.33203125" bestFit="1" customWidth="1"/>
    <col min="2719" max="2719" width="17" bestFit="1" customWidth="1"/>
    <col min="2720" max="2720" width="12.33203125" bestFit="1" customWidth="1"/>
    <col min="2721" max="2721" width="17" bestFit="1" customWidth="1"/>
    <col min="2722" max="2722" width="12.33203125" bestFit="1" customWidth="1"/>
    <col min="2723" max="2723" width="17" bestFit="1" customWidth="1"/>
    <col min="2724" max="2724" width="12.33203125" bestFit="1" customWidth="1"/>
    <col min="2725" max="2725" width="17" bestFit="1" customWidth="1"/>
    <col min="2726" max="2726" width="11" bestFit="1" customWidth="1"/>
    <col min="2727" max="2727" width="15.6640625" bestFit="1" customWidth="1"/>
    <col min="2728" max="2728" width="12.33203125" bestFit="1" customWidth="1"/>
    <col min="2729" max="2729" width="17" bestFit="1" customWidth="1"/>
    <col min="2730" max="2730" width="11" bestFit="1" customWidth="1"/>
    <col min="2731" max="2731" width="15.6640625" bestFit="1" customWidth="1"/>
    <col min="2732" max="2732" width="12.33203125" bestFit="1" customWidth="1"/>
    <col min="2733" max="2733" width="17" bestFit="1" customWidth="1"/>
    <col min="2734" max="2734" width="12.33203125" bestFit="1" customWidth="1"/>
    <col min="2735" max="2735" width="16.5546875" bestFit="1" customWidth="1"/>
    <col min="2736" max="2736" width="11" bestFit="1" customWidth="1"/>
    <col min="2737" max="2737" width="15.6640625" bestFit="1" customWidth="1"/>
    <col min="2738" max="2738" width="12.33203125" bestFit="1" customWidth="1"/>
    <col min="2739" max="2739" width="17" bestFit="1" customWidth="1"/>
    <col min="2740" max="2740" width="11" bestFit="1" customWidth="1"/>
    <col min="2741" max="2741" width="15.6640625" bestFit="1" customWidth="1"/>
    <col min="2742" max="2742" width="12.33203125" bestFit="1" customWidth="1"/>
    <col min="2743" max="2743" width="16.5546875" bestFit="1" customWidth="1"/>
    <col min="2744" max="2744" width="12.33203125" bestFit="1" customWidth="1"/>
    <col min="2745" max="2745" width="16.5546875" bestFit="1" customWidth="1"/>
    <col min="2746" max="2746" width="11" bestFit="1" customWidth="1"/>
    <col min="2747" max="2747" width="15.6640625" bestFit="1" customWidth="1"/>
    <col min="2748" max="2748" width="12.33203125" bestFit="1" customWidth="1"/>
    <col min="2749" max="2749" width="17" bestFit="1" customWidth="1"/>
    <col min="2750" max="2750" width="12.33203125" bestFit="1" customWidth="1"/>
    <col min="2751" max="2751" width="17" bestFit="1" customWidth="1"/>
    <col min="2752" max="2752" width="8.33203125" bestFit="1" customWidth="1"/>
    <col min="2753" max="2753" width="13.33203125" bestFit="1" customWidth="1"/>
    <col min="2754" max="2754" width="11" bestFit="1" customWidth="1"/>
    <col min="2755" max="2755" width="15.6640625" bestFit="1" customWidth="1"/>
    <col min="2756" max="2756" width="12.33203125" bestFit="1" customWidth="1"/>
    <col min="2757" max="2757" width="17" bestFit="1" customWidth="1"/>
    <col min="2758" max="2758" width="12.33203125" bestFit="1" customWidth="1"/>
    <col min="2759" max="2759" width="17" bestFit="1" customWidth="1"/>
    <col min="2760" max="2760" width="12.33203125" bestFit="1" customWidth="1"/>
    <col min="2761" max="2761" width="16.5546875" bestFit="1" customWidth="1"/>
    <col min="2762" max="2762" width="12.33203125" bestFit="1" customWidth="1"/>
    <col min="2763" max="2763" width="17" bestFit="1" customWidth="1"/>
    <col min="2764" max="2764" width="12.33203125" bestFit="1" customWidth="1"/>
    <col min="2765" max="2765" width="17" bestFit="1" customWidth="1"/>
    <col min="2766" max="2766" width="12.33203125" bestFit="1" customWidth="1"/>
    <col min="2767" max="2767" width="16.5546875" bestFit="1" customWidth="1"/>
    <col min="2768" max="2768" width="12.33203125" bestFit="1" customWidth="1"/>
    <col min="2769" max="2769" width="16.5546875" bestFit="1" customWidth="1"/>
    <col min="2770" max="2770" width="11" bestFit="1" customWidth="1"/>
    <col min="2771" max="2771" width="15" bestFit="1" customWidth="1"/>
    <col min="2772" max="2772" width="12.33203125" bestFit="1" customWidth="1"/>
    <col min="2773" max="2773" width="17" bestFit="1" customWidth="1"/>
    <col min="2774" max="2774" width="11" bestFit="1" customWidth="1"/>
    <col min="2775" max="2775" width="15.6640625" bestFit="1" customWidth="1"/>
    <col min="2776" max="2776" width="12.33203125" bestFit="1" customWidth="1"/>
    <col min="2777" max="2777" width="17" bestFit="1" customWidth="1"/>
    <col min="2778" max="2778" width="12.33203125" bestFit="1" customWidth="1"/>
    <col min="2779" max="2779" width="17" bestFit="1" customWidth="1"/>
    <col min="2780" max="2780" width="11" bestFit="1" customWidth="1"/>
    <col min="2781" max="2781" width="15.6640625" bestFit="1" customWidth="1"/>
    <col min="2782" max="2782" width="12.33203125" bestFit="1" customWidth="1"/>
    <col min="2783" max="2783" width="16.21875" bestFit="1" customWidth="1"/>
    <col min="2784" max="2784" width="12.33203125" bestFit="1" customWidth="1"/>
    <col min="2785" max="2785" width="17" bestFit="1" customWidth="1"/>
    <col min="2786" max="2786" width="12.33203125" bestFit="1" customWidth="1"/>
    <col min="2787" max="2787" width="16.5546875" bestFit="1" customWidth="1"/>
    <col min="2788" max="2788" width="12.33203125" bestFit="1" customWidth="1"/>
    <col min="2789" max="2789" width="17" bestFit="1" customWidth="1"/>
    <col min="2790" max="2790" width="12.33203125" bestFit="1" customWidth="1"/>
    <col min="2791" max="2791" width="17" bestFit="1" customWidth="1"/>
    <col min="2792" max="2792" width="12.33203125" bestFit="1" customWidth="1"/>
    <col min="2793" max="2793" width="17" bestFit="1" customWidth="1"/>
    <col min="2794" max="2794" width="11" bestFit="1" customWidth="1"/>
    <col min="2795" max="2795" width="15.6640625" bestFit="1" customWidth="1"/>
    <col min="2796" max="2796" width="12.33203125" bestFit="1" customWidth="1"/>
    <col min="2797" max="2797" width="16.5546875" bestFit="1" customWidth="1"/>
    <col min="2798" max="2798" width="12.33203125" bestFit="1" customWidth="1"/>
    <col min="2799" max="2799" width="17" bestFit="1" customWidth="1"/>
    <col min="2800" max="2800" width="11" bestFit="1" customWidth="1"/>
    <col min="2801" max="2801" width="15" bestFit="1" customWidth="1"/>
    <col min="2802" max="2802" width="12.33203125" bestFit="1" customWidth="1"/>
    <col min="2803" max="2803" width="16.5546875" bestFit="1" customWidth="1"/>
    <col min="2804" max="2804" width="8.33203125" bestFit="1" customWidth="1"/>
    <col min="2805" max="2805" width="13.33203125" bestFit="1" customWidth="1"/>
    <col min="2806" max="2806" width="12.33203125" bestFit="1" customWidth="1"/>
    <col min="2807" max="2807" width="17" bestFit="1" customWidth="1"/>
    <col min="2808" max="2808" width="12.33203125" bestFit="1" customWidth="1"/>
    <col min="2809" max="2809" width="17" bestFit="1" customWidth="1"/>
    <col min="2810" max="2810" width="12.33203125" bestFit="1" customWidth="1"/>
    <col min="2811" max="2811" width="16.5546875" bestFit="1" customWidth="1"/>
    <col min="2812" max="2812" width="11" bestFit="1" customWidth="1"/>
    <col min="2813" max="2813" width="15.6640625" bestFit="1" customWidth="1"/>
    <col min="2814" max="2814" width="12.33203125" bestFit="1" customWidth="1"/>
    <col min="2815" max="2815" width="16.5546875" bestFit="1" customWidth="1"/>
    <col min="2816" max="2816" width="12.33203125" bestFit="1" customWidth="1"/>
    <col min="2817" max="2817" width="17" bestFit="1" customWidth="1"/>
    <col min="2818" max="2818" width="11" bestFit="1" customWidth="1"/>
    <col min="2819" max="2819" width="15.6640625" bestFit="1" customWidth="1"/>
    <col min="2820" max="2820" width="11" bestFit="1" customWidth="1"/>
    <col min="2821" max="2821" width="15" bestFit="1" customWidth="1"/>
    <col min="2822" max="2822" width="11" bestFit="1" customWidth="1"/>
    <col min="2823" max="2823" width="15" bestFit="1" customWidth="1"/>
    <col min="2824" max="2824" width="12.33203125" bestFit="1" customWidth="1"/>
    <col min="2825" max="2825" width="16.5546875" bestFit="1" customWidth="1"/>
    <col min="2826" max="2826" width="12.33203125" bestFit="1" customWidth="1"/>
    <col min="2827" max="2827" width="17" bestFit="1" customWidth="1"/>
    <col min="2828" max="2828" width="12.33203125" bestFit="1" customWidth="1"/>
    <col min="2829" max="2829" width="17" bestFit="1" customWidth="1"/>
    <col min="2830" max="2830" width="11" bestFit="1" customWidth="1"/>
    <col min="2831" max="2831" width="15.6640625" bestFit="1" customWidth="1"/>
    <col min="2832" max="2832" width="12.33203125" bestFit="1" customWidth="1"/>
    <col min="2833" max="2833" width="17" bestFit="1" customWidth="1"/>
    <col min="2834" max="2834" width="11" bestFit="1" customWidth="1"/>
    <col min="2835" max="2835" width="15.6640625" bestFit="1" customWidth="1"/>
    <col min="2836" max="2836" width="11" bestFit="1" customWidth="1"/>
    <col min="2837" max="2837" width="15.6640625" bestFit="1" customWidth="1"/>
    <col min="2838" max="2838" width="11" bestFit="1" customWidth="1"/>
    <col min="2839" max="2839" width="15.6640625" bestFit="1" customWidth="1"/>
    <col min="2840" max="2840" width="11" bestFit="1" customWidth="1"/>
    <col min="2841" max="2841" width="15.6640625" bestFit="1" customWidth="1"/>
    <col min="2842" max="2842" width="12.33203125" bestFit="1" customWidth="1"/>
    <col min="2843" max="2843" width="17" bestFit="1" customWidth="1"/>
    <col min="2844" max="2844" width="12.33203125" bestFit="1" customWidth="1"/>
    <col min="2845" max="2845" width="17" bestFit="1" customWidth="1"/>
    <col min="2846" max="2846" width="12.33203125" bestFit="1" customWidth="1"/>
    <col min="2847" max="2847" width="17" bestFit="1" customWidth="1"/>
    <col min="2848" max="2848" width="8.33203125" bestFit="1" customWidth="1"/>
    <col min="2849" max="2849" width="13" bestFit="1" customWidth="1"/>
    <col min="2850" max="2850" width="12.33203125" bestFit="1" customWidth="1"/>
    <col min="2851" max="2851" width="16.5546875" bestFit="1" customWidth="1"/>
    <col min="2852" max="2852" width="11" bestFit="1" customWidth="1"/>
    <col min="2853" max="2853" width="15" bestFit="1" customWidth="1"/>
    <col min="2854" max="2854" width="11" bestFit="1" customWidth="1"/>
    <col min="2855" max="2855" width="15.6640625" bestFit="1" customWidth="1"/>
    <col min="2856" max="2856" width="12.33203125" bestFit="1" customWidth="1"/>
    <col min="2857" max="2857" width="16.5546875" bestFit="1" customWidth="1"/>
    <col min="2858" max="2858" width="12.33203125" bestFit="1" customWidth="1"/>
    <col min="2859" max="2859" width="17" bestFit="1" customWidth="1"/>
    <col min="2860" max="2860" width="12.33203125" bestFit="1" customWidth="1"/>
    <col min="2861" max="2861" width="16.5546875" bestFit="1" customWidth="1"/>
    <col min="2862" max="2862" width="11" bestFit="1" customWidth="1"/>
    <col min="2863" max="2863" width="15.6640625" bestFit="1" customWidth="1"/>
    <col min="2864" max="2864" width="12.33203125" bestFit="1" customWidth="1"/>
    <col min="2865" max="2865" width="16.5546875" bestFit="1" customWidth="1"/>
    <col min="2866" max="2866" width="12.33203125" bestFit="1" customWidth="1"/>
    <col min="2867" max="2867" width="17" bestFit="1" customWidth="1"/>
    <col min="2868" max="2868" width="12.33203125" bestFit="1" customWidth="1"/>
    <col min="2869" max="2869" width="17" bestFit="1" customWidth="1"/>
    <col min="2870" max="2870" width="11" bestFit="1" customWidth="1"/>
    <col min="2871" max="2871" width="15" bestFit="1" customWidth="1"/>
    <col min="2872" max="2872" width="11" bestFit="1" customWidth="1"/>
    <col min="2873" max="2873" width="15.6640625" bestFit="1" customWidth="1"/>
    <col min="2874" max="2874" width="12.33203125" bestFit="1" customWidth="1"/>
    <col min="2875" max="2875" width="16.5546875" bestFit="1" customWidth="1"/>
    <col min="2876" max="2876" width="12.33203125" bestFit="1" customWidth="1"/>
    <col min="2877" max="2877" width="16.21875" bestFit="1" customWidth="1"/>
    <col min="2878" max="2878" width="8.33203125" bestFit="1" customWidth="1"/>
    <col min="2879" max="2879" width="13.33203125" bestFit="1" customWidth="1"/>
    <col min="2880" max="2880" width="12.33203125" bestFit="1" customWidth="1"/>
    <col min="2881" max="2881" width="17" bestFit="1" customWidth="1"/>
    <col min="2882" max="2882" width="12.33203125" bestFit="1" customWidth="1"/>
    <col min="2883" max="2883" width="17" bestFit="1" customWidth="1"/>
    <col min="2884" max="2884" width="12.33203125" bestFit="1" customWidth="1"/>
    <col min="2885" max="2885" width="17" bestFit="1" customWidth="1"/>
    <col min="2886" max="2886" width="12.33203125" bestFit="1" customWidth="1"/>
    <col min="2887" max="2887" width="16.5546875" bestFit="1" customWidth="1"/>
    <col min="2888" max="2888" width="12.33203125" bestFit="1" customWidth="1"/>
    <col min="2889" max="2889" width="16.5546875" bestFit="1" customWidth="1"/>
    <col min="2890" max="2890" width="11" bestFit="1" customWidth="1"/>
    <col min="2891" max="2891" width="15.6640625" bestFit="1" customWidth="1"/>
    <col min="2892" max="2892" width="11" bestFit="1" customWidth="1"/>
    <col min="2893" max="2893" width="15" bestFit="1" customWidth="1"/>
    <col min="2894" max="2894" width="12.33203125" bestFit="1" customWidth="1"/>
    <col min="2895" max="2895" width="17" bestFit="1" customWidth="1"/>
    <col min="2896" max="2896" width="12.33203125" bestFit="1" customWidth="1"/>
    <col min="2897" max="2897" width="16.21875" bestFit="1" customWidth="1"/>
    <col min="2898" max="2898" width="11" bestFit="1" customWidth="1"/>
    <col min="2899" max="2899" width="15.6640625" bestFit="1" customWidth="1"/>
    <col min="2900" max="2900" width="12.33203125" bestFit="1" customWidth="1"/>
    <col min="2901" max="2901" width="17" bestFit="1" customWidth="1"/>
    <col min="2902" max="2902" width="12.33203125" bestFit="1" customWidth="1"/>
    <col min="2903" max="2903" width="17" bestFit="1" customWidth="1"/>
    <col min="2904" max="2904" width="12.33203125" bestFit="1" customWidth="1"/>
    <col min="2905" max="2905" width="17" bestFit="1" customWidth="1"/>
    <col min="2906" max="2906" width="12.33203125" bestFit="1" customWidth="1"/>
    <col min="2907" max="2907" width="17" bestFit="1" customWidth="1"/>
    <col min="2908" max="2908" width="11" bestFit="1" customWidth="1"/>
    <col min="2909" max="2909" width="15.6640625" bestFit="1" customWidth="1"/>
    <col min="2910" max="2910" width="12.33203125" bestFit="1" customWidth="1"/>
    <col min="2911" max="2911" width="17" bestFit="1" customWidth="1"/>
    <col min="2912" max="2912" width="12.33203125" bestFit="1" customWidth="1"/>
    <col min="2913" max="2913" width="16.5546875" bestFit="1" customWidth="1"/>
    <col min="2914" max="2914" width="8.33203125" bestFit="1" customWidth="1"/>
    <col min="2915" max="2915" width="13.33203125" bestFit="1" customWidth="1"/>
    <col min="2916" max="2916" width="12.33203125" bestFit="1" customWidth="1"/>
    <col min="2917" max="2917" width="16.5546875" bestFit="1" customWidth="1"/>
    <col min="2918" max="2918" width="12.33203125" bestFit="1" customWidth="1"/>
    <col min="2919" max="2919" width="17" bestFit="1" customWidth="1"/>
    <col min="2920" max="2920" width="12.33203125" bestFit="1" customWidth="1"/>
    <col min="2921" max="2921" width="17" bestFit="1" customWidth="1"/>
    <col min="2922" max="2922" width="8.33203125" bestFit="1" customWidth="1"/>
    <col min="2923" max="2923" width="13.33203125" bestFit="1" customWidth="1"/>
    <col min="2924" max="2924" width="12.33203125" bestFit="1" customWidth="1"/>
    <col min="2925" max="2925" width="17" bestFit="1" customWidth="1"/>
    <col min="2926" max="2926" width="12.33203125" bestFit="1" customWidth="1"/>
    <col min="2927" max="2927" width="17" bestFit="1" customWidth="1"/>
    <col min="2928" max="2928" width="12.33203125" bestFit="1" customWidth="1"/>
    <col min="2929" max="2929" width="17" bestFit="1" customWidth="1"/>
    <col min="2930" max="2930" width="11" bestFit="1" customWidth="1"/>
    <col min="2931" max="2931" width="15" bestFit="1" customWidth="1"/>
    <col min="2932" max="2932" width="11" bestFit="1" customWidth="1"/>
    <col min="2933" max="2933" width="15" bestFit="1" customWidth="1"/>
    <col min="2934" max="2934" width="12.33203125" bestFit="1" customWidth="1"/>
    <col min="2935" max="2935" width="17" bestFit="1" customWidth="1"/>
    <col min="2936" max="2936" width="11" bestFit="1" customWidth="1"/>
    <col min="2937" max="2937" width="15.6640625" bestFit="1" customWidth="1"/>
    <col min="2938" max="2938" width="12.33203125" bestFit="1" customWidth="1"/>
    <col min="2939" max="2939" width="16.5546875" bestFit="1" customWidth="1"/>
    <col min="2940" max="2940" width="12.33203125" bestFit="1" customWidth="1"/>
    <col min="2941" max="2941" width="17" bestFit="1" customWidth="1"/>
    <col min="2942" max="2942" width="12.33203125" bestFit="1" customWidth="1"/>
    <col min="2943" max="2943" width="17" bestFit="1" customWidth="1"/>
    <col min="2944" max="2944" width="12.33203125" bestFit="1" customWidth="1"/>
    <col min="2945" max="2945" width="17" bestFit="1" customWidth="1"/>
    <col min="2946" max="2946" width="11" bestFit="1" customWidth="1"/>
    <col min="2947" max="2947" width="15.6640625" bestFit="1" customWidth="1"/>
    <col min="2948" max="2948" width="12.33203125" bestFit="1" customWidth="1"/>
    <col min="2949" max="2949" width="16.5546875" bestFit="1" customWidth="1"/>
    <col min="2950" max="2950" width="12.33203125" bestFit="1" customWidth="1"/>
    <col min="2951" max="2951" width="17" bestFit="1" customWidth="1"/>
    <col min="2952" max="2952" width="11" bestFit="1" customWidth="1"/>
    <col min="2953" max="2953" width="4.33203125" bestFit="1" customWidth="1"/>
    <col min="2954" max="2954" width="15.6640625" bestFit="1" customWidth="1"/>
    <col min="2955" max="2955" width="12.33203125" bestFit="1" customWidth="1"/>
    <col min="2956" max="2956" width="16.5546875" bestFit="1" customWidth="1"/>
    <col min="2957" max="2957" width="12.33203125" bestFit="1" customWidth="1"/>
    <col min="2958" max="2958" width="17" bestFit="1" customWidth="1"/>
    <col min="2959" max="2959" width="12.33203125" bestFit="1" customWidth="1"/>
    <col min="2960" max="2960" width="17" bestFit="1" customWidth="1"/>
    <col min="2961" max="2961" width="11" bestFit="1" customWidth="1"/>
    <col min="2962" max="2962" width="15" bestFit="1" customWidth="1"/>
    <col min="2963" max="2963" width="12.33203125" bestFit="1" customWidth="1"/>
    <col min="2964" max="2964" width="16.21875" bestFit="1" customWidth="1"/>
    <col min="2965" max="2965" width="12.33203125" bestFit="1" customWidth="1"/>
    <col min="2966" max="2966" width="16.5546875" bestFit="1" customWidth="1"/>
    <col min="2967" max="2967" width="12.33203125" bestFit="1" customWidth="1"/>
    <col min="2968" max="2968" width="16.5546875" bestFit="1" customWidth="1"/>
    <col min="2969" max="2969" width="12.33203125" bestFit="1" customWidth="1"/>
    <col min="2970" max="2970" width="17" bestFit="1" customWidth="1"/>
    <col min="2971" max="2971" width="12.33203125" bestFit="1" customWidth="1"/>
    <col min="2972" max="2972" width="17" bestFit="1" customWidth="1"/>
    <col min="2973" max="2973" width="12.33203125" bestFit="1" customWidth="1"/>
    <col min="2974" max="2974" width="17" bestFit="1" customWidth="1"/>
    <col min="2975" max="2975" width="12.33203125" bestFit="1" customWidth="1"/>
    <col min="2976" max="2976" width="17" bestFit="1" customWidth="1"/>
    <col min="2977" max="2977" width="12.33203125" bestFit="1" customWidth="1"/>
    <col min="2978" max="2978" width="17" bestFit="1" customWidth="1"/>
    <col min="2979" max="2979" width="11" bestFit="1" customWidth="1"/>
    <col min="2980" max="2980" width="15.6640625" bestFit="1" customWidth="1"/>
    <col min="2981" max="2981" width="8.33203125" bestFit="1" customWidth="1"/>
    <col min="2982" max="2982" width="13.33203125" bestFit="1" customWidth="1"/>
    <col min="2983" max="2983" width="12.33203125" bestFit="1" customWidth="1"/>
    <col min="2984" max="2984" width="17" bestFit="1" customWidth="1"/>
    <col min="2985" max="2985" width="11" bestFit="1" customWidth="1"/>
    <col min="2986" max="2986" width="15" bestFit="1" customWidth="1"/>
    <col min="2987" max="2987" width="12.33203125" bestFit="1" customWidth="1"/>
    <col min="2988" max="2988" width="17" bestFit="1" customWidth="1"/>
    <col min="2989" max="2989" width="11" bestFit="1" customWidth="1"/>
    <col min="2990" max="2990" width="15.6640625" bestFit="1" customWidth="1"/>
    <col min="2991" max="2991" width="12.33203125" bestFit="1" customWidth="1"/>
    <col min="2992" max="2992" width="17" bestFit="1" customWidth="1"/>
    <col min="2993" max="2993" width="12.33203125" bestFit="1" customWidth="1"/>
    <col min="2994" max="2994" width="17" bestFit="1" customWidth="1"/>
    <col min="2995" max="2995" width="12.33203125" bestFit="1" customWidth="1"/>
    <col min="2996" max="2996" width="17" bestFit="1" customWidth="1"/>
    <col min="2997" max="2997" width="11" bestFit="1" customWidth="1"/>
    <col min="2998" max="2998" width="15.6640625" bestFit="1" customWidth="1"/>
    <col min="2999" max="2999" width="11" bestFit="1" customWidth="1"/>
    <col min="3000" max="3000" width="15.6640625" bestFit="1" customWidth="1"/>
    <col min="3001" max="3001" width="11" bestFit="1" customWidth="1"/>
    <col min="3002" max="3002" width="15.6640625" bestFit="1" customWidth="1"/>
    <col min="3003" max="3003" width="12.33203125" bestFit="1" customWidth="1"/>
    <col min="3004" max="3004" width="17" bestFit="1" customWidth="1"/>
    <col min="3005" max="3005" width="11" bestFit="1" customWidth="1"/>
    <col min="3006" max="3006" width="15.6640625" bestFit="1" customWidth="1"/>
    <col min="3007" max="3007" width="12.33203125" bestFit="1" customWidth="1"/>
    <col min="3008" max="3008" width="17" bestFit="1" customWidth="1"/>
    <col min="3009" max="3009" width="12.33203125" bestFit="1" customWidth="1"/>
    <col min="3010" max="3010" width="16.5546875" bestFit="1" customWidth="1"/>
    <col min="3011" max="3011" width="12.33203125" bestFit="1" customWidth="1"/>
    <col min="3012" max="3012" width="17" bestFit="1" customWidth="1"/>
    <col min="3013" max="3013" width="11" bestFit="1" customWidth="1"/>
    <col min="3014" max="3014" width="15" bestFit="1" customWidth="1"/>
    <col min="3015" max="3015" width="11" bestFit="1" customWidth="1"/>
    <col min="3016" max="3016" width="15.6640625" bestFit="1" customWidth="1"/>
    <col min="3017" max="3017" width="12.33203125" bestFit="1" customWidth="1"/>
    <col min="3018" max="3018" width="17" bestFit="1" customWidth="1"/>
    <col min="3019" max="3019" width="12.33203125" bestFit="1" customWidth="1"/>
    <col min="3020" max="3020" width="17" bestFit="1" customWidth="1"/>
    <col min="3021" max="3021" width="12.33203125" bestFit="1" customWidth="1"/>
    <col min="3022" max="3022" width="16.5546875" bestFit="1" customWidth="1"/>
    <col min="3023" max="3023" width="12.33203125" bestFit="1" customWidth="1"/>
    <col min="3024" max="3024" width="17" bestFit="1" customWidth="1"/>
    <col min="3025" max="3025" width="11" bestFit="1" customWidth="1"/>
    <col min="3026" max="3026" width="15" bestFit="1" customWidth="1"/>
    <col min="3027" max="3027" width="12.33203125" bestFit="1" customWidth="1"/>
    <col min="3028" max="3028" width="16.5546875" bestFit="1" customWidth="1"/>
    <col min="3029" max="3029" width="12.33203125" bestFit="1" customWidth="1"/>
    <col min="3030" max="3030" width="17" bestFit="1" customWidth="1"/>
    <col min="3031" max="3031" width="11" bestFit="1" customWidth="1"/>
    <col min="3032" max="3032" width="15.6640625" bestFit="1" customWidth="1"/>
    <col min="3033" max="3033" width="12.33203125" bestFit="1" customWidth="1"/>
    <col min="3034" max="3034" width="17" bestFit="1" customWidth="1"/>
    <col min="3035" max="3035" width="11" bestFit="1" customWidth="1"/>
    <col min="3036" max="3036" width="15.6640625" bestFit="1" customWidth="1"/>
    <col min="3037" max="3037" width="12.33203125" bestFit="1" customWidth="1"/>
    <col min="3038" max="3038" width="17" bestFit="1" customWidth="1"/>
    <col min="3039" max="3039" width="12.33203125" bestFit="1" customWidth="1"/>
    <col min="3040" max="3040" width="17" bestFit="1" customWidth="1"/>
    <col min="3041" max="3041" width="11" bestFit="1" customWidth="1"/>
    <col min="3042" max="3042" width="15" bestFit="1" customWidth="1"/>
    <col min="3043" max="3043" width="12.33203125" bestFit="1" customWidth="1"/>
    <col min="3044" max="3044" width="16.21875" bestFit="1" customWidth="1"/>
    <col min="3045" max="3045" width="12.33203125" bestFit="1" customWidth="1"/>
    <col min="3046" max="3046" width="16.5546875" bestFit="1" customWidth="1"/>
    <col min="3047" max="3047" width="12.33203125" bestFit="1" customWidth="1"/>
    <col min="3048" max="3048" width="16.5546875" bestFit="1" customWidth="1"/>
    <col min="3049" max="3049" width="12.33203125" bestFit="1" customWidth="1"/>
    <col min="3050" max="3050" width="16.5546875" bestFit="1" customWidth="1"/>
    <col min="3051" max="3051" width="11" bestFit="1" customWidth="1"/>
    <col min="3052" max="3052" width="15" bestFit="1" customWidth="1"/>
    <col min="3053" max="3053" width="11" bestFit="1" customWidth="1"/>
    <col min="3054" max="3054" width="15.6640625" bestFit="1" customWidth="1"/>
    <col min="3055" max="3055" width="12.33203125" bestFit="1" customWidth="1"/>
    <col min="3056" max="3056" width="17" bestFit="1" customWidth="1"/>
    <col min="3057" max="3057" width="12.33203125" bestFit="1" customWidth="1"/>
    <col min="3058" max="3058" width="17" bestFit="1" customWidth="1"/>
    <col min="3059" max="3059" width="11" bestFit="1" customWidth="1"/>
    <col min="3060" max="3060" width="15.6640625" bestFit="1" customWidth="1"/>
    <col min="3061" max="3061" width="12.33203125" bestFit="1" customWidth="1"/>
    <col min="3062" max="3062" width="16.5546875" bestFit="1" customWidth="1"/>
    <col min="3063" max="3063" width="12.33203125" bestFit="1" customWidth="1"/>
    <col min="3064" max="3064" width="17" bestFit="1" customWidth="1"/>
    <col min="3065" max="3065" width="12.33203125" bestFit="1" customWidth="1"/>
    <col min="3066" max="3066" width="17" bestFit="1" customWidth="1"/>
    <col min="3067" max="3067" width="12.33203125" bestFit="1" customWidth="1"/>
    <col min="3068" max="3068" width="17" bestFit="1" customWidth="1"/>
    <col min="3069" max="3069" width="12.33203125" bestFit="1" customWidth="1"/>
    <col min="3070" max="3070" width="17" bestFit="1" customWidth="1"/>
    <col min="3071" max="3071" width="12.33203125" bestFit="1" customWidth="1"/>
    <col min="3072" max="3072" width="17" bestFit="1" customWidth="1"/>
    <col min="3073" max="3073" width="12.33203125" bestFit="1" customWidth="1"/>
    <col min="3074" max="3074" width="16.5546875" bestFit="1" customWidth="1"/>
    <col min="3075" max="3075" width="11" bestFit="1" customWidth="1"/>
    <col min="3076" max="3076" width="15.6640625" bestFit="1" customWidth="1"/>
    <col min="3077" max="3077" width="11" bestFit="1" customWidth="1"/>
    <col min="3078" max="3078" width="15.6640625" bestFit="1" customWidth="1"/>
    <col min="3079" max="3079" width="12.33203125" bestFit="1" customWidth="1"/>
    <col min="3080" max="3080" width="16.5546875" bestFit="1" customWidth="1"/>
    <col min="3081" max="3081" width="12.33203125" bestFit="1" customWidth="1"/>
    <col min="3082" max="3082" width="16.5546875" bestFit="1" customWidth="1"/>
    <col min="3083" max="3083" width="12.33203125" bestFit="1" customWidth="1"/>
    <col min="3084" max="3084" width="17" bestFit="1" customWidth="1"/>
    <col min="3085" max="3085" width="12.33203125" bestFit="1" customWidth="1"/>
    <col min="3086" max="3086" width="17" bestFit="1" customWidth="1"/>
    <col min="3087" max="3087" width="12.33203125" bestFit="1" customWidth="1"/>
    <col min="3088" max="3088" width="17" bestFit="1" customWidth="1"/>
    <col min="3089" max="3089" width="12.33203125" bestFit="1" customWidth="1"/>
    <col min="3090" max="3090" width="17" bestFit="1" customWidth="1"/>
    <col min="3091" max="3091" width="12.33203125" bestFit="1" customWidth="1"/>
    <col min="3092" max="3092" width="16.5546875" bestFit="1" customWidth="1"/>
    <col min="3093" max="3093" width="8.33203125" bestFit="1" customWidth="1"/>
    <col min="3094" max="3094" width="13.33203125" bestFit="1" customWidth="1"/>
    <col min="3095" max="3095" width="12.33203125" bestFit="1" customWidth="1"/>
    <col min="3096" max="3096" width="17" bestFit="1" customWidth="1"/>
    <col min="3097" max="3097" width="12.33203125" bestFit="1" customWidth="1"/>
    <col min="3098" max="3098" width="16.5546875" bestFit="1" customWidth="1"/>
    <col min="3099" max="3099" width="12.33203125" bestFit="1" customWidth="1"/>
    <col min="3100" max="3100" width="17" bestFit="1" customWidth="1"/>
    <col min="3101" max="3101" width="12.33203125" bestFit="1" customWidth="1"/>
    <col min="3102" max="3102" width="17" bestFit="1" customWidth="1"/>
    <col min="3103" max="3103" width="12.33203125" bestFit="1" customWidth="1"/>
    <col min="3104" max="3104" width="16.5546875" bestFit="1" customWidth="1"/>
    <col min="3105" max="3105" width="12.33203125" bestFit="1" customWidth="1"/>
    <col min="3106" max="3106" width="17" bestFit="1" customWidth="1"/>
    <col min="3107" max="3107" width="12.33203125" bestFit="1" customWidth="1"/>
    <col min="3108" max="3108" width="17" bestFit="1" customWidth="1"/>
    <col min="3109" max="3109" width="12.33203125" bestFit="1" customWidth="1"/>
    <col min="3110" max="3110" width="17" bestFit="1" customWidth="1"/>
    <col min="3111" max="3111" width="12.33203125" bestFit="1" customWidth="1"/>
    <col min="3112" max="3112" width="17" bestFit="1" customWidth="1"/>
    <col min="3113" max="3113" width="11" bestFit="1" customWidth="1"/>
    <col min="3114" max="3114" width="15.6640625" bestFit="1" customWidth="1"/>
    <col min="3115" max="3115" width="11" bestFit="1" customWidth="1"/>
    <col min="3116" max="3116" width="15.6640625" bestFit="1" customWidth="1"/>
    <col min="3117" max="3117" width="12.33203125" bestFit="1" customWidth="1"/>
    <col min="3118" max="3118" width="17" bestFit="1" customWidth="1"/>
    <col min="3119" max="3119" width="12.33203125" bestFit="1" customWidth="1"/>
    <col min="3120" max="3120" width="16.21875" bestFit="1" customWidth="1"/>
    <col min="3121" max="3121" width="12.33203125" bestFit="1" customWidth="1"/>
    <col min="3122" max="3122" width="16.5546875" bestFit="1" customWidth="1"/>
    <col min="3123" max="3123" width="12.33203125" bestFit="1" customWidth="1"/>
    <col min="3124" max="3124" width="16.21875" bestFit="1" customWidth="1"/>
    <col min="3125" max="3125" width="11" bestFit="1" customWidth="1"/>
    <col min="3126" max="3126" width="14.6640625" bestFit="1" customWidth="1"/>
    <col min="3127" max="3127" width="12.33203125" bestFit="1" customWidth="1"/>
    <col min="3128" max="3128" width="16.5546875" bestFit="1" customWidth="1"/>
    <col min="3129" max="3129" width="11" bestFit="1" customWidth="1"/>
    <col min="3130" max="3130" width="3" bestFit="1" customWidth="1"/>
    <col min="3131" max="3131" width="15" bestFit="1" customWidth="1"/>
    <col min="3132" max="3132" width="11" bestFit="1" customWidth="1"/>
    <col min="3133" max="3133" width="14.6640625" bestFit="1" customWidth="1"/>
    <col min="3134" max="3134" width="12.33203125" bestFit="1" customWidth="1"/>
    <col min="3135" max="3135" width="17" bestFit="1" customWidth="1"/>
    <col min="3136" max="3136" width="12.33203125" bestFit="1" customWidth="1"/>
    <col min="3137" max="3137" width="16.21875" bestFit="1" customWidth="1"/>
    <col min="3138" max="3138" width="11" bestFit="1" customWidth="1"/>
    <col min="3139" max="3139" width="15.6640625" bestFit="1" customWidth="1"/>
    <col min="3140" max="3140" width="12.33203125" bestFit="1" customWidth="1"/>
    <col min="3141" max="3141" width="17" bestFit="1" customWidth="1"/>
    <col min="3142" max="3142" width="12.33203125" bestFit="1" customWidth="1"/>
    <col min="3143" max="3143" width="17" bestFit="1" customWidth="1"/>
    <col min="3144" max="3144" width="12.33203125" bestFit="1" customWidth="1"/>
    <col min="3145" max="3145" width="16.5546875" bestFit="1" customWidth="1"/>
    <col min="3146" max="3146" width="12.33203125" bestFit="1" customWidth="1"/>
    <col min="3147" max="3147" width="17" bestFit="1" customWidth="1"/>
    <col min="3148" max="3148" width="12.33203125" bestFit="1" customWidth="1"/>
    <col min="3149" max="3149" width="16.5546875" bestFit="1" customWidth="1"/>
    <col min="3150" max="3150" width="12.33203125" bestFit="1" customWidth="1"/>
    <col min="3151" max="3151" width="17" bestFit="1" customWidth="1"/>
    <col min="3152" max="3152" width="12.33203125" bestFit="1" customWidth="1"/>
    <col min="3153" max="3153" width="16.5546875" bestFit="1" customWidth="1"/>
    <col min="3154" max="3154" width="12.33203125" bestFit="1" customWidth="1"/>
    <col min="3155" max="3155" width="17" bestFit="1" customWidth="1"/>
    <col min="3156" max="3156" width="12.33203125" bestFit="1" customWidth="1"/>
    <col min="3157" max="3157" width="16.5546875" bestFit="1" customWidth="1"/>
    <col min="3158" max="3158" width="12.33203125" bestFit="1" customWidth="1"/>
    <col min="3159" max="3159" width="17" bestFit="1" customWidth="1"/>
    <col min="3160" max="3160" width="11" bestFit="1" customWidth="1"/>
    <col min="3161" max="3161" width="15" bestFit="1" customWidth="1"/>
    <col min="3162" max="3162" width="11" bestFit="1" customWidth="1"/>
    <col min="3163" max="3163" width="15.6640625" bestFit="1" customWidth="1"/>
    <col min="3164" max="3164" width="12.33203125" bestFit="1" customWidth="1"/>
    <col min="3165" max="3165" width="17" bestFit="1" customWidth="1"/>
    <col min="3166" max="3166" width="12.33203125" bestFit="1" customWidth="1"/>
    <col min="3167" max="3167" width="16.5546875" bestFit="1" customWidth="1"/>
    <col min="3168" max="3168" width="12.33203125" bestFit="1" customWidth="1"/>
    <col min="3169" max="3169" width="17" bestFit="1" customWidth="1"/>
    <col min="3170" max="3170" width="8.33203125" bestFit="1" customWidth="1"/>
    <col min="3171" max="3171" width="13.33203125" bestFit="1" customWidth="1"/>
    <col min="3172" max="3172" width="11" bestFit="1" customWidth="1"/>
    <col min="3173" max="3173" width="15.6640625" bestFit="1" customWidth="1"/>
    <col min="3174" max="3174" width="12.33203125" bestFit="1" customWidth="1"/>
    <col min="3175" max="3175" width="16.5546875" bestFit="1" customWidth="1"/>
    <col min="3176" max="3176" width="11" bestFit="1" customWidth="1"/>
    <col min="3177" max="3177" width="15.6640625" bestFit="1" customWidth="1"/>
    <col min="3178" max="3178" width="12.33203125" bestFit="1" customWidth="1"/>
    <col min="3179" max="3179" width="17" bestFit="1" customWidth="1"/>
    <col min="3180" max="3180" width="11" bestFit="1" customWidth="1"/>
    <col min="3181" max="3181" width="15.6640625" bestFit="1" customWidth="1"/>
    <col min="3182" max="3182" width="12.33203125" bestFit="1" customWidth="1"/>
    <col min="3183" max="3183" width="17" bestFit="1" customWidth="1"/>
    <col min="3184" max="3184" width="11" bestFit="1" customWidth="1"/>
    <col min="3185" max="3185" width="15.6640625" bestFit="1" customWidth="1"/>
    <col min="3186" max="3186" width="12.33203125" bestFit="1" customWidth="1"/>
    <col min="3187" max="3187" width="16.5546875" bestFit="1" customWidth="1"/>
    <col min="3188" max="3188" width="11" bestFit="1" customWidth="1"/>
    <col min="3189" max="3189" width="15" bestFit="1" customWidth="1"/>
    <col min="3190" max="3190" width="12.33203125" bestFit="1" customWidth="1"/>
    <col min="3191" max="3191" width="17" bestFit="1" customWidth="1"/>
    <col min="3192" max="3192" width="12.33203125" bestFit="1" customWidth="1"/>
    <col min="3193" max="3193" width="17" bestFit="1" customWidth="1"/>
    <col min="3194" max="3194" width="11" bestFit="1" customWidth="1"/>
    <col min="3195" max="3195" width="15.6640625" bestFit="1" customWidth="1"/>
    <col min="3196" max="3196" width="12.33203125" bestFit="1" customWidth="1"/>
    <col min="3197" max="3197" width="17" bestFit="1" customWidth="1"/>
    <col min="3198" max="3198" width="12.33203125" bestFit="1" customWidth="1"/>
    <col min="3199" max="3199" width="16.5546875" bestFit="1" customWidth="1"/>
    <col min="3200" max="3200" width="11" bestFit="1" customWidth="1"/>
    <col min="3201" max="3201" width="15.6640625" bestFit="1" customWidth="1"/>
    <col min="3202" max="3202" width="12.33203125" bestFit="1" customWidth="1"/>
    <col min="3203" max="3203" width="17" bestFit="1" customWidth="1"/>
    <col min="3204" max="3204" width="12.33203125" bestFit="1" customWidth="1"/>
    <col min="3205" max="3205" width="16.5546875" bestFit="1" customWidth="1"/>
    <col min="3206" max="3206" width="11" bestFit="1" customWidth="1"/>
    <col min="3207" max="3207" width="15.6640625" bestFit="1" customWidth="1"/>
    <col min="3208" max="3208" width="12.33203125" bestFit="1" customWidth="1"/>
    <col min="3209" max="3209" width="16.5546875" bestFit="1" customWidth="1"/>
    <col min="3210" max="3210" width="12.33203125" bestFit="1" customWidth="1"/>
    <col min="3211" max="3211" width="17" bestFit="1" customWidth="1"/>
    <col min="3212" max="3212" width="12.33203125" bestFit="1" customWidth="1"/>
    <col min="3213" max="3213" width="17" bestFit="1" customWidth="1"/>
    <col min="3214" max="3214" width="12.33203125" bestFit="1" customWidth="1"/>
    <col min="3215" max="3215" width="17" bestFit="1" customWidth="1"/>
    <col min="3216" max="3216" width="11" bestFit="1" customWidth="1"/>
    <col min="3217" max="3217" width="15.6640625" bestFit="1" customWidth="1"/>
    <col min="3218" max="3218" width="12.33203125" bestFit="1" customWidth="1"/>
    <col min="3219" max="3219" width="17" bestFit="1" customWidth="1"/>
    <col min="3220" max="3220" width="11" bestFit="1" customWidth="1"/>
    <col min="3221" max="3221" width="15.6640625" bestFit="1" customWidth="1"/>
    <col min="3222" max="3222" width="12.33203125" bestFit="1" customWidth="1"/>
    <col min="3223" max="3223" width="17" bestFit="1" customWidth="1"/>
    <col min="3224" max="3224" width="11" bestFit="1" customWidth="1"/>
    <col min="3225" max="3225" width="15.6640625" bestFit="1" customWidth="1"/>
    <col min="3226" max="3226" width="8.33203125" bestFit="1" customWidth="1"/>
    <col min="3227" max="3227" width="13.33203125" bestFit="1" customWidth="1"/>
    <col min="3228" max="3228" width="12.33203125" bestFit="1" customWidth="1"/>
    <col min="3229" max="3229" width="17" bestFit="1" customWidth="1"/>
    <col min="3230" max="3230" width="12.33203125" bestFit="1" customWidth="1"/>
    <col min="3231" max="3231" width="17" bestFit="1" customWidth="1"/>
    <col min="3232" max="3232" width="11" bestFit="1" customWidth="1"/>
    <col min="3233" max="3233" width="15.6640625" bestFit="1" customWidth="1"/>
    <col min="3234" max="3234" width="12.33203125" bestFit="1" customWidth="1"/>
    <col min="3235" max="3235" width="17" bestFit="1" customWidth="1"/>
    <col min="3236" max="3236" width="12.33203125" bestFit="1" customWidth="1"/>
    <col min="3237" max="3237" width="16.5546875" bestFit="1" customWidth="1"/>
    <col min="3238" max="3238" width="11" bestFit="1" customWidth="1"/>
    <col min="3239" max="3239" width="15.6640625" bestFit="1" customWidth="1"/>
    <col min="3240" max="3240" width="12.33203125" bestFit="1" customWidth="1"/>
    <col min="3241" max="3241" width="16.5546875" bestFit="1" customWidth="1"/>
    <col min="3242" max="3242" width="11" bestFit="1" customWidth="1"/>
    <col min="3243" max="3243" width="15" bestFit="1" customWidth="1"/>
    <col min="3244" max="3244" width="12.33203125" bestFit="1" customWidth="1"/>
    <col min="3245" max="3245" width="17" bestFit="1" customWidth="1"/>
    <col min="3246" max="3246" width="11" bestFit="1" customWidth="1"/>
    <col min="3247" max="3247" width="15.6640625" bestFit="1" customWidth="1"/>
    <col min="3248" max="3248" width="11" bestFit="1" customWidth="1"/>
    <col min="3249" max="3249" width="15" bestFit="1" customWidth="1"/>
    <col min="3250" max="3250" width="8.33203125" bestFit="1" customWidth="1"/>
    <col min="3251" max="3251" width="13.33203125" bestFit="1" customWidth="1"/>
    <col min="3252" max="3252" width="12.33203125" bestFit="1" customWidth="1"/>
    <col min="3253" max="3253" width="17" bestFit="1" customWidth="1"/>
    <col min="3254" max="3254" width="12.33203125" bestFit="1" customWidth="1"/>
    <col min="3255" max="3255" width="17" bestFit="1" customWidth="1"/>
    <col min="3256" max="3256" width="12.33203125" bestFit="1" customWidth="1"/>
    <col min="3257" max="3257" width="17" bestFit="1" customWidth="1"/>
    <col min="3258" max="3258" width="12.33203125" bestFit="1" customWidth="1"/>
    <col min="3259" max="3259" width="17" bestFit="1" customWidth="1"/>
    <col min="3260" max="3260" width="12.33203125" bestFit="1" customWidth="1"/>
    <col min="3261" max="3261" width="17" bestFit="1" customWidth="1"/>
    <col min="3262" max="3262" width="12.33203125" bestFit="1" customWidth="1"/>
    <col min="3263" max="3263" width="17" bestFit="1" customWidth="1"/>
    <col min="3264" max="3264" width="12.33203125" bestFit="1" customWidth="1"/>
    <col min="3265" max="3265" width="17" bestFit="1" customWidth="1"/>
    <col min="3266" max="3266" width="12.33203125" bestFit="1" customWidth="1"/>
    <col min="3267" max="3267" width="17" bestFit="1" customWidth="1"/>
    <col min="3268" max="3268" width="12.33203125" bestFit="1" customWidth="1"/>
    <col min="3269" max="3269" width="17.33203125" bestFit="1" customWidth="1"/>
    <col min="3270" max="3270" width="8.33203125" bestFit="1" customWidth="1"/>
    <col min="3271" max="3271" width="13.6640625" bestFit="1" customWidth="1"/>
    <col min="3272" max="3272" width="11" bestFit="1" customWidth="1"/>
    <col min="3273" max="3273" width="16" bestFit="1" customWidth="1"/>
    <col min="3274" max="3274" width="12.33203125" bestFit="1" customWidth="1"/>
    <col min="3275" max="3275" width="17.33203125" bestFit="1" customWidth="1"/>
    <col min="3276" max="3276" width="12.33203125" bestFit="1" customWidth="1"/>
    <col min="3277" max="3277" width="17" bestFit="1" customWidth="1"/>
    <col min="3278" max="3278" width="12.33203125" bestFit="1" customWidth="1"/>
    <col min="3279" max="3279" width="17" bestFit="1" customWidth="1"/>
    <col min="3280" max="3280" width="12.33203125" bestFit="1" customWidth="1"/>
    <col min="3281" max="3281" width="17" bestFit="1" customWidth="1"/>
    <col min="3282" max="3282" width="12.33203125" bestFit="1" customWidth="1"/>
    <col min="3283" max="3283" width="17.33203125" bestFit="1" customWidth="1"/>
    <col min="3284" max="3284" width="11" bestFit="1" customWidth="1"/>
    <col min="3285" max="3285" width="16" bestFit="1" customWidth="1"/>
    <col min="3286" max="3286" width="11" bestFit="1" customWidth="1"/>
    <col min="3287" max="3287" width="16" bestFit="1" customWidth="1"/>
    <col min="3288" max="3288" width="12.33203125" bestFit="1" customWidth="1"/>
    <col min="3289" max="3289" width="17.33203125" bestFit="1" customWidth="1"/>
    <col min="3290" max="3290" width="11" bestFit="1" customWidth="1"/>
    <col min="3291" max="3291" width="16" bestFit="1" customWidth="1"/>
    <col min="3292" max="3292" width="8.33203125" bestFit="1" customWidth="1"/>
    <col min="3293" max="3293" width="13.6640625" bestFit="1" customWidth="1"/>
    <col min="3294" max="3294" width="12.33203125" bestFit="1" customWidth="1"/>
    <col min="3295" max="3295" width="17.33203125" bestFit="1" customWidth="1"/>
    <col min="3296" max="3296" width="12.33203125" bestFit="1" customWidth="1"/>
    <col min="3297" max="3297" width="17.33203125" bestFit="1" customWidth="1"/>
    <col min="3298" max="3298" width="12.33203125" bestFit="1" customWidth="1"/>
    <col min="3299" max="3299" width="17" bestFit="1" customWidth="1"/>
    <col min="3300" max="3300" width="8.33203125" bestFit="1" customWidth="1"/>
    <col min="3301" max="3301" width="13.6640625" bestFit="1" customWidth="1"/>
    <col min="3302" max="3302" width="12.33203125" bestFit="1" customWidth="1"/>
    <col min="3303" max="3303" width="17" bestFit="1" customWidth="1"/>
    <col min="3304" max="3304" width="11" bestFit="1" customWidth="1"/>
    <col min="3305" max="3305" width="16" bestFit="1" customWidth="1"/>
    <col min="3306" max="3306" width="12.33203125" bestFit="1" customWidth="1"/>
    <col min="3307" max="3307" width="17.33203125" bestFit="1" customWidth="1"/>
    <col min="3308" max="3308" width="12.33203125" bestFit="1" customWidth="1"/>
    <col min="3309" max="3309" width="17.33203125" bestFit="1" customWidth="1"/>
    <col min="3310" max="3310" width="12.33203125" bestFit="1" customWidth="1"/>
    <col min="3311" max="3311" width="17" bestFit="1" customWidth="1"/>
    <col min="3312" max="3312" width="12.33203125" bestFit="1" customWidth="1"/>
    <col min="3313" max="3313" width="17.33203125" bestFit="1" customWidth="1"/>
    <col min="3314" max="3314" width="12.33203125" bestFit="1" customWidth="1"/>
    <col min="3315" max="3315" width="17.33203125" bestFit="1" customWidth="1"/>
    <col min="3316" max="3316" width="12.33203125" bestFit="1" customWidth="1"/>
    <col min="3317" max="3317" width="17.33203125" bestFit="1" customWidth="1"/>
    <col min="3318" max="3318" width="12.33203125" bestFit="1" customWidth="1"/>
    <col min="3319" max="3319" width="17.33203125" bestFit="1" customWidth="1"/>
    <col min="3320" max="3320" width="12.33203125" bestFit="1" customWidth="1"/>
    <col min="3321" max="3321" width="3" bestFit="1" customWidth="1"/>
    <col min="3322" max="3322" width="17.33203125" bestFit="1" customWidth="1"/>
    <col min="3323" max="3323" width="11" bestFit="1" customWidth="1"/>
    <col min="3324" max="3324" width="16" bestFit="1" customWidth="1"/>
    <col min="3325" max="3325" width="12.33203125" bestFit="1" customWidth="1"/>
    <col min="3326" max="3326" width="17.33203125" bestFit="1" customWidth="1"/>
    <col min="3327" max="3327" width="11" bestFit="1" customWidth="1"/>
    <col min="3328" max="3328" width="16" bestFit="1" customWidth="1"/>
    <col min="3329" max="3329" width="8.33203125" bestFit="1" customWidth="1"/>
    <col min="3330" max="3330" width="13.6640625" bestFit="1" customWidth="1"/>
    <col min="3331" max="3331" width="12.33203125" bestFit="1" customWidth="1"/>
    <col min="3332" max="3332" width="17.33203125" bestFit="1" customWidth="1"/>
    <col min="3333" max="3333" width="11" bestFit="1" customWidth="1"/>
    <col min="3334" max="3334" width="15.6640625" bestFit="1" customWidth="1"/>
    <col min="3335" max="3335" width="12.33203125" bestFit="1" customWidth="1"/>
    <col min="3336" max="3336" width="17" bestFit="1" customWidth="1"/>
    <col min="3337" max="3337" width="12.33203125" bestFit="1" customWidth="1"/>
    <col min="3338" max="3338" width="17" bestFit="1" customWidth="1"/>
    <col min="3339" max="3339" width="12.33203125" bestFit="1" customWidth="1"/>
    <col min="3340" max="3340" width="17" bestFit="1" customWidth="1"/>
    <col min="3341" max="3341" width="12.33203125" bestFit="1" customWidth="1"/>
    <col min="3342" max="3342" width="17" bestFit="1" customWidth="1"/>
    <col min="3343" max="3343" width="12.33203125" bestFit="1" customWidth="1"/>
    <col min="3344" max="3344" width="17" bestFit="1" customWidth="1"/>
    <col min="3345" max="3345" width="11" bestFit="1" customWidth="1"/>
    <col min="3346" max="3346" width="15.6640625" bestFit="1" customWidth="1"/>
    <col min="3347" max="3347" width="12.33203125" bestFit="1" customWidth="1"/>
    <col min="3348" max="3348" width="16.5546875" bestFit="1" customWidth="1"/>
    <col min="3349" max="3349" width="11" bestFit="1" customWidth="1"/>
    <col min="3350" max="3350" width="15" bestFit="1" customWidth="1"/>
    <col min="3351" max="3351" width="11" bestFit="1" customWidth="1"/>
    <col min="3352" max="3352" width="14.6640625" bestFit="1" customWidth="1"/>
    <col min="3353" max="3353" width="12.33203125" bestFit="1" customWidth="1"/>
    <col min="3354" max="3354" width="16.5546875" bestFit="1" customWidth="1"/>
    <col min="3355" max="3355" width="12.33203125" bestFit="1" customWidth="1"/>
    <col min="3356" max="3356" width="17" bestFit="1" customWidth="1"/>
    <col min="3357" max="3357" width="12.33203125" bestFit="1" customWidth="1"/>
    <col min="3358" max="3358" width="17" bestFit="1" customWidth="1"/>
    <col min="3359" max="3359" width="11" bestFit="1" customWidth="1"/>
    <col min="3360" max="3360" width="15" bestFit="1" customWidth="1"/>
    <col min="3361" max="3361" width="12.33203125" bestFit="1" customWidth="1"/>
    <col min="3362" max="3362" width="17" bestFit="1" customWidth="1"/>
    <col min="3363" max="3363" width="12.33203125" bestFit="1" customWidth="1"/>
    <col min="3364" max="3364" width="17" bestFit="1" customWidth="1"/>
    <col min="3365" max="3365" width="11" bestFit="1" customWidth="1"/>
    <col min="3366" max="3366" width="15.6640625" bestFit="1" customWidth="1"/>
    <col min="3367" max="3367" width="12.33203125" bestFit="1" customWidth="1"/>
    <col min="3368" max="3368" width="16.5546875" bestFit="1" customWidth="1"/>
    <col min="3369" max="3369" width="11" bestFit="1" customWidth="1"/>
    <col min="3370" max="3370" width="15.6640625" bestFit="1" customWidth="1"/>
    <col min="3371" max="3371" width="11" bestFit="1" customWidth="1"/>
    <col min="3372" max="3372" width="14.6640625" bestFit="1" customWidth="1"/>
    <col min="3373" max="3373" width="11" bestFit="1" customWidth="1"/>
    <col min="3374" max="3374" width="15" bestFit="1" customWidth="1"/>
    <col min="3375" max="3375" width="12.33203125" bestFit="1" customWidth="1"/>
    <col min="3376" max="3376" width="17" bestFit="1" customWidth="1"/>
    <col min="3377" max="3377" width="12.33203125" bestFit="1" customWidth="1"/>
    <col min="3378" max="3378" width="17" bestFit="1" customWidth="1"/>
    <col min="3379" max="3379" width="12.33203125" bestFit="1" customWidth="1"/>
    <col min="3380" max="3380" width="17" bestFit="1" customWidth="1"/>
    <col min="3381" max="3381" width="11" bestFit="1" customWidth="1"/>
    <col min="3382" max="3382" width="15.6640625" bestFit="1" customWidth="1"/>
    <col min="3383" max="3383" width="12.33203125" bestFit="1" customWidth="1"/>
    <col min="3384" max="3384" width="17" bestFit="1" customWidth="1"/>
    <col min="3385" max="3385" width="11" bestFit="1" customWidth="1"/>
    <col min="3386" max="3386" width="15.6640625" bestFit="1" customWidth="1"/>
    <col min="3387" max="3387" width="12.33203125" bestFit="1" customWidth="1"/>
    <col min="3388" max="3388" width="17" bestFit="1" customWidth="1"/>
    <col min="3389" max="3389" width="11" bestFit="1" customWidth="1"/>
    <col min="3390" max="3390" width="15.6640625" bestFit="1" customWidth="1"/>
    <col min="3391" max="3391" width="12.33203125" bestFit="1" customWidth="1"/>
    <col min="3392" max="3392" width="16.5546875" bestFit="1" customWidth="1"/>
    <col min="3393" max="3393" width="12.33203125" bestFit="1" customWidth="1"/>
    <col min="3394" max="3394" width="16.5546875" bestFit="1" customWidth="1"/>
    <col min="3395" max="3395" width="12.33203125" bestFit="1" customWidth="1"/>
    <col min="3396" max="3396" width="17" bestFit="1" customWidth="1"/>
    <col min="3397" max="3397" width="12.33203125" bestFit="1" customWidth="1"/>
    <col min="3398" max="3398" width="16.5546875" bestFit="1" customWidth="1"/>
    <col min="3399" max="3399" width="12.33203125" bestFit="1" customWidth="1"/>
    <col min="3400" max="3400" width="17" bestFit="1" customWidth="1"/>
    <col min="3401" max="3401" width="11" bestFit="1" customWidth="1"/>
    <col min="3402" max="3402" width="15.6640625" bestFit="1" customWidth="1"/>
    <col min="3403" max="3403" width="11" bestFit="1" customWidth="1"/>
    <col min="3404" max="3404" width="15.6640625" bestFit="1" customWidth="1"/>
    <col min="3405" max="3405" width="12.33203125" bestFit="1" customWidth="1"/>
    <col min="3406" max="3406" width="17" bestFit="1" customWidth="1"/>
    <col min="3407" max="3407" width="11" bestFit="1" customWidth="1"/>
    <col min="3408" max="3408" width="15.6640625" bestFit="1" customWidth="1"/>
    <col min="3409" max="3409" width="12.33203125" bestFit="1" customWidth="1"/>
    <col min="3410" max="3410" width="16.5546875" bestFit="1" customWidth="1"/>
    <col min="3411" max="3411" width="12.33203125" bestFit="1" customWidth="1"/>
    <col min="3412" max="3412" width="17" bestFit="1" customWidth="1"/>
    <col min="3413" max="3413" width="11" bestFit="1" customWidth="1"/>
    <col min="3414" max="3414" width="15" bestFit="1" customWidth="1"/>
    <col min="3415" max="3415" width="12.33203125" bestFit="1" customWidth="1"/>
    <col min="3416" max="3416" width="17" bestFit="1" customWidth="1"/>
    <col min="3417" max="3417" width="12.33203125" bestFit="1" customWidth="1"/>
    <col min="3418" max="3418" width="17" bestFit="1" customWidth="1"/>
    <col min="3419" max="3419" width="12.33203125" bestFit="1" customWidth="1"/>
    <col min="3420" max="3420" width="17.33203125" bestFit="1" customWidth="1"/>
    <col min="3421" max="3421" width="12.33203125" bestFit="1" customWidth="1"/>
    <col min="3422" max="3422" width="17.33203125" bestFit="1" customWidth="1"/>
    <col min="3423" max="3423" width="12.33203125" bestFit="1" customWidth="1"/>
    <col min="3424" max="3424" width="17.33203125" bestFit="1" customWidth="1"/>
    <col min="3425" max="3425" width="12.33203125" bestFit="1" customWidth="1"/>
    <col min="3426" max="3426" width="17.33203125" bestFit="1" customWidth="1"/>
    <col min="3427" max="3427" width="12.33203125" bestFit="1" customWidth="1"/>
    <col min="3428" max="3428" width="17" bestFit="1" customWidth="1"/>
    <col min="3429" max="3429" width="11" bestFit="1" customWidth="1"/>
    <col min="3430" max="3430" width="15.6640625" bestFit="1" customWidth="1"/>
    <col min="3431" max="3431" width="11" bestFit="1" customWidth="1"/>
    <col min="3432" max="3432" width="15.6640625" bestFit="1" customWidth="1"/>
    <col min="3433" max="3433" width="12.33203125" bestFit="1" customWidth="1"/>
    <col min="3434" max="3434" width="17" bestFit="1" customWidth="1"/>
    <col min="3435" max="3435" width="12.33203125" bestFit="1" customWidth="1"/>
    <col min="3436" max="3436" width="17" bestFit="1" customWidth="1"/>
    <col min="3437" max="3437" width="12.33203125" bestFit="1" customWidth="1"/>
    <col min="3438" max="3438" width="17.33203125" bestFit="1" customWidth="1"/>
    <col min="3439" max="3439" width="11" bestFit="1" customWidth="1"/>
    <col min="3440" max="3440" width="15.6640625" bestFit="1" customWidth="1"/>
    <col min="3441" max="3441" width="12.33203125" bestFit="1" customWidth="1"/>
    <col min="3442" max="3442" width="17.33203125" bestFit="1" customWidth="1"/>
    <col min="3443" max="3443" width="12.33203125" bestFit="1" customWidth="1"/>
    <col min="3444" max="3444" width="17.33203125" bestFit="1" customWidth="1"/>
    <col min="3445" max="3445" width="12.33203125" bestFit="1" customWidth="1"/>
    <col min="3446" max="3446" width="17" bestFit="1" customWidth="1"/>
    <col min="3447" max="3447" width="8.33203125" bestFit="1" customWidth="1"/>
    <col min="3448" max="3448" width="13.6640625" bestFit="1" customWidth="1"/>
    <col min="3449" max="3449" width="11" bestFit="1" customWidth="1"/>
    <col min="3450" max="3450" width="15.6640625" bestFit="1" customWidth="1"/>
    <col min="3451" max="3451" width="11" bestFit="1" customWidth="1"/>
    <col min="3452" max="3452" width="15.6640625" bestFit="1" customWidth="1"/>
    <col min="3453" max="3453" width="11" bestFit="1" customWidth="1"/>
    <col min="3454" max="3454" width="15.6640625" bestFit="1" customWidth="1"/>
    <col min="3455" max="3455" width="11" bestFit="1" customWidth="1"/>
    <col min="3456" max="3456" width="16" bestFit="1" customWidth="1"/>
    <col min="3457" max="3457" width="12.33203125" bestFit="1" customWidth="1"/>
    <col min="3458" max="3458" width="17.33203125" bestFit="1" customWidth="1"/>
    <col min="3459" max="3459" width="12.33203125" bestFit="1" customWidth="1"/>
    <col min="3460" max="3460" width="17.33203125" bestFit="1" customWidth="1"/>
    <col min="3461" max="3461" width="12.33203125" bestFit="1" customWidth="1"/>
    <col min="3462" max="3462" width="17.33203125" bestFit="1" customWidth="1"/>
    <col min="3463" max="3463" width="11" bestFit="1" customWidth="1"/>
    <col min="3464" max="3464" width="16" bestFit="1" customWidth="1"/>
    <col min="3465" max="3465" width="12.33203125" bestFit="1" customWidth="1"/>
    <col min="3466" max="3466" width="17.33203125" bestFit="1" customWidth="1"/>
    <col min="3467" max="3467" width="11" bestFit="1" customWidth="1"/>
    <col min="3468" max="3468" width="16" bestFit="1" customWidth="1"/>
    <col min="3469" max="3469" width="11" bestFit="1" customWidth="1"/>
    <col min="3470" max="3470" width="16" bestFit="1" customWidth="1"/>
    <col min="3471" max="3471" width="12.33203125" bestFit="1" customWidth="1"/>
    <col min="3472" max="3472" width="17.33203125" bestFit="1" customWidth="1"/>
    <col min="3473" max="3473" width="11" bestFit="1" customWidth="1"/>
    <col min="3474" max="3474" width="16" bestFit="1" customWidth="1"/>
    <col min="3475" max="3475" width="12.33203125" bestFit="1" customWidth="1"/>
    <col min="3476" max="3476" width="17.33203125" bestFit="1" customWidth="1"/>
    <col min="3477" max="3477" width="12.33203125" bestFit="1" customWidth="1"/>
    <col min="3478" max="3478" width="17" bestFit="1" customWidth="1"/>
    <col min="3479" max="3479" width="12.33203125" bestFit="1" customWidth="1"/>
    <col min="3480" max="3480" width="17.33203125" bestFit="1" customWidth="1"/>
    <col min="3481" max="3481" width="12.33203125" bestFit="1" customWidth="1"/>
    <col min="3482" max="3482" width="17.33203125" bestFit="1" customWidth="1"/>
    <col min="3483" max="3483" width="11" bestFit="1" customWidth="1"/>
    <col min="3484" max="3484" width="16" bestFit="1" customWidth="1"/>
    <col min="3485" max="3485" width="11" bestFit="1" customWidth="1"/>
    <col min="3486" max="3486" width="16" bestFit="1" customWidth="1"/>
    <col min="3487" max="3487" width="12.33203125" bestFit="1" customWidth="1"/>
    <col min="3488" max="3488" width="17.33203125" bestFit="1" customWidth="1"/>
    <col min="3489" max="3489" width="12.33203125" bestFit="1" customWidth="1"/>
    <col min="3490" max="3490" width="17.33203125" bestFit="1" customWidth="1"/>
    <col min="3491" max="3491" width="8.33203125" bestFit="1" customWidth="1"/>
    <col min="3492" max="3492" width="13.6640625" bestFit="1" customWidth="1"/>
    <col min="3493" max="3493" width="12.33203125" bestFit="1" customWidth="1"/>
    <col min="3494" max="3494" width="17" bestFit="1" customWidth="1"/>
    <col min="3495" max="3495" width="12.33203125" bestFit="1" customWidth="1"/>
    <col min="3496" max="3496" width="17.33203125" bestFit="1" customWidth="1"/>
    <col min="3497" max="3497" width="11" bestFit="1" customWidth="1"/>
    <col min="3498" max="3498" width="16" bestFit="1" customWidth="1"/>
    <col min="3499" max="3499" width="12.33203125" bestFit="1" customWidth="1"/>
    <col min="3500" max="3500" width="17.33203125" bestFit="1" customWidth="1"/>
    <col min="3501" max="3501" width="12.33203125" bestFit="1" customWidth="1"/>
    <col min="3502" max="3502" width="17.33203125" bestFit="1" customWidth="1"/>
    <col min="3503" max="3503" width="12.33203125" bestFit="1" customWidth="1"/>
    <col min="3504" max="3504" width="17" bestFit="1" customWidth="1"/>
    <col min="3505" max="3505" width="12.33203125" bestFit="1" customWidth="1"/>
    <col min="3506" max="3506" width="17" bestFit="1" customWidth="1"/>
    <col min="3507" max="3507" width="12.33203125" bestFit="1" customWidth="1"/>
    <col min="3508" max="3508" width="17" bestFit="1" customWidth="1"/>
    <col min="3509" max="3509" width="12.33203125" bestFit="1" customWidth="1"/>
    <col min="3510" max="3510" width="17.33203125" bestFit="1" customWidth="1"/>
    <col min="3511" max="3511" width="12.33203125" bestFit="1" customWidth="1"/>
    <col min="3512" max="3512" width="17.33203125" bestFit="1" customWidth="1"/>
    <col min="3513" max="3513" width="12.33203125" bestFit="1" customWidth="1"/>
    <col min="3514" max="3514" width="17.33203125" bestFit="1" customWidth="1"/>
    <col min="3515" max="3515" width="12.33203125" bestFit="1" customWidth="1"/>
    <col min="3516" max="3516" width="17.33203125" bestFit="1" customWidth="1"/>
    <col min="3517" max="3517" width="11" bestFit="1" customWidth="1"/>
    <col min="3518" max="3518" width="16" bestFit="1" customWidth="1"/>
    <col min="3519" max="3519" width="12.33203125" bestFit="1" customWidth="1"/>
    <col min="3520" max="3520" width="17.33203125" bestFit="1" customWidth="1"/>
    <col min="3521" max="3521" width="11" bestFit="1" customWidth="1"/>
    <col min="3522" max="3522" width="16" bestFit="1" customWidth="1"/>
    <col min="3523" max="3523" width="12.33203125" bestFit="1" customWidth="1"/>
    <col min="3524" max="3524" width="17.33203125" bestFit="1" customWidth="1"/>
    <col min="3525" max="3525" width="12.33203125" bestFit="1" customWidth="1"/>
    <col min="3526" max="3526" width="17.33203125" bestFit="1" customWidth="1"/>
    <col min="3527" max="3527" width="12.33203125" bestFit="1" customWidth="1"/>
    <col min="3528" max="3528" width="17.33203125" bestFit="1" customWidth="1"/>
    <col min="3529" max="3529" width="12.33203125" bestFit="1" customWidth="1"/>
    <col min="3530" max="3530" width="17.33203125" bestFit="1" customWidth="1"/>
    <col min="3531" max="3531" width="8.33203125" bestFit="1" customWidth="1"/>
    <col min="3532" max="3532" width="13.6640625" bestFit="1" customWidth="1"/>
    <col min="3533" max="3533" width="12.33203125" bestFit="1" customWidth="1"/>
    <col min="3534" max="3534" width="17.33203125" bestFit="1" customWidth="1"/>
    <col min="3535" max="3535" width="12.33203125" bestFit="1" customWidth="1"/>
    <col min="3536" max="3536" width="17.33203125" bestFit="1" customWidth="1"/>
    <col min="3537" max="3537" width="12.33203125" bestFit="1" customWidth="1"/>
    <col min="3538" max="3538" width="17.33203125" bestFit="1" customWidth="1"/>
    <col min="3539" max="3539" width="11" bestFit="1" customWidth="1"/>
    <col min="3540" max="3540" width="15.6640625" bestFit="1" customWidth="1"/>
    <col min="3541" max="3541" width="12.33203125" bestFit="1" customWidth="1"/>
    <col min="3542" max="3542" width="17.33203125" bestFit="1" customWidth="1"/>
    <col min="3543" max="3543" width="11" bestFit="1" customWidth="1"/>
    <col min="3544" max="3544" width="16" bestFit="1" customWidth="1"/>
    <col min="3545" max="3545" width="11" bestFit="1" customWidth="1"/>
    <col min="3546" max="3546" width="16" bestFit="1" customWidth="1"/>
    <col min="3547" max="3547" width="11" bestFit="1" customWidth="1"/>
    <col min="3548" max="3548" width="16" bestFit="1" customWidth="1"/>
    <col min="3549" max="3549" width="11" bestFit="1" customWidth="1"/>
    <col min="3550" max="3550" width="16" bestFit="1" customWidth="1"/>
    <col min="3551" max="3551" width="12.33203125" bestFit="1" customWidth="1"/>
    <col min="3552" max="3552" width="17" bestFit="1" customWidth="1"/>
    <col min="3553" max="3553" width="12.33203125" bestFit="1" customWidth="1"/>
    <col min="3554" max="3554" width="17" bestFit="1" customWidth="1"/>
    <col min="3555" max="3555" width="12.33203125" bestFit="1" customWidth="1"/>
    <col min="3556" max="3556" width="17.33203125" bestFit="1" customWidth="1"/>
    <col min="3557" max="3557" width="8.33203125" bestFit="1" customWidth="1"/>
    <col min="3558" max="3558" width="13.33203125" bestFit="1" customWidth="1"/>
    <col min="3559" max="3559" width="12.33203125" bestFit="1" customWidth="1"/>
    <col min="3560" max="3560" width="17.33203125" bestFit="1" customWidth="1"/>
    <col min="3561" max="3561" width="8.33203125" bestFit="1" customWidth="1"/>
    <col min="3562" max="3562" width="13.6640625" bestFit="1" customWidth="1"/>
    <col min="3563" max="3563" width="12.33203125" bestFit="1" customWidth="1"/>
    <col min="3564" max="3564" width="17.33203125" bestFit="1" customWidth="1"/>
    <col min="3565" max="3565" width="12.33203125" bestFit="1" customWidth="1"/>
    <col min="3566" max="3566" width="17" bestFit="1" customWidth="1"/>
    <col min="3567" max="3567" width="12.33203125" bestFit="1" customWidth="1"/>
    <col min="3568" max="3568" width="17.33203125" bestFit="1" customWidth="1"/>
    <col min="3569" max="3569" width="12.33203125" bestFit="1" customWidth="1"/>
    <col min="3570" max="3570" width="17.33203125" bestFit="1" customWidth="1"/>
    <col min="3571" max="3571" width="12.33203125" bestFit="1" customWidth="1"/>
    <col min="3572" max="3572" width="16.5546875" bestFit="1" customWidth="1"/>
    <col min="3573" max="3573" width="8.33203125" bestFit="1" customWidth="1"/>
    <col min="3574" max="3574" width="13.6640625" bestFit="1" customWidth="1"/>
    <col min="3575" max="3575" width="12.33203125" bestFit="1" customWidth="1"/>
    <col min="3576" max="3576" width="17.33203125" bestFit="1" customWidth="1"/>
    <col min="3577" max="3577" width="12.33203125" bestFit="1" customWidth="1"/>
    <col min="3578" max="3578" width="17.33203125" bestFit="1" customWidth="1"/>
    <col min="3579" max="3579" width="11" bestFit="1" customWidth="1"/>
    <col min="3580" max="3580" width="16" bestFit="1" customWidth="1"/>
    <col min="3581" max="3581" width="11" bestFit="1" customWidth="1"/>
    <col min="3582" max="3582" width="16" bestFit="1" customWidth="1"/>
    <col min="3583" max="3583" width="12.33203125" bestFit="1" customWidth="1"/>
    <col min="3584" max="3584" width="17" bestFit="1" customWidth="1"/>
    <col min="3585" max="3585" width="12.33203125" bestFit="1" customWidth="1"/>
    <col min="3586" max="3586" width="17" bestFit="1" customWidth="1"/>
    <col min="3587" max="3587" width="12.33203125" bestFit="1" customWidth="1"/>
    <col min="3588" max="3588" width="17" bestFit="1" customWidth="1"/>
    <col min="3589" max="3589" width="12.33203125" bestFit="1" customWidth="1"/>
    <col min="3590" max="3590" width="17.33203125" bestFit="1" customWidth="1"/>
    <col min="3591" max="3591" width="12.33203125" bestFit="1" customWidth="1"/>
    <col min="3592" max="3592" width="17" bestFit="1" customWidth="1"/>
    <col min="3593" max="3593" width="12.33203125" bestFit="1" customWidth="1"/>
    <col min="3594" max="3594" width="17" bestFit="1" customWidth="1"/>
    <col min="3595" max="3595" width="12.33203125" bestFit="1" customWidth="1"/>
    <col min="3596" max="3596" width="17" bestFit="1" customWidth="1"/>
    <col min="3597" max="3597" width="12.33203125" bestFit="1" customWidth="1"/>
    <col min="3598" max="3598" width="17.33203125" bestFit="1" customWidth="1"/>
    <col min="3599" max="3599" width="11" bestFit="1" customWidth="1"/>
    <col min="3600" max="3600" width="16" bestFit="1" customWidth="1"/>
    <col min="3601" max="3601" width="12.33203125" bestFit="1" customWidth="1"/>
    <col min="3602" max="3602" width="17.33203125" bestFit="1" customWidth="1"/>
    <col min="3603" max="3603" width="12.33203125" bestFit="1" customWidth="1"/>
    <col min="3604" max="3604" width="17" bestFit="1" customWidth="1"/>
    <col min="3605" max="3605" width="11" bestFit="1" customWidth="1"/>
    <col min="3606" max="3606" width="16" bestFit="1" customWidth="1"/>
    <col min="3607" max="3607" width="12.33203125" bestFit="1" customWidth="1"/>
    <col min="3608" max="3608" width="17.33203125" bestFit="1" customWidth="1"/>
    <col min="3609" max="3609" width="12.33203125" bestFit="1" customWidth="1"/>
    <col min="3610" max="3610" width="17.33203125" bestFit="1" customWidth="1"/>
    <col min="3611" max="3611" width="11" bestFit="1" customWidth="1"/>
    <col min="3612" max="3612" width="16" bestFit="1" customWidth="1"/>
    <col min="3613" max="3613" width="12.33203125" bestFit="1" customWidth="1"/>
    <col min="3614" max="3614" width="17.33203125" bestFit="1" customWidth="1"/>
    <col min="3615" max="3615" width="11" bestFit="1" customWidth="1"/>
    <col min="3616" max="3616" width="15.6640625" bestFit="1" customWidth="1"/>
    <col min="3617" max="3617" width="12.33203125" bestFit="1" customWidth="1"/>
    <col min="3618" max="3618" width="17" bestFit="1" customWidth="1"/>
    <col min="3619" max="3619" width="11" bestFit="1" customWidth="1"/>
    <col min="3620" max="3620" width="15.6640625" bestFit="1" customWidth="1"/>
    <col min="3621" max="3621" width="11" bestFit="1" customWidth="1"/>
    <col min="3622" max="3622" width="16" bestFit="1" customWidth="1"/>
    <col min="3623" max="3623" width="12.33203125" bestFit="1" customWidth="1"/>
    <col min="3624" max="3624" width="17.33203125" bestFit="1" customWidth="1"/>
    <col min="3625" max="3625" width="12.33203125" bestFit="1" customWidth="1"/>
    <col min="3626" max="3626" width="17.33203125" bestFit="1" customWidth="1"/>
    <col min="3627" max="3627" width="12.33203125" bestFit="1" customWidth="1"/>
    <col min="3628" max="3628" width="17.33203125" bestFit="1" customWidth="1"/>
    <col min="3629" max="3629" width="12.33203125" bestFit="1" customWidth="1"/>
    <col min="3630" max="3630" width="17.33203125" bestFit="1" customWidth="1"/>
    <col min="3631" max="3631" width="12.33203125" bestFit="1" customWidth="1"/>
    <col min="3632" max="3632" width="16.5546875" bestFit="1" customWidth="1"/>
    <col min="3633" max="3633" width="12.33203125" bestFit="1" customWidth="1"/>
    <col min="3634" max="3634" width="17" bestFit="1" customWidth="1"/>
    <col min="3635" max="3635" width="11" bestFit="1" customWidth="1"/>
    <col min="3636" max="3636" width="16" bestFit="1" customWidth="1"/>
    <col min="3637" max="3637" width="12.33203125" bestFit="1" customWidth="1"/>
    <col min="3638" max="3638" width="17.33203125" bestFit="1" customWidth="1"/>
    <col min="3639" max="3639" width="11" bestFit="1" customWidth="1"/>
    <col min="3640" max="3640" width="16" bestFit="1" customWidth="1"/>
    <col min="3641" max="3641" width="12.33203125" bestFit="1" customWidth="1"/>
    <col min="3642" max="3642" width="17.33203125" bestFit="1" customWidth="1"/>
    <col min="3643" max="3643" width="12.33203125" bestFit="1" customWidth="1"/>
    <col min="3644" max="3644" width="17.33203125" bestFit="1" customWidth="1"/>
    <col min="3645" max="3645" width="12.33203125" bestFit="1" customWidth="1"/>
    <col min="3646" max="3646" width="17.33203125" bestFit="1" customWidth="1"/>
    <col min="3647" max="3647" width="12.33203125" bestFit="1" customWidth="1"/>
    <col min="3648" max="3648" width="17.33203125" bestFit="1" customWidth="1"/>
    <col min="3649" max="3649" width="12.33203125" bestFit="1" customWidth="1"/>
    <col min="3650" max="3650" width="17.33203125" bestFit="1" customWidth="1"/>
    <col min="3651" max="3651" width="12.33203125" bestFit="1" customWidth="1"/>
    <col min="3652" max="3652" width="17.33203125" bestFit="1" customWidth="1"/>
    <col min="3653" max="3653" width="12.33203125" bestFit="1" customWidth="1"/>
    <col min="3654" max="3654" width="16.5546875" bestFit="1" customWidth="1"/>
    <col min="3655" max="3655" width="11" bestFit="1" customWidth="1"/>
    <col min="3656" max="3656" width="16" bestFit="1" customWidth="1"/>
    <col min="3657" max="3657" width="12.33203125" bestFit="1" customWidth="1"/>
    <col min="3658" max="3658" width="17" bestFit="1" customWidth="1"/>
    <col min="3659" max="3659" width="11" bestFit="1" customWidth="1"/>
    <col min="3660" max="3660" width="14.6640625" bestFit="1" customWidth="1"/>
    <col min="3661" max="3661" width="12.33203125" bestFit="1" customWidth="1"/>
    <col min="3662" max="3662" width="17" bestFit="1" customWidth="1"/>
    <col min="3663" max="3663" width="12.33203125" bestFit="1" customWidth="1"/>
    <col min="3664" max="3664" width="16.5546875" bestFit="1" customWidth="1"/>
    <col min="3665" max="3665" width="12.33203125" bestFit="1" customWidth="1"/>
    <col min="3666" max="3666" width="17" bestFit="1" customWidth="1"/>
    <col min="3667" max="3667" width="12.33203125" bestFit="1" customWidth="1"/>
    <col min="3668" max="3668" width="17.33203125" bestFit="1" customWidth="1"/>
    <col min="3669" max="3669" width="11" bestFit="1" customWidth="1"/>
    <col min="3670" max="3670" width="15.6640625" bestFit="1" customWidth="1"/>
    <col min="3671" max="3671" width="12.33203125" bestFit="1" customWidth="1"/>
    <col min="3672" max="3672" width="17.33203125" bestFit="1" customWidth="1"/>
    <col min="3673" max="3673" width="11" bestFit="1" customWidth="1"/>
    <col min="3674" max="3674" width="15.6640625" bestFit="1" customWidth="1"/>
    <col min="3675" max="3675" width="12.33203125" bestFit="1" customWidth="1"/>
    <col min="3676" max="3676" width="17.33203125" bestFit="1" customWidth="1"/>
    <col min="3677" max="3677" width="12.33203125" bestFit="1" customWidth="1"/>
    <col min="3678" max="3678" width="17.33203125" bestFit="1" customWidth="1"/>
    <col min="3679" max="3679" width="12.33203125" bestFit="1" customWidth="1"/>
    <col min="3680" max="3680" width="17" bestFit="1" customWidth="1"/>
    <col min="3681" max="3681" width="12.33203125" bestFit="1" customWidth="1"/>
    <col min="3682" max="3682" width="17.33203125" bestFit="1" customWidth="1"/>
    <col min="3683" max="3683" width="12.33203125" bestFit="1" customWidth="1"/>
    <col min="3684" max="3684" width="17" bestFit="1" customWidth="1"/>
    <col min="3685" max="3685" width="12.33203125" bestFit="1" customWidth="1"/>
    <col min="3686" max="3686" width="17.33203125" bestFit="1" customWidth="1"/>
    <col min="3687" max="3687" width="12.33203125" bestFit="1" customWidth="1"/>
    <col min="3688" max="3688" width="17.33203125" bestFit="1" customWidth="1"/>
    <col min="3689" max="3689" width="12.33203125" bestFit="1" customWidth="1"/>
    <col min="3690" max="3690" width="17.33203125" bestFit="1" customWidth="1"/>
    <col min="3691" max="3691" width="11" bestFit="1" customWidth="1"/>
    <col min="3692" max="3692" width="16" bestFit="1" customWidth="1"/>
    <col min="3693" max="3693" width="12.33203125" bestFit="1" customWidth="1"/>
    <col min="3694" max="3694" width="16.5546875" bestFit="1" customWidth="1"/>
    <col min="3695" max="3695" width="12.33203125" bestFit="1" customWidth="1"/>
    <col min="3696" max="3696" width="17.33203125" bestFit="1" customWidth="1"/>
    <col min="3697" max="3697" width="12.33203125" bestFit="1" customWidth="1"/>
    <col min="3698" max="3698" width="17" bestFit="1" customWidth="1"/>
    <col min="3699" max="3699" width="12.33203125" bestFit="1" customWidth="1"/>
    <col min="3700" max="3700" width="17.33203125" bestFit="1" customWidth="1"/>
    <col min="3701" max="3701" width="11" bestFit="1" customWidth="1"/>
    <col min="3702" max="3702" width="16" bestFit="1" customWidth="1"/>
    <col min="3703" max="3703" width="12.33203125" bestFit="1" customWidth="1"/>
    <col min="3704" max="3704" width="17" bestFit="1" customWidth="1"/>
    <col min="3705" max="3705" width="11" bestFit="1" customWidth="1"/>
    <col min="3706" max="3706" width="15" bestFit="1" customWidth="1"/>
    <col min="3707" max="3707" width="11" bestFit="1" customWidth="1"/>
    <col min="3708" max="3708" width="16" bestFit="1" customWidth="1"/>
    <col min="3709" max="3709" width="12.33203125" bestFit="1" customWidth="1"/>
    <col min="3710" max="3710" width="17.33203125" bestFit="1" customWidth="1"/>
    <col min="3711" max="3711" width="12.33203125" bestFit="1" customWidth="1"/>
    <col min="3712" max="3712" width="17.33203125" bestFit="1" customWidth="1"/>
    <col min="3713" max="3713" width="11" bestFit="1" customWidth="1"/>
    <col min="3714" max="3714" width="16" bestFit="1" customWidth="1"/>
    <col min="3715" max="3715" width="8.33203125" bestFit="1" customWidth="1"/>
    <col min="3716" max="3716" width="13.6640625" bestFit="1" customWidth="1"/>
    <col min="3717" max="3717" width="11" bestFit="1" customWidth="1"/>
    <col min="3718" max="3718" width="16" bestFit="1" customWidth="1"/>
    <col min="3719" max="3719" width="12.33203125" bestFit="1" customWidth="1"/>
    <col min="3720" max="3720" width="17.33203125" bestFit="1" customWidth="1"/>
    <col min="3721" max="3721" width="12.33203125" bestFit="1" customWidth="1"/>
    <col min="3722" max="3722" width="17" bestFit="1" customWidth="1"/>
    <col min="3723" max="3723" width="12.33203125" bestFit="1" customWidth="1"/>
    <col min="3724" max="3724" width="17.33203125" bestFit="1" customWidth="1"/>
    <col min="3725" max="3725" width="12.33203125" bestFit="1" customWidth="1"/>
    <col min="3726" max="3726" width="17" bestFit="1" customWidth="1"/>
    <col min="3727" max="3727" width="8.33203125" bestFit="1" customWidth="1"/>
    <col min="3728" max="3728" width="13.6640625" bestFit="1" customWidth="1"/>
    <col min="3729" max="3729" width="12.33203125" bestFit="1" customWidth="1"/>
    <col min="3730" max="3730" width="17.33203125" bestFit="1" customWidth="1"/>
    <col min="3731" max="3731" width="12.33203125" bestFit="1" customWidth="1"/>
    <col min="3732" max="3732" width="17.33203125" bestFit="1" customWidth="1"/>
    <col min="3733" max="3733" width="12.33203125" bestFit="1" customWidth="1"/>
    <col min="3734" max="3734" width="17" bestFit="1" customWidth="1"/>
    <col min="3735" max="3735" width="11" bestFit="1" customWidth="1"/>
    <col min="3736" max="3736" width="16" bestFit="1" customWidth="1"/>
    <col min="3737" max="3737" width="11" bestFit="1" customWidth="1"/>
    <col min="3738" max="3738" width="16" bestFit="1" customWidth="1"/>
    <col min="3739" max="3739" width="11" bestFit="1" customWidth="1"/>
    <col min="3740" max="3740" width="16" bestFit="1" customWidth="1"/>
    <col min="3741" max="3741" width="12.33203125" bestFit="1" customWidth="1"/>
    <col min="3742" max="3742" width="16.5546875" bestFit="1" customWidth="1"/>
    <col min="3743" max="3743" width="12.33203125" bestFit="1" customWidth="1"/>
    <col min="3744" max="3744" width="17" bestFit="1" customWidth="1"/>
    <col min="3745" max="3745" width="12.33203125" bestFit="1" customWidth="1"/>
    <col min="3746" max="3746" width="17" bestFit="1" customWidth="1"/>
    <col min="3747" max="3747" width="12.33203125" bestFit="1" customWidth="1"/>
    <col min="3748" max="3748" width="17.33203125" bestFit="1" customWidth="1"/>
    <col min="3749" max="3749" width="11" bestFit="1" customWidth="1"/>
    <col min="3750" max="3750" width="16" bestFit="1" customWidth="1"/>
    <col min="3751" max="3751" width="11" bestFit="1" customWidth="1"/>
    <col min="3752" max="3752" width="16" bestFit="1" customWidth="1"/>
    <col min="3753" max="3753" width="11" bestFit="1" customWidth="1"/>
    <col min="3754" max="3754" width="16" bestFit="1" customWidth="1"/>
    <col min="3755" max="3755" width="12.33203125" bestFit="1" customWidth="1"/>
    <col min="3756" max="3756" width="17.33203125" bestFit="1" customWidth="1"/>
    <col min="3757" max="3757" width="12.33203125" bestFit="1" customWidth="1"/>
    <col min="3758" max="3758" width="17.33203125" bestFit="1" customWidth="1"/>
    <col min="3759" max="3759" width="12.33203125" bestFit="1" customWidth="1"/>
    <col min="3760" max="3760" width="17.33203125" bestFit="1" customWidth="1"/>
    <col min="3761" max="3761" width="11" bestFit="1" customWidth="1"/>
    <col min="3762" max="3762" width="16" bestFit="1" customWidth="1"/>
    <col min="3763" max="3763" width="12.33203125" bestFit="1" customWidth="1"/>
    <col min="3764" max="3764" width="17.33203125" bestFit="1" customWidth="1"/>
    <col min="3765" max="3765" width="12.33203125" bestFit="1" customWidth="1"/>
    <col min="3766" max="3766" width="17.33203125" bestFit="1" customWidth="1"/>
    <col min="3767" max="3767" width="12.33203125" bestFit="1" customWidth="1"/>
    <col min="3768" max="3768" width="17.33203125" bestFit="1" customWidth="1"/>
    <col min="3769" max="3769" width="12.33203125" bestFit="1" customWidth="1"/>
    <col min="3770" max="3770" width="17.33203125" bestFit="1" customWidth="1"/>
    <col min="3771" max="3771" width="11" bestFit="1" customWidth="1"/>
    <col min="3772" max="3772" width="16" bestFit="1" customWidth="1"/>
    <col min="3773" max="3773" width="11" bestFit="1" customWidth="1"/>
    <col min="3774" max="3774" width="16" bestFit="1" customWidth="1"/>
    <col min="3775" max="3775" width="12.33203125" bestFit="1" customWidth="1"/>
    <col min="3776" max="3776" width="17" bestFit="1" customWidth="1"/>
    <col min="3777" max="3777" width="8.33203125" bestFit="1" customWidth="1"/>
    <col min="3778" max="3778" width="13.6640625" bestFit="1" customWidth="1"/>
    <col min="3779" max="3779" width="12.33203125" bestFit="1" customWidth="1"/>
    <col min="3780" max="3780" width="17.33203125" bestFit="1" customWidth="1"/>
    <col min="3781" max="3781" width="11" bestFit="1" customWidth="1"/>
    <col min="3782" max="3782" width="15.6640625" bestFit="1" customWidth="1"/>
    <col min="3783" max="3783" width="12.33203125" bestFit="1" customWidth="1"/>
    <col min="3784" max="3784" width="17" bestFit="1" customWidth="1"/>
    <col min="3785" max="3785" width="12.33203125" bestFit="1" customWidth="1"/>
    <col min="3786" max="3786" width="17.33203125" bestFit="1" customWidth="1"/>
    <col min="3787" max="3787" width="11" bestFit="1" customWidth="1"/>
    <col min="3788" max="3788" width="16" bestFit="1" customWidth="1"/>
    <col min="3789" max="3789" width="11" bestFit="1" customWidth="1"/>
    <col min="3790" max="3790" width="15.6640625" bestFit="1" customWidth="1"/>
    <col min="3791" max="3791" width="11" bestFit="1" customWidth="1"/>
    <col min="3792" max="3792" width="15.6640625" bestFit="1" customWidth="1"/>
    <col min="3793" max="3793" width="12.33203125" bestFit="1" customWidth="1"/>
    <col min="3794" max="3794" width="17" bestFit="1" customWidth="1"/>
    <col min="3795" max="3795" width="11" bestFit="1" customWidth="1"/>
    <col min="3796" max="3796" width="15.6640625" bestFit="1" customWidth="1"/>
    <col min="3797" max="3797" width="11" bestFit="1" customWidth="1"/>
    <col min="3798" max="3798" width="16" bestFit="1" customWidth="1"/>
    <col min="3799" max="3799" width="8.33203125" bestFit="1" customWidth="1"/>
    <col min="3800" max="3800" width="13.6640625" bestFit="1" customWidth="1"/>
    <col min="3801" max="3801" width="11" bestFit="1" customWidth="1"/>
    <col min="3802" max="3802" width="15.6640625" bestFit="1" customWidth="1"/>
    <col min="3803" max="3803" width="11" bestFit="1" customWidth="1"/>
    <col min="3804" max="3804" width="16" bestFit="1" customWidth="1"/>
    <col min="3805" max="3805" width="11" bestFit="1" customWidth="1"/>
    <col min="3806" max="3806" width="16" bestFit="1" customWidth="1"/>
    <col min="3807" max="3807" width="11" bestFit="1" customWidth="1"/>
    <col min="3808" max="3808" width="16" bestFit="1" customWidth="1"/>
    <col min="3809" max="3809" width="11" bestFit="1" customWidth="1"/>
    <col min="3810" max="3810" width="16" bestFit="1" customWidth="1"/>
    <col min="3811" max="3811" width="12.33203125" bestFit="1" customWidth="1"/>
    <col min="3812" max="3812" width="17.33203125" bestFit="1" customWidth="1"/>
    <col min="3813" max="3813" width="12.33203125" bestFit="1" customWidth="1"/>
    <col min="3814" max="3814" width="17" bestFit="1" customWidth="1"/>
    <col min="3815" max="3815" width="12.33203125" bestFit="1" customWidth="1"/>
    <col min="3816" max="3816" width="17.33203125" bestFit="1" customWidth="1"/>
    <col min="3817" max="3817" width="12.33203125" bestFit="1" customWidth="1"/>
    <col min="3818" max="3818" width="17.33203125" bestFit="1" customWidth="1"/>
    <col min="3819" max="3819" width="12.33203125" bestFit="1" customWidth="1"/>
    <col min="3820" max="3820" width="17.33203125" bestFit="1" customWidth="1"/>
    <col min="3821" max="3821" width="11" bestFit="1" customWidth="1"/>
    <col min="3822" max="3822" width="16" bestFit="1" customWidth="1"/>
    <col min="3823" max="3823" width="11" bestFit="1" customWidth="1"/>
    <col min="3824" max="3824" width="15.6640625" bestFit="1" customWidth="1"/>
    <col min="3825" max="3825" width="11" bestFit="1" customWidth="1"/>
    <col min="3826" max="3826" width="15" bestFit="1" customWidth="1"/>
    <col min="3827" max="3827" width="11" bestFit="1" customWidth="1"/>
    <col min="3828" max="3828" width="15" bestFit="1" customWidth="1"/>
    <col min="3829" max="3829" width="11" bestFit="1" customWidth="1"/>
    <col min="3830" max="3830" width="15" bestFit="1" customWidth="1"/>
    <col min="3831" max="3831" width="11" bestFit="1" customWidth="1"/>
    <col min="3832" max="3832" width="15" bestFit="1" customWidth="1"/>
    <col min="3833" max="3833" width="12.33203125" bestFit="1" customWidth="1"/>
    <col min="3834" max="3834" width="17" bestFit="1" customWidth="1"/>
    <col min="3835" max="3835" width="11" bestFit="1" customWidth="1"/>
    <col min="3836" max="3836" width="15.6640625" bestFit="1" customWidth="1"/>
    <col min="3837" max="3837" width="12.33203125" bestFit="1" customWidth="1"/>
    <col min="3838" max="3838" width="16.5546875" bestFit="1" customWidth="1"/>
    <col min="3839" max="3839" width="11" bestFit="1" customWidth="1"/>
    <col min="3840" max="3840" width="15.6640625" bestFit="1" customWidth="1"/>
    <col min="3841" max="3841" width="12.33203125" bestFit="1" customWidth="1"/>
    <col min="3842" max="3842" width="17" bestFit="1" customWidth="1"/>
    <col min="3843" max="3843" width="12.33203125" bestFit="1" customWidth="1"/>
    <col min="3844" max="3844" width="17" bestFit="1" customWidth="1"/>
    <col min="3845" max="3845" width="12.33203125" bestFit="1" customWidth="1"/>
    <col min="3846" max="3846" width="17" bestFit="1" customWidth="1"/>
    <col min="3847" max="3847" width="11" bestFit="1" customWidth="1"/>
    <col min="3848" max="3848" width="15.6640625" bestFit="1" customWidth="1"/>
    <col min="3849" max="3849" width="12.33203125" bestFit="1" customWidth="1"/>
    <col min="3850" max="3850" width="16.5546875" bestFit="1" customWidth="1"/>
    <col min="3851" max="3851" width="12.33203125" bestFit="1" customWidth="1"/>
    <col min="3852" max="3852" width="17.33203125" bestFit="1" customWidth="1"/>
    <col min="3853" max="3853" width="12.33203125" bestFit="1" customWidth="1"/>
    <col min="3854" max="3854" width="16.5546875" bestFit="1" customWidth="1"/>
    <col min="3855" max="3855" width="12.33203125" bestFit="1" customWidth="1"/>
    <col min="3856" max="3856" width="17.33203125" bestFit="1" customWidth="1"/>
    <col min="3857" max="3857" width="11" bestFit="1" customWidth="1"/>
    <col min="3858" max="3858" width="15.6640625" bestFit="1" customWidth="1"/>
    <col min="3859" max="3859" width="11" bestFit="1" customWidth="1"/>
    <col min="3860" max="3860" width="16" bestFit="1" customWidth="1"/>
    <col min="3861" max="3861" width="11" bestFit="1" customWidth="1"/>
    <col min="3862" max="3862" width="16" bestFit="1" customWidth="1"/>
    <col min="3863" max="3863" width="11" bestFit="1" customWidth="1"/>
    <col min="3864" max="3864" width="16" bestFit="1" customWidth="1"/>
    <col min="3865" max="3865" width="12.33203125" bestFit="1" customWidth="1"/>
    <col min="3866" max="3866" width="17" bestFit="1" customWidth="1"/>
    <col min="3867" max="3867" width="11" bestFit="1" customWidth="1"/>
    <col min="3868" max="3868" width="16" bestFit="1" customWidth="1"/>
    <col min="3869" max="3869" width="12.33203125" bestFit="1" customWidth="1"/>
    <col min="3870" max="3870" width="17.33203125" bestFit="1" customWidth="1"/>
    <col min="3871" max="3871" width="11" bestFit="1" customWidth="1"/>
    <col min="3872" max="3872" width="16" bestFit="1" customWidth="1"/>
    <col min="3873" max="3873" width="12.33203125" bestFit="1" customWidth="1"/>
    <col min="3874" max="3874" width="17" bestFit="1" customWidth="1"/>
    <col min="3875" max="3875" width="8.33203125" bestFit="1" customWidth="1"/>
    <col min="3876" max="3876" width="13.6640625" bestFit="1" customWidth="1"/>
    <col min="3877" max="3877" width="11" bestFit="1" customWidth="1"/>
    <col min="3878" max="3878" width="16" bestFit="1" customWidth="1"/>
    <col min="3879" max="3879" width="12.33203125" bestFit="1" customWidth="1"/>
    <col min="3880" max="3880" width="16.5546875" bestFit="1" customWidth="1"/>
    <col min="3881" max="3881" width="11" bestFit="1" customWidth="1"/>
    <col min="3882" max="3882" width="16" bestFit="1" customWidth="1"/>
    <col min="3883" max="3883" width="11" bestFit="1" customWidth="1"/>
    <col min="3884" max="3884" width="15" bestFit="1" customWidth="1"/>
    <col min="3885" max="3885" width="12.33203125" bestFit="1" customWidth="1"/>
    <col min="3886" max="3886" width="17.33203125" bestFit="1" customWidth="1"/>
    <col min="3887" max="3887" width="12.33203125" bestFit="1" customWidth="1"/>
    <col min="3888" max="3888" width="17" bestFit="1" customWidth="1"/>
    <col min="3889" max="3889" width="12.33203125" bestFit="1" customWidth="1"/>
    <col min="3890" max="3890" width="17.33203125" bestFit="1" customWidth="1"/>
    <col min="3891" max="3891" width="12.33203125" bestFit="1" customWidth="1"/>
    <col min="3892" max="3892" width="17.33203125" bestFit="1" customWidth="1"/>
    <col min="3893" max="3893" width="12.33203125" bestFit="1" customWidth="1"/>
    <col min="3894" max="3894" width="17.33203125" bestFit="1" customWidth="1"/>
    <col min="3895" max="3895" width="12.33203125" bestFit="1" customWidth="1"/>
    <col min="3896" max="3896" width="17.33203125" bestFit="1" customWidth="1"/>
    <col min="3897" max="3897" width="11" bestFit="1" customWidth="1"/>
    <col min="3898" max="3898" width="16" bestFit="1" customWidth="1"/>
    <col min="3899" max="3899" width="11" bestFit="1" customWidth="1"/>
    <col min="3900" max="3900" width="16" bestFit="1" customWidth="1"/>
    <col min="3901" max="3901" width="11" bestFit="1" customWidth="1"/>
    <col min="3902" max="3902" width="16" bestFit="1" customWidth="1"/>
    <col min="3903" max="3903" width="12.33203125" bestFit="1" customWidth="1"/>
    <col min="3904" max="3904" width="17.33203125" bestFit="1" customWidth="1"/>
    <col min="3905" max="3905" width="11" bestFit="1" customWidth="1"/>
    <col min="3906" max="3906" width="16" bestFit="1" customWidth="1"/>
    <col min="3907" max="3907" width="12.33203125" bestFit="1" customWidth="1"/>
    <col min="3908" max="3908" width="17.33203125" bestFit="1" customWidth="1"/>
    <col min="3909" max="3909" width="12.33203125" bestFit="1" customWidth="1"/>
    <col min="3910" max="3910" width="17.33203125" bestFit="1" customWidth="1"/>
    <col min="3911" max="3911" width="12.33203125" bestFit="1" customWidth="1"/>
    <col min="3912" max="3912" width="17.33203125" bestFit="1" customWidth="1"/>
    <col min="3913" max="3913" width="12.33203125" bestFit="1" customWidth="1"/>
    <col min="3914" max="3914" width="17.33203125" bestFit="1" customWidth="1"/>
    <col min="3915" max="3915" width="12.33203125" bestFit="1" customWidth="1"/>
    <col min="3916" max="3916" width="17.33203125" bestFit="1" customWidth="1"/>
    <col min="3917" max="3917" width="11" bestFit="1" customWidth="1"/>
    <col min="3918" max="3918" width="16" bestFit="1" customWidth="1"/>
    <col min="3919" max="3919" width="11" bestFit="1" customWidth="1"/>
    <col min="3920" max="3920" width="16" bestFit="1" customWidth="1"/>
    <col min="3921" max="3921" width="11" bestFit="1" customWidth="1"/>
    <col min="3922" max="3922" width="16" bestFit="1" customWidth="1"/>
    <col min="3923" max="3923" width="11" bestFit="1" customWidth="1"/>
    <col min="3924" max="3924" width="16" bestFit="1" customWidth="1"/>
    <col min="3925" max="3925" width="11" bestFit="1" customWidth="1"/>
    <col min="3926" max="3926" width="16" bestFit="1" customWidth="1"/>
    <col min="3927" max="3927" width="12.33203125" bestFit="1" customWidth="1"/>
    <col min="3928" max="3928" width="17.33203125" bestFit="1" customWidth="1"/>
    <col min="3929" max="3929" width="11" bestFit="1" customWidth="1"/>
    <col min="3930" max="3930" width="16" bestFit="1" customWidth="1"/>
    <col min="3931" max="3931" width="11" bestFit="1" customWidth="1"/>
    <col min="3932" max="3932" width="15.6640625" bestFit="1" customWidth="1"/>
    <col min="3933" max="3933" width="11" bestFit="1" customWidth="1"/>
    <col min="3934" max="3934" width="16" bestFit="1" customWidth="1"/>
    <col min="3935" max="3935" width="11" bestFit="1" customWidth="1"/>
    <col min="3936" max="3936" width="15.6640625" bestFit="1" customWidth="1"/>
    <col min="3937" max="3937" width="11" bestFit="1" customWidth="1"/>
    <col min="3938" max="3938" width="16" bestFit="1" customWidth="1"/>
    <col min="3939" max="3939" width="11" bestFit="1" customWidth="1"/>
    <col min="3940" max="3940" width="15.6640625" bestFit="1" customWidth="1"/>
    <col min="3941" max="3941" width="8.33203125" bestFit="1" customWidth="1"/>
    <col min="3942" max="3942" width="13.33203125" bestFit="1" customWidth="1"/>
    <col min="3943" max="3943" width="11" bestFit="1" customWidth="1"/>
    <col min="3944" max="3944" width="16" bestFit="1" customWidth="1"/>
    <col min="3945" max="3945" width="11" bestFit="1" customWidth="1"/>
    <col min="3946" max="3946" width="15.6640625" bestFit="1" customWidth="1"/>
    <col min="3947" max="3947" width="8.33203125" bestFit="1" customWidth="1"/>
    <col min="3948" max="3948" width="13.6640625" bestFit="1" customWidth="1"/>
    <col min="3949" max="3949" width="11" bestFit="1" customWidth="1"/>
    <col min="3950" max="3950" width="16" bestFit="1" customWidth="1"/>
    <col min="3951" max="3951" width="11" bestFit="1" customWidth="1"/>
    <col min="3952" max="3952" width="16" bestFit="1" customWidth="1"/>
    <col min="3953" max="3953" width="11" bestFit="1" customWidth="1"/>
    <col min="3954" max="3954" width="16" bestFit="1" customWidth="1"/>
    <col min="3955" max="3955" width="11" bestFit="1" customWidth="1"/>
    <col min="3956" max="3956" width="16" bestFit="1" customWidth="1"/>
    <col min="3957" max="3957" width="11" bestFit="1" customWidth="1"/>
    <col min="3958" max="3958" width="16" bestFit="1" customWidth="1"/>
    <col min="3959" max="3959" width="11" bestFit="1" customWidth="1"/>
    <col min="3960" max="3960" width="15.6640625" bestFit="1" customWidth="1"/>
    <col min="3961" max="3961" width="11" bestFit="1" customWidth="1"/>
    <col min="3962" max="3962" width="15.6640625" bestFit="1" customWidth="1"/>
    <col min="3963" max="3963" width="8.33203125" bestFit="1" customWidth="1"/>
    <col min="3964" max="3964" width="13.6640625" bestFit="1" customWidth="1"/>
    <col min="3965" max="3965" width="11" bestFit="1" customWidth="1"/>
    <col min="3966" max="3966" width="16" bestFit="1" customWidth="1"/>
    <col min="3967" max="3967" width="11" bestFit="1" customWidth="1"/>
    <col min="3968" max="3968" width="15.6640625" bestFit="1" customWidth="1"/>
    <col min="3969" max="3969" width="11" bestFit="1" customWidth="1"/>
    <col min="3970" max="3970" width="15.6640625" bestFit="1" customWidth="1"/>
    <col min="3971" max="3971" width="11" bestFit="1" customWidth="1"/>
    <col min="3972" max="3972" width="15.6640625" bestFit="1" customWidth="1"/>
    <col min="3973" max="3973" width="11" bestFit="1" customWidth="1"/>
    <col min="3974" max="3974" width="16" bestFit="1" customWidth="1"/>
    <col min="3975" max="3975" width="11" bestFit="1" customWidth="1"/>
    <col min="3976" max="3976" width="15.6640625" bestFit="1" customWidth="1"/>
    <col min="3977" max="3977" width="11" bestFit="1" customWidth="1"/>
    <col min="3978" max="3978" width="15.6640625" bestFit="1" customWidth="1"/>
    <col min="3979" max="3979" width="11" bestFit="1" customWidth="1"/>
    <col min="3980" max="3980" width="16" bestFit="1" customWidth="1"/>
    <col min="3981" max="3981" width="15.77734375" bestFit="1" customWidth="1"/>
    <col min="3982" max="3982" width="10" bestFit="1" customWidth="1"/>
    <col min="3983" max="3983" width="6.6640625" bestFit="1" customWidth="1"/>
    <col min="3984" max="3984" width="12.21875" bestFit="1" customWidth="1"/>
    <col min="3985" max="3985" width="9" bestFit="1" customWidth="1"/>
    <col min="3986" max="3986" width="6.6640625" bestFit="1" customWidth="1"/>
    <col min="3987" max="3987" width="11.21875" bestFit="1" customWidth="1"/>
    <col min="3988" max="3988" width="10" bestFit="1" customWidth="1"/>
    <col min="3989" max="3989" width="6.6640625" bestFit="1" customWidth="1"/>
    <col min="3990" max="3990" width="12.21875" bestFit="1" customWidth="1"/>
    <col min="3991" max="3991" width="10" bestFit="1" customWidth="1"/>
    <col min="3992" max="3992" width="6.6640625" bestFit="1" customWidth="1"/>
    <col min="3993" max="3993" width="12.21875" bestFit="1" customWidth="1"/>
    <col min="3994" max="3994" width="9" bestFit="1" customWidth="1"/>
    <col min="3995" max="3995" width="7.6640625" bestFit="1" customWidth="1"/>
    <col min="3996" max="3996" width="11.21875" bestFit="1" customWidth="1"/>
    <col min="3997" max="3997" width="10" bestFit="1" customWidth="1"/>
    <col min="3998" max="3998" width="6.6640625" bestFit="1" customWidth="1"/>
    <col min="3999" max="3999" width="12.21875" bestFit="1" customWidth="1"/>
    <col min="4000" max="4000" width="10" bestFit="1" customWidth="1"/>
    <col min="4001" max="4001" width="6.6640625" bestFit="1" customWidth="1"/>
    <col min="4002" max="4002" width="12.21875" bestFit="1" customWidth="1"/>
    <col min="4003" max="4003" width="9" bestFit="1" customWidth="1"/>
    <col min="4004" max="4004" width="7.6640625" bestFit="1" customWidth="1"/>
    <col min="4005" max="4005" width="11.21875" bestFit="1" customWidth="1"/>
    <col min="4006" max="4006" width="7" bestFit="1" customWidth="1"/>
    <col min="4007" max="4007" width="6.6640625" bestFit="1" customWidth="1"/>
    <col min="4008" max="4008" width="9.6640625" bestFit="1" customWidth="1"/>
    <col min="4009" max="4009" width="10" bestFit="1" customWidth="1"/>
    <col min="4010" max="4010" width="6.6640625" bestFit="1" customWidth="1"/>
    <col min="4011" max="4011" width="12.21875" bestFit="1" customWidth="1"/>
    <col min="4012" max="4012" width="10" bestFit="1" customWidth="1"/>
    <col min="4013" max="4013" width="6.6640625" bestFit="1" customWidth="1"/>
    <col min="4014" max="4014" width="12.21875" bestFit="1" customWidth="1"/>
    <col min="4015" max="4015" width="10" bestFit="1" customWidth="1"/>
    <col min="4016" max="4016" width="6.6640625" bestFit="1" customWidth="1"/>
    <col min="4017" max="4017" width="12.21875" bestFit="1" customWidth="1"/>
    <col min="4018" max="4018" width="9" bestFit="1" customWidth="1"/>
    <col min="4019" max="4019" width="6.6640625" bestFit="1" customWidth="1"/>
    <col min="4020" max="4020" width="11.21875" bestFit="1" customWidth="1"/>
    <col min="4021" max="4021" width="10" bestFit="1" customWidth="1"/>
    <col min="4022" max="4022" width="6.6640625" bestFit="1" customWidth="1"/>
    <col min="4023" max="4023" width="12.21875" bestFit="1" customWidth="1"/>
    <col min="4024" max="4024" width="10" bestFit="1" customWidth="1"/>
    <col min="4025" max="4025" width="6.6640625" bestFit="1" customWidth="1"/>
    <col min="4026" max="4026" width="12.21875" bestFit="1" customWidth="1"/>
    <col min="4027" max="4027" width="10" bestFit="1" customWidth="1"/>
    <col min="4028" max="4028" width="6.6640625" bestFit="1" customWidth="1"/>
    <col min="4029" max="4029" width="12.21875" bestFit="1" customWidth="1"/>
    <col min="4030" max="4030" width="10" bestFit="1" customWidth="1"/>
    <col min="4031" max="4031" width="6.6640625" bestFit="1" customWidth="1"/>
    <col min="4032" max="4032" width="12.21875" bestFit="1" customWidth="1"/>
    <col min="4033" max="4033" width="10" bestFit="1" customWidth="1"/>
    <col min="4034" max="4034" width="6.6640625" bestFit="1" customWidth="1"/>
    <col min="4035" max="4035" width="12.21875" bestFit="1" customWidth="1"/>
    <col min="4036" max="4036" width="10" bestFit="1" customWidth="1"/>
    <col min="4037" max="4037" width="6.6640625" bestFit="1" customWidth="1"/>
    <col min="4038" max="4038" width="12.21875" bestFit="1" customWidth="1"/>
    <col min="4039" max="4039" width="10" bestFit="1" customWidth="1"/>
    <col min="4040" max="4040" width="6.6640625" bestFit="1" customWidth="1"/>
    <col min="4041" max="4041" width="12.21875" bestFit="1" customWidth="1"/>
    <col min="4042" max="4042" width="9" bestFit="1" customWidth="1"/>
    <col min="4043" max="4043" width="7.6640625" bestFit="1" customWidth="1"/>
    <col min="4044" max="4044" width="11.21875" bestFit="1" customWidth="1"/>
    <col min="4045" max="4045" width="10" bestFit="1" customWidth="1"/>
    <col min="4046" max="4046" width="6.6640625" bestFit="1" customWidth="1"/>
    <col min="4047" max="4047" width="12.21875" bestFit="1" customWidth="1"/>
    <col min="4048" max="4048" width="9" bestFit="1" customWidth="1"/>
    <col min="4049" max="4049" width="7.6640625" bestFit="1" customWidth="1"/>
    <col min="4050" max="4050" width="11.21875" bestFit="1" customWidth="1"/>
    <col min="4051" max="4051" width="10" bestFit="1" customWidth="1"/>
    <col min="4052" max="4052" width="6.6640625" bestFit="1" customWidth="1"/>
    <col min="4053" max="4053" width="12.21875" bestFit="1" customWidth="1"/>
    <col min="4054" max="4054" width="10" bestFit="1" customWidth="1"/>
    <col min="4055" max="4055" width="6.6640625" bestFit="1" customWidth="1"/>
    <col min="4056" max="4056" width="12.21875" bestFit="1" customWidth="1"/>
    <col min="4057" max="4057" width="10" bestFit="1" customWidth="1"/>
    <col min="4058" max="4058" width="6.6640625" bestFit="1" customWidth="1"/>
    <col min="4059" max="4059" width="12.21875" bestFit="1" customWidth="1"/>
    <col min="4060" max="4060" width="10" bestFit="1" customWidth="1"/>
    <col min="4061" max="4061" width="6.6640625" bestFit="1" customWidth="1"/>
    <col min="4062" max="4062" width="12.21875" bestFit="1" customWidth="1"/>
    <col min="4063" max="4063" width="10" bestFit="1" customWidth="1"/>
    <col min="4064" max="4064" width="6.6640625" bestFit="1" customWidth="1"/>
    <col min="4065" max="4065" width="12.21875" bestFit="1" customWidth="1"/>
    <col min="4066" max="4066" width="10" bestFit="1" customWidth="1"/>
    <col min="4067" max="4067" width="6.6640625" bestFit="1" customWidth="1"/>
    <col min="4068" max="4068" width="12.21875" bestFit="1" customWidth="1"/>
    <col min="4069" max="4069" width="10" bestFit="1" customWidth="1"/>
    <col min="4070" max="4070" width="6.6640625" bestFit="1" customWidth="1"/>
    <col min="4071" max="4071" width="12.21875" bestFit="1" customWidth="1"/>
    <col min="4072" max="4072" width="10" bestFit="1" customWidth="1"/>
    <col min="4073" max="4073" width="6.6640625" bestFit="1" customWidth="1"/>
    <col min="4074" max="4074" width="12.21875" bestFit="1" customWidth="1"/>
    <col min="4075" max="4075" width="9" bestFit="1" customWidth="1"/>
    <col min="4076" max="4076" width="6.6640625" bestFit="1" customWidth="1"/>
    <col min="4077" max="4077" width="11.21875" bestFit="1" customWidth="1"/>
    <col min="4078" max="4078" width="10" bestFit="1" customWidth="1"/>
    <col min="4079" max="4079" width="6.6640625" bestFit="1" customWidth="1"/>
    <col min="4080" max="4080" width="12.21875" bestFit="1" customWidth="1"/>
    <col min="4081" max="4081" width="10" bestFit="1" customWidth="1"/>
    <col min="4082" max="4082" width="6.6640625" bestFit="1" customWidth="1"/>
    <col min="4083" max="4083" width="12.21875" bestFit="1" customWidth="1"/>
    <col min="4084" max="4084" width="10" bestFit="1" customWidth="1"/>
    <col min="4085" max="4085" width="6.6640625" bestFit="1" customWidth="1"/>
    <col min="4086" max="4086" width="12.21875" bestFit="1" customWidth="1"/>
    <col min="4087" max="4087" width="10" bestFit="1" customWidth="1"/>
    <col min="4088" max="4088" width="6.6640625" bestFit="1" customWidth="1"/>
    <col min="4089" max="4089" width="12.21875" bestFit="1" customWidth="1"/>
    <col min="4090" max="4090" width="9" bestFit="1" customWidth="1"/>
    <col min="4091" max="4091" width="6.6640625" bestFit="1" customWidth="1"/>
    <col min="4092" max="4092" width="11.21875" bestFit="1" customWidth="1"/>
    <col min="4093" max="4093" width="10" bestFit="1" customWidth="1"/>
    <col min="4094" max="4094" width="6.6640625" bestFit="1" customWidth="1"/>
    <col min="4095" max="4095" width="12.21875" bestFit="1" customWidth="1"/>
    <col min="4096" max="4096" width="9" bestFit="1" customWidth="1"/>
    <col min="4097" max="4097" width="6.6640625" bestFit="1" customWidth="1"/>
    <col min="4098" max="4098" width="11.21875" bestFit="1" customWidth="1"/>
    <col min="4099" max="4099" width="10" bestFit="1" customWidth="1"/>
    <col min="4100" max="4100" width="6.6640625" bestFit="1" customWidth="1"/>
    <col min="4101" max="4101" width="12.21875" bestFit="1" customWidth="1"/>
    <col min="4102" max="4102" width="10" bestFit="1" customWidth="1"/>
    <col min="4103" max="4103" width="6.6640625" bestFit="1" customWidth="1"/>
    <col min="4104" max="4104" width="12.21875" bestFit="1" customWidth="1"/>
    <col min="4105" max="4105" width="9" bestFit="1" customWidth="1"/>
    <col min="4106" max="4106" width="6.6640625" bestFit="1" customWidth="1"/>
    <col min="4107" max="4107" width="11.21875" bestFit="1" customWidth="1"/>
    <col min="4108" max="4108" width="10" bestFit="1" customWidth="1"/>
    <col min="4109" max="4109" width="6.6640625" bestFit="1" customWidth="1"/>
    <col min="4110" max="4110" width="12.21875" bestFit="1" customWidth="1"/>
    <col min="4111" max="4111" width="9" bestFit="1" customWidth="1"/>
    <col min="4112" max="4112" width="6.6640625" bestFit="1" customWidth="1"/>
    <col min="4113" max="4113" width="11.21875" bestFit="1" customWidth="1"/>
    <col min="4114" max="4114" width="10" bestFit="1" customWidth="1"/>
    <col min="4115" max="4115" width="6.6640625" bestFit="1" customWidth="1"/>
    <col min="4116" max="4116" width="12.21875" bestFit="1" customWidth="1"/>
    <col min="4117" max="4117" width="10" bestFit="1" customWidth="1"/>
    <col min="4118" max="4118" width="6.6640625" bestFit="1" customWidth="1"/>
    <col min="4119" max="4119" width="12.21875" bestFit="1" customWidth="1"/>
    <col min="4120" max="4120" width="9" bestFit="1" customWidth="1"/>
    <col min="4121" max="4121" width="7.6640625" bestFit="1" customWidth="1"/>
    <col min="4122" max="4122" width="11.21875" bestFit="1" customWidth="1"/>
    <col min="4123" max="4123" width="10" bestFit="1" customWidth="1"/>
    <col min="4124" max="4124" width="6.6640625" bestFit="1" customWidth="1"/>
    <col min="4125" max="4125" width="12.21875" bestFit="1" customWidth="1"/>
    <col min="4126" max="4126" width="10" bestFit="1" customWidth="1"/>
    <col min="4127" max="4127" width="6.6640625" bestFit="1" customWidth="1"/>
    <col min="4128" max="4128" width="12.21875" bestFit="1" customWidth="1"/>
    <col min="4129" max="4129" width="7" bestFit="1" customWidth="1"/>
    <col min="4130" max="4130" width="7.6640625" bestFit="1" customWidth="1"/>
    <col min="4131" max="4131" width="9.6640625" bestFit="1" customWidth="1"/>
    <col min="4132" max="4132" width="9" bestFit="1" customWidth="1"/>
    <col min="4133" max="4133" width="7.6640625" bestFit="1" customWidth="1"/>
    <col min="4134" max="4134" width="11.21875" bestFit="1" customWidth="1"/>
    <col min="4135" max="4135" width="10" bestFit="1" customWidth="1"/>
    <col min="4136" max="4136" width="6.6640625" bestFit="1" customWidth="1"/>
    <col min="4137" max="4137" width="12.21875" bestFit="1" customWidth="1"/>
    <col min="4138" max="4138" width="10" bestFit="1" customWidth="1"/>
    <col min="4139" max="4139" width="6.6640625" bestFit="1" customWidth="1"/>
    <col min="4140" max="4140" width="12.21875" bestFit="1" customWidth="1"/>
    <col min="4141" max="4141" width="10" bestFit="1" customWidth="1"/>
    <col min="4142" max="4142" width="6.6640625" bestFit="1" customWidth="1"/>
    <col min="4143" max="4143" width="12.21875" bestFit="1" customWidth="1"/>
    <col min="4144" max="4144" width="10" bestFit="1" customWidth="1"/>
    <col min="4145" max="4145" width="6.6640625" bestFit="1" customWidth="1"/>
    <col min="4146" max="4146" width="12.21875" bestFit="1" customWidth="1"/>
    <col min="4147" max="4147" width="10" bestFit="1" customWidth="1"/>
    <col min="4148" max="4148" width="6.6640625" bestFit="1" customWidth="1"/>
    <col min="4149" max="4149" width="12.21875" bestFit="1" customWidth="1"/>
    <col min="4150" max="4150" width="10" bestFit="1" customWidth="1"/>
    <col min="4151" max="4151" width="6.6640625" bestFit="1" customWidth="1"/>
    <col min="4152" max="4152" width="12.21875" bestFit="1" customWidth="1"/>
    <col min="4153" max="4153" width="10" bestFit="1" customWidth="1"/>
    <col min="4154" max="4154" width="6.6640625" bestFit="1" customWidth="1"/>
    <col min="4155" max="4155" width="12.21875" bestFit="1" customWidth="1"/>
    <col min="4156" max="4156" width="9" bestFit="1" customWidth="1"/>
    <col min="4157" max="4157" width="6.6640625" bestFit="1" customWidth="1"/>
    <col min="4158" max="4158" width="11.21875" bestFit="1" customWidth="1"/>
    <col min="4159" max="4159" width="10" bestFit="1" customWidth="1"/>
    <col min="4160" max="4160" width="6.6640625" bestFit="1" customWidth="1"/>
    <col min="4161" max="4161" width="12.21875" bestFit="1" customWidth="1"/>
    <col min="4162" max="4162" width="9" bestFit="1" customWidth="1"/>
    <col min="4163" max="4163" width="7.6640625" bestFit="1" customWidth="1"/>
    <col min="4164" max="4164" width="11.21875" bestFit="1" customWidth="1"/>
    <col min="4165" max="4165" width="10" bestFit="1" customWidth="1"/>
    <col min="4166" max="4166" width="6.6640625" bestFit="1" customWidth="1"/>
    <col min="4167" max="4167" width="12.21875" bestFit="1" customWidth="1"/>
    <col min="4168" max="4168" width="10" bestFit="1" customWidth="1"/>
    <col min="4169" max="4169" width="6.6640625" bestFit="1" customWidth="1"/>
    <col min="4170" max="4170" width="12.21875" bestFit="1" customWidth="1"/>
    <col min="4171" max="4171" width="9" bestFit="1" customWidth="1"/>
    <col min="4172" max="4172" width="6.6640625" bestFit="1" customWidth="1"/>
    <col min="4173" max="4173" width="11.21875" bestFit="1" customWidth="1"/>
    <col min="4174" max="4174" width="10" bestFit="1" customWidth="1"/>
    <col min="4175" max="4175" width="6.6640625" bestFit="1" customWidth="1"/>
    <col min="4176" max="4176" width="12.21875" bestFit="1" customWidth="1"/>
    <col min="4177" max="4177" width="10" bestFit="1" customWidth="1"/>
    <col min="4178" max="4178" width="6.6640625" bestFit="1" customWidth="1"/>
    <col min="4179" max="4179" width="12.21875" bestFit="1" customWidth="1"/>
    <col min="4180" max="4180" width="10" bestFit="1" customWidth="1"/>
    <col min="4181" max="4181" width="6.6640625" bestFit="1" customWidth="1"/>
    <col min="4182" max="4182" width="12.21875" bestFit="1" customWidth="1"/>
    <col min="4183" max="4183" width="10" bestFit="1" customWidth="1"/>
    <col min="4184" max="4184" width="6.6640625" bestFit="1" customWidth="1"/>
    <col min="4185" max="4185" width="12.21875" bestFit="1" customWidth="1"/>
    <col min="4186" max="4186" width="10" bestFit="1" customWidth="1"/>
    <col min="4187" max="4187" width="6.6640625" bestFit="1" customWidth="1"/>
    <col min="4188" max="4188" width="12.21875" bestFit="1" customWidth="1"/>
    <col min="4189" max="4189" width="10" bestFit="1" customWidth="1"/>
    <col min="4190" max="4190" width="6.6640625" bestFit="1" customWidth="1"/>
    <col min="4191" max="4191" width="12.21875" bestFit="1" customWidth="1"/>
    <col min="4192" max="4192" width="9" bestFit="1" customWidth="1"/>
    <col min="4193" max="4193" width="7.6640625" bestFit="1" customWidth="1"/>
    <col min="4194" max="4194" width="11.21875" bestFit="1" customWidth="1"/>
    <col min="4195" max="4195" width="10" bestFit="1" customWidth="1"/>
    <col min="4196" max="4196" width="6.6640625" bestFit="1" customWidth="1"/>
    <col min="4197" max="4197" width="12.21875" bestFit="1" customWidth="1"/>
    <col min="4198" max="4198" width="10" bestFit="1" customWidth="1"/>
    <col min="4199" max="4199" width="6.6640625" bestFit="1" customWidth="1"/>
    <col min="4200" max="4200" width="12.21875" bestFit="1" customWidth="1"/>
    <col min="4201" max="4201" width="9" bestFit="1" customWidth="1"/>
    <col min="4202" max="4202" width="6.6640625" bestFit="1" customWidth="1"/>
    <col min="4203" max="4203" width="11.21875" bestFit="1" customWidth="1"/>
    <col min="4204" max="4204" width="10" bestFit="1" customWidth="1"/>
    <col min="4205" max="4205" width="6.6640625" bestFit="1" customWidth="1"/>
    <col min="4206" max="4206" width="12.21875" bestFit="1" customWidth="1"/>
    <col min="4207" max="4207" width="7" bestFit="1" customWidth="1"/>
    <col min="4208" max="4208" width="6.6640625" bestFit="1" customWidth="1"/>
    <col min="4209" max="4209" width="9.6640625" bestFit="1" customWidth="1"/>
    <col min="4210" max="4210" width="10" bestFit="1" customWidth="1"/>
    <col min="4211" max="4211" width="6.6640625" bestFit="1" customWidth="1"/>
    <col min="4212" max="4212" width="12.21875" bestFit="1" customWidth="1"/>
    <col min="4213" max="4213" width="10" bestFit="1" customWidth="1"/>
    <col min="4214" max="4214" width="6.6640625" bestFit="1" customWidth="1"/>
    <col min="4215" max="4215" width="12.21875" bestFit="1" customWidth="1"/>
    <col min="4216" max="4216" width="10" bestFit="1" customWidth="1"/>
    <col min="4217" max="4217" width="6.6640625" bestFit="1" customWidth="1"/>
    <col min="4218" max="4218" width="12.21875" bestFit="1" customWidth="1"/>
    <col min="4219" max="4219" width="9" bestFit="1" customWidth="1"/>
    <col min="4220" max="4220" width="6.6640625" bestFit="1" customWidth="1"/>
    <col min="4221" max="4221" width="11.21875" bestFit="1" customWidth="1"/>
    <col min="4222" max="4222" width="10" bestFit="1" customWidth="1"/>
    <col min="4223" max="4223" width="6.6640625" bestFit="1" customWidth="1"/>
    <col min="4224" max="4224" width="12.21875" bestFit="1" customWidth="1"/>
    <col min="4225" max="4225" width="10" bestFit="1" customWidth="1"/>
    <col min="4226" max="4226" width="6.6640625" bestFit="1" customWidth="1"/>
    <col min="4227" max="4227" width="12.21875" bestFit="1" customWidth="1"/>
    <col min="4228" max="4228" width="9" bestFit="1" customWidth="1"/>
    <col min="4229" max="4229" width="6.6640625" bestFit="1" customWidth="1"/>
    <col min="4230" max="4230" width="11.21875" bestFit="1" customWidth="1"/>
    <col min="4231" max="4231" width="9" bestFit="1" customWidth="1"/>
    <col min="4232" max="4232" width="7.6640625" bestFit="1" customWidth="1"/>
    <col min="4233" max="4233" width="11.21875" bestFit="1" customWidth="1"/>
    <col min="4234" max="4234" width="9" bestFit="1" customWidth="1"/>
    <col min="4235" max="4235" width="7.6640625" bestFit="1" customWidth="1"/>
    <col min="4236" max="4236" width="11.21875" bestFit="1" customWidth="1"/>
    <col min="4237" max="4237" width="10" bestFit="1" customWidth="1"/>
    <col min="4238" max="4238" width="6.6640625" bestFit="1" customWidth="1"/>
    <col min="4239" max="4239" width="12.21875" bestFit="1" customWidth="1"/>
    <col min="4240" max="4240" width="10" bestFit="1" customWidth="1"/>
    <col min="4241" max="4241" width="6.6640625" bestFit="1" customWidth="1"/>
    <col min="4242" max="4242" width="12.21875" bestFit="1" customWidth="1"/>
    <col min="4243" max="4243" width="10" bestFit="1" customWidth="1"/>
    <col min="4244" max="4244" width="6.6640625" bestFit="1" customWidth="1"/>
    <col min="4245" max="4245" width="12.21875" bestFit="1" customWidth="1"/>
    <col min="4246" max="4246" width="9" bestFit="1" customWidth="1"/>
    <col min="4247" max="4247" width="7.6640625" bestFit="1" customWidth="1"/>
    <col min="4248" max="4248" width="11.21875" bestFit="1" customWidth="1"/>
    <col min="4249" max="4249" width="10" bestFit="1" customWidth="1"/>
    <col min="4250" max="4250" width="6.6640625" bestFit="1" customWidth="1"/>
    <col min="4251" max="4251" width="12.21875" bestFit="1" customWidth="1"/>
    <col min="4252" max="4252" width="9" bestFit="1" customWidth="1"/>
    <col min="4253" max="4253" width="6.6640625" bestFit="1" customWidth="1"/>
    <col min="4254" max="4254" width="11.21875" bestFit="1" customWidth="1"/>
    <col min="4255" max="4255" width="9" bestFit="1" customWidth="1"/>
    <col min="4256" max="4256" width="7.6640625" bestFit="1" customWidth="1"/>
    <col min="4257" max="4257" width="11.21875" bestFit="1" customWidth="1"/>
    <col min="4258" max="4258" width="9" bestFit="1" customWidth="1"/>
    <col min="4259" max="4259" width="6.6640625" bestFit="1" customWidth="1"/>
    <col min="4260" max="4260" width="11.21875" bestFit="1" customWidth="1"/>
    <col min="4261" max="4261" width="9" bestFit="1" customWidth="1"/>
    <col min="4262" max="4262" width="6.6640625" bestFit="1" customWidth="1"/>
    <col min="4263" max="4263" width="11.21875" bestFit="1" customWidth="1"/>
    <col min="4264" max="4264" width="10" bestFit="1" customWidth="1"/>
    <col min="4265" max="4265" width="6.6640625" bestFit="1" customWidth="1"/>
    <col min="4266" max="4266" width="12.21875" bestFit="1" customWidth="1"/>
    <col min="4267" max="4267" width="10" bestFit="1" customWidth="1"/>
    <col min="4268" max="4268" width="6.6640625" bestFit="1" customWidth="1"/>
    <col min="4269" max="4269" width="12.21875" bestFit="1" customWidth="1"/>
    <col min="4270" max="4270" width="10" bestFit="1" customWidth="1"/>
    <col min="4271" max="4271" width="6.6640625" bestFit="1" customWidth="1"/>
    <col min="4272" max="4272" width="12.21875" bestFit="1" customWidth="1"/>
    <col min="4273" max="4273" width="7" bestFit="1" customWidth="1"/>
    <col min="4274" max="4274" width="6.6640625" bestFit="1" customWidth="1"/>
    <col min="4275" max="4275" width="9.6640625" bestFit="1" customWidth="1"/>
    <col min="4276" max="4276" width="10" bestFit="1" customWidth="1"/>
    <col min="4277" max="4277" width="6.6640625" bestFit="1" customWidth="1"/>
    <col min="4278" max="4278" width="12.21875" bestFit="1" customWidth="1"/>
    <col min="4279" max="4279" width="9" bestFit="1" customWidth="1"/>
    <col min="4280" max="4280" width="6.6640625" bestFit="1" customWidth="1"/>
    <col min="4281" max="4281" width="11.21875" bestFit="1" customWidth="1"/>
    <col min="4282" max="4282" width="9" bestFit="1" customWidth="1"/>
    <col min="4283" max="4283" width="6.6640625" bestFit="1" customWidth="1"/>
    <col min="4284" max="4284" width="11.21875" bestFit="1" customWidth="1"/>
    <col min="4285" max="4285" width="10" bestFit="1" customWidth="1"/>
    <col min="4286" max="4286" width="6.6640625" bestFit="1" customWidth="1"/>
    <col min="4287" max="4287" width="12.21875" bestFit="1" customWidth="1"/>
    <col min="4288" max="4288" width="10" bestFit="1" customWidth="1"/>
    <col min="4289" max="4289" width="6.6640625" bestFit="1" customWidth="1"/>
    <col min="4290" max="4290" width="12.21875" bestFit="1" customWidth="1"/>
    <col min="4291" max="4291" width="10" bestFit="1" customWidth="1"/>
    <col min="4292" max="4292" width="6.6640625" bestFit="1" customWidth="1"/>
    <col min="4293" max="4293" width="12.21875" bestFit="1" customWidth="1"/>
    <col min="4294" max="4294" width="9" bestFit="1" customWidth="1"/>
    <col min="4295" max="4295" width="6.6640625" bestFit="1" customWidth="1"/>
    <col min="4296" max="4296" width="11.21875" bestFit="1" customWidth="1"/>
    <col min="4297" max="4297" width="10" bestFit="1" customWidth="1"/>
    <col min="4298" max="4298" width="6.6640625" bestFit="1" customWidth="1"/>
    <col min="4299" max="4299" width="12.21875" bestFit="1" customWidth="1"/>
    <col min="4300" max="4300" width="10" bestFit="1" customWidth="1"/>
    <col min="4301" max="4301" width="6.6640625" bestFit="1" customWidth="1"/>
    <col min="4302" max="4302" width="12.21875" bestFit="1" customWidth="1"/>
    <col min="4303" max="4303" width="10" bestFit="1" customWidth="1"/>
    <col min="4304" max="4304" width="6.6640625" bestFit="1" customWidth="1"/>
    <col min="4305" max="4305" width="12.21875" bestFit="1" customWidth="1"/>
    <col min="4306" max="4306" width="9" bestFit="1" customWidth="1"/>
    <col min="4307" max="4307" width="7.6640625" bestFit="1" customWidth="1"/>
    <col min="4308" max="4308" width="11.21875" bestFit="1" customWidth="1"/>
    <col min="4309" max="4309" width="9" bestFit="1" customWidth="1"/>
    <col min="4310" max="4310" width="6.6640625" bestFit="1" customWidth="1"/>
    <col min="4311" max="4311" width="11.21875" bestFit="1" customWidth="1"/>
    <col min="4312" max="4312" width="10" bestFit="1" customWidth="1"/>
    <col min="4313" max="4313" width="6.6640625" bestFit="1" customWidth="1"/>
    <col min="4314" max="4314" width="12.21875" bestFit="1" customWidth="1"/>
    <col min="4315" max="4315" width="10" bestFit="1" customWidth="1"/>
    <col min="4316" max="4316" width="6.6640625" bestFit="1" customWidth="1"/>
    <col min="4317" max="4317" width="12.21875" bestFit="1" customWidth="1"/>
    <col min="4318" max="4318" width="7" bestFit="1" customWidth="1"/>
    <col min="4319" max="4319" width="6.6640625" bestFit="1" customWidth="1"/>
    <col min="4320" max="4320" width="9.6640625" bestFit="1" customWidth="1"/>
    <col min="4321" max="4321" width="10" bestFit="1" customWidth="1"/>
    <col min="4322" max="4322" width="6.6640625" bestFit="1" customWidth="1"/>
    <col min="4323" max="4323" width="12.21875" bestFit="1" customWidth="1"/>
    <col min="4324" max="4324" width="10" bestFit="1" customWidth="1"/>
    <col min="4325" max="4325" width="6.6640625" bestFit="1" customWidth="1"/>
    <col min="4326" max="4326" width="12.21875" bestFit="1" customWidth="1"/>
    <col min="4327" max="4327" width="10" bestFit="1" customWidth="1"/>
    <col min="4328" max="4328" width="6.6640625" bestFit="1" customWidth="1"/>
    <col min="4329" max="4329" width="12.21875" bestFit="1" customWidth="1"/>
    <col min="4330" max="4330" width="10" bestFit="1" customWidth="1"/>
    <col min="4331" max="4331" width="6.6640625" bestFit="1" customWidth="1"/>
    <col min="4332" max="4332" width="12.21875" bestFit="1" customWidth="1"/>
    <col min="4333" max="4333" width="10" bestFit="1" customWidth="1"/>
    <col min="4334" max="4334" width="6.6640625" bestFit="1" customWidth="1"/>
    <col min="4335" max="4335" width="12.21875" bestFit="1" customWidth="1"/>
    <col min="4336" max="4336" width="9" bestFit="1" customWidth="1"/>
    <col min="4337" max="4337" width="6.6640625" bestFit="1" customWidth="1"/>
    <col min="4338" max="4338" width="11.21875" bestFit="1" customWidth="1"/>
    <col min="4339" max="4339" width="9" bestFit="1" customWidth="1"/>
    <col min="4340" max="4340" width="6.6640625" bestFit="1" customWidth="1"/>
    <col min="4341" max="4341" width="11.21875" bestFit="1" customWidth="1"/>
    <col min="4342" max="4342" width="10" bestFit="1" customWidth="1"/>
    <col min="4343" max="4343" width="6.6640625" bestFit="1" customWidth="1"/>
    <col min="4344" max="4344" width="12.21875" bestFit="1" customWidth="1"/>
    <col min="4345" max="4345" width="10" bestFit="1" customWidth="1"/>
    <col min="4346" max="4346" width="6.6640625" bestFit="1" customWidth="1"/>
    <col min="4347" max="4347" width="12.21875" bestFit="1" customWidth="1"/>
    <col min="4348" max="4348" width="9" bestFit="1" customWidth="1"/>
    <col min="4349" max="4349" width="6.6640625" bestFit="1" customWidth="1"/>
    <col min="4350" max="4350" width="11.21875" bestFit="1" customWidth="1"/>
    <col min="4351" max="4351" width="10" bestFit="1" customWidth="1"/>
    <col min="4352" max="4352" width="6.6640625" bestFit="1" customWidth="1"/>
    <col min="4353" max="4353" width="12.21875" bestFit="1" customWidth="1"/>
    <col min="4354" max="4354" width="10" bestFit="1" customWidth="1"/>
    <col min="4355" max="4355" width="6.6640625" bestFit="1" customWidth="1"/>
    <col min="4356" max="4356" width="12.21875" bestFit="1" customWidth="1"/>
    <col min="4357" max="4357" width="10" bestFit="1" customWidth="1"/>
    <col min="4358" max="4358" width="6.6640625" bestFit="1" customWidth="1"/>
    <col min="4359" max="4359" width="12.21875" bestFit="1" customWidth="1"/>
    <col min="4360" max="4360" width="10" bestFit="1" customWidth="1"/>
    <col min="4361" max="4361" width="6.6640625" bestFit="1" customWidth="1"/>
    <col min="4362" max="4362" width="12.21875" bestFit="1" customWidth="1"/>
    <col min="4363" max="4363" width="9" bestFit="1" customWidth="1"/>
    <col min="4364" max="4364" width="7.6640625" bestFit="1" customWidth="1"/>
    <col min="4365" max="4365" width="11.21875" bestFit="1" customWidth="1"/>
    <col min="4366" max="4366" width="10" bestFit="1" customWidth="1"/>
    <col min="4367" max="4367" width="6.6640625" bestFit="1" customWidth="1"/>
    <col min="4368" max="4368" width="12.21875" bestFit="1" customWidth="1"/>
    <col min="4369" max="4369" width="10" bestFit="1" customWidth="1"/>
    <col min="4370" max="4370" width="6.6640625" bestFit="1" customWidth="1"/>
    <col min="4371" max="4371" width="12.21875" bestFit="1" customWidth="1"/>
    <col min="4372" max="4372" width="7" bestFit="1" customWidth="1"/>
    <col min="4373" max="4373" width="6.6640625" bestFit="1" customWidth="1"/>
    <col min="4374" max="4374" width="9.6640625" bestFit="1" customWidth="1"/>
    <col min="4375" max="4375" width="10" bestFit="1" customWidth="1"/>
    <col min="4376" max="4376" width="6.6640625" bestFit="1" customWidth="1"/>
    <col min="4377" max="4377" width="12.21875" bestFit="1" customWidth="1"/>
    <col min="4378" max="4378" width="10" bestFit="1" customWidth="1"/>
    <col min="4379" max="4379" width="6.6640625" bestFit="1" customWidth="1"/>
    <col min="4380" max="4380" width="12.21875" bestFit="1" customWidth="1"/>
    <col min="4381" max="4381" width="10" bestFit="1" customWidth="1"/>
    <col min="4382" max="4382" width="6.6640625" bestFit="1" customWidth="1"/>
    <col min="4383" max="4383" width="12.21875" bestFit="1" customWidth="1"/>
    <col min="4384" max="4384" width="7" bestFit="1" customWidth="1"/>
    <col min="4385" max="4385" width="6.6640625" bestFit="1" customWidth="1"/>
    <col min="4386" max="4386" width="9.6640625" bestFit="1" customWidth="1"/>
    <col min="4387" max="4387" width="10" bestFit="1" customWidth="1"/>
    <col min="4388" max="4388" width="6.6640625" bestFit="1" customWidth="1"/>
    <col min="4389" max="4389" width="12.21875" bestFit="1" customWidth="1"/>
    <col min="4390" max="4390" width="10" bestFit="1" customWidth="1"/>
    <col min="4391" max="4391" width="6.6640625" bestFit="1" customWidth="1"/>
    <col min="4392" max="4392" width="12.21875" bestFit="1" customWidth="1"/>
    <col min="4393" max="4393" width="10" bestFit="1" customWidth="1"/>
    <col min="4394" max="4394" width="6.6640625" bestFit="1" customWidth="1"/>
    <col min="4395" max="4395" width="12.21875" bestFit="1" customWidth="1"/>
    <col min="4396" max="4396" width="9" bestFit="1" customWidth="1"/>
    <col min="4397" max="4397" width="6.6640625" bestFit="1" customWidth="1"/>
    <col min="4398" max="4398" width="11.21875" bestFit="1" customWidth="1"/>
    <col min="4399" max="4399" width="9" bestFit="1" customWidth="1"/>
    <col min="4400" max="4400" width="6.6640625" bestFit="1" customWidth="1"/>
    <col min="4401" max="4401" width="11.21875" bestFit="1" customWidth="1"/>
    <col min="4402" max="4402" width="10" bestFit="1" customWidth="1"/>
    <col min="4403" max="4403" width="6.6640625" bestFit="1" customWidth="1"/>
    <col min="4404" max="4404" width="12.21875" bestFit="1" customWidth="1"/>
    <col min="4405" max="4405" width="9" bestFit="1" customWidth="1"/>
    <col min="4406" max="4406" width="6.6640625" bestFit="1" customWidth="1"/>
    <col min="4407" max="4407" width="11.21875" bestFit="1" customWidth="1"/>
    <col min="4408" max="4408" width="10" bestFit="1" customWidth="1"/>
    <col min="4409" max="4409" width="6.6640625" bestFit="1" customWidth="1"/>
    <col min="4410" max="4410" width="12.21875" bestFit="1" customWidth="1"/>
    <col min="4411" max="4411" width="10" bestFit="1" customWidth="1"/>
    <col min="4412" max="4412" width="6.6640625" bestFit="1" customWidth="1"/>
    <col min="4413" max="4413" width="12.21875" bestFit="1" customWidth="1"/>
    <col min="4414" max="4414" width="10" bestFit="1" customWidth="1"/>
    <col min="4415" max="4415" width="6.6640625" bestFit="1" customWidth="1"/>
    <col min="4416" max="4416" width="12.21875" bestFit="1" customWidth="1"/>
    <col min="4417" max="4417" width="10" bestFit="1" customWidth="1"/>
    <col min="4418" max="4418" width="6.6640625" bestFit="1" customWidth="1"/>
    <col min="4419" max="4419" width="12.21875" bestFit="1" customWidth="1"/>
    <col min="4420" max="4420" width="9" bestFit="1" customWidth="1"/>
    <col min="4421" max="4421" width="7.6640625" bestFit="1" customWidth="1"/>
    <col min="4422" max="4422" width="11.21875" bestFit="1" customWidth="1"/>
    <col min="4423" max="4423" width="10" bestFit="1" customWidth="1"/>
    <col min="4424" max="4424" width="6.6640625" bestFit="1" customWidth="1"/>
    <col min="4425" max="4425" width="12.21875" bestFit="1" customWidth="1"/>
    <col min="4426" max="4426" width="10" bestFit="1" customWidth="1"/>
    <col min="4427" max="4427" width="6.6640625" bestFit="1" customWidth="1"/>
    <col min="4428" max="4428" width="12.21875" bestFit="1" customWidth="1"/>
    <col min="4429" max="4429" width="9" bestFit="1" customWidth="1"/>
    <col min="4430" max="4430" width="6.6640625" bestFit="1" customWidth="1"/>
    <col min="4431" max="4431" width="7" bestFit="1" customWidth="1"/>
    <col min="4432" max="4432" width="7.6640625" bestFit="1" customWidth="1"/>
    <col min="4433" max="4433" width="11.21875" bestFit="1" customWidth="1"/>
    <col min="4434" max="4434" width="10" bestFit="1" customWidth="1"/>
    <col min="4435" max="4435" width="6.6640625" bestFit="1" customWidth="1"/>
    <col min="4436" max="4436" width="12.21875" bestFit="1" customWidth="1"/>
    <col min="4437" max="4437" width="10" bestFit="1" customWidth="1"/>
    <col min="4438" max="4438" width="6.6640625" bestFit="1" customWidth="1"/>
    <col min="4439" max="4439" width="12.21875" bestFit="1" customWidth="1"/>
    <col min="4440" max="4440" width="10" bestFit="1" customWidth="1"/>
    <col min="4441" max="4441" width="6.6640625" bestFit="1" customWidth="1"/>
    <col min="4442" max="4442" width="12.21875" bestFit="1" customWidth="1"/>
    <col min="4443" max="4443" width="9" bestFit="1" customWidth="1"/>
    <col min="4444" max="4444" width="6.6640625" bestFit="1" customWidth="1"/>
    <col min="4445" max="4445" width="11.21875" bestFit="1" customWidth="1"/>
    <col min="4446" max="4446" width="10" bestFit="1" customWidth="1"/>
    <col min="4447" max="4447" width="6.6640625" bestFit="1" customWidth="1"/>
    <col min="4448" max="4448" width="12.21875" bestFit="1" customWidth="1"/>
    <col min="4449" max="4449" width="10" bestFit="1" customWidth="1"/>
    <col min="4450" max="4450" width="6.6640625" bestFit="1" customWidth="1"/>
    <col min="4451" max="4451" width="12.21875" bestFit="1" customWidth="1"/>
    <col min="4452" max="4452" width="10" bestFit="1" customWidth="1"/>
    <col min="4453" max="4453" width="6.6640625" bestFit="1" customWidth="1"/>
    <col min="4454" max="4454" width="12.21875" bestFit="1" customWidth="1"/>
    <col min="4455" max="4455" width="10" bestFit="1" customWidth="1"/>
    <col min="4456" max="4456" width="6.6640625" bestFit="1" customWidth="1"/>
    <col min="4457" max="4457" width="12.21875" bestFit="1" customWidth="1"/>
    <col min="4458" max="4458" width="10" bestFit="1" customWidth="1"/>
    <col min="4459" max="4459" width="6.6640625" bestFit="1" customWidth="1"/>
    <col min="4460" max="4460" width="12.21875" bestFit="1" customWidth="1"/>
    <col min="4461" max="4461" width="10" bestFit="1" customWidth="1"/>
    <col min="4462" max="4462" width="6.6640625" bestFit="1" customWidth="1"/>
    <col min="4463" max="4463" width="12.21875" bestFit="1" customWidth="1"/>
    <col min="4464" max="4464" width="10" bestFit="1" customWidth="1"/>
    <col min="4465" max="4465" width="6.6640625" bestFit="1" customWidth="1"/>
    <col min="4466" max="4466" width="12.21875" bestFit="1" customWidth="1"/>
    <col min="4467" max="4467" width="10" bestFit="1" customWidth="1"/>
    <col min="4468" max="4468" width="6.6640625" bestFit="1" customWidth="1"/>
    <col min="4469" max="4469" width="12.21875" bestFit="1" customWidth="1"/>
    <col min="4470" max="4470" width="9" bestFit="1" customWidth="1"/>
    <col min="4471" max="4471" width="7.6640625" bestFit="1" customWidth="1"/>
    <col min="4472" max="4472" width="11.21875" bestFit="1" customWidth="1"/>
    <col min="4473" max="4473" width="7" bestFit="1" customWidth="1"/>
    <col min="4474" max="4474" width="6.6640625" bestFit="1" customWidth="1"/>
    <col min="4475" max="4475" width="9.6640625" bestFit="1" customWidth="1"/>
    <col min="4476" max="4476" width="10" bestFit="1" customWidth="1"/>
    <col min="4477" max="4477" width="6.6640625" bestFit="1" customWidth="1"/>
    <col min="4478" max="4478" width="12.21875" bestFit="1" customWidth="1"/>
    <col min="4479" max="4479" width="9" bestFit="1" customWidth="1"/>
    <col min="4480" max="4480" width="6.6640625" bestFit="1" customWidth="1"/>
    <col min="4481" max="4481" width="11.21875" bestFit="1" customWidth="1"/>
    <col min="4482" max="4482" width="10" bestFit="1" customWidth="1"/>
    <col min="4483" max="4483" width="6.6640625" bestFit="1" customWidth="1"/>
    <col min="4484" max="4484" width="12.21875" bestFit="1" customWidth="1"/>
    <col min="4485" max="4485" width="9" bestFit="1" customWidth="1"/>
    <col min="4486" max="4486" width="6.6640625" bestFit="1" customWidth="1"/>
    <col min="4487" max="4487" width="11.21875" bestFit="1" customWidth="1"/>
    <col min="4488" max="4488" width="10" bestFit="1" customWidth="1"/>
    <col min="4489" max="4489" width="6.6640625" bestFit="1" customWidth="1"/>
    <col min="4490" max="4490" width="12.21875" bestFit="1" customWidth="1"/>
    <col min="4491" max="4491" width="10" bestFit="1" customWidth="1"/>
    <col min="4492" max="4492" width="6.6640625" bestFit="1" customWidth="1"/>
    <col min="4493" max="4493" width="12.21875" bestFit="1" customWidth="1"/>
    <col min="4494" max="4494" width="10" bestFit="1" customWidth="1"/>
    <col min="4495" max="4495" width="6.6640625" bestFit="1" customWidth="1"/>
    <col min="4496" max="4496" width="12.21875" bestFit="1" customWidth="1"/>
    <col min="4497" max="4497" width="9" bestFit="1" customWidth="1"/>
    <col min="4498" max="4498" width="7.6640625" bestFit="1" customWidth="1"/>
    <col min="4499" max="4499" width="11.21875" bestFit="1" customWidth="1"/>
    <col min="4500" max="4500" width="9" bestFit="1" customWidth="1"/>
    <col min="4501" max="4501" width="6.6640625" bestFit="1" customWidth="1"/>
    <col min="4502" max="4502" width="11.21875" bestFit="1" customWidth="1"/>
    <col min="4503" max="4503" width="9" bestFit="1" customWidth="1"/>
    <col min="4504" max="4504" width="6.6640625" bestFit="1" customWidth="1"/>
    <col min="4505" max="4505" width="11.21875" bestFit="1" customWidth="1"/>
    <col min="4506" max="4506" width="10" bestFit="1" customWidth="1"/>
    <col min="4507" max="4507" width="6.6640625" bestFit="1" customWidth="1"/>
    <col min="4508" max="4508" width="12.21875" bestFit="1" customWidth="1"/>
    <col min="4509" max="4509" width="9" bestFit="1" customWidth="1"/>
    <col min="4510" max="4510" width="6.6640625" bestFit="1" customWidth="1"/>
    <col min="4511" max="4511" width="11.21875" bestFit="1" customWidth="1"/>
    <col min="4512" max="4512" width="10" bestFit="1" customWidth="1"/>
    <col min="4513" max="4513" width="6.6640625" bestFit="1" customWidth="1"/>
    <col min="4514" max="4514" width="12.21875" bestFit="1" customWidth="1"/>
    <col min="4515" max="4515" width="10" bestFit="1" customWidth="1"/>
    <col min="4516" max="4516" width="6.6640625" bestFit="1" customWidth="1"/>
    <col min="4517" max="4517" width="12.21875" bestFit="1" customWidth="1"/>
    <col min="4518" max="4518" width="10" bestFit="1" customWidth="1"/>
    <col min="4519" max="4519" width="6.6640625" bestFit="1" customWidth="1"/>
    <col min="4520" max="4520" width="12.21875" bestFit="1" customWidth="1"/>
    <col min="4521" max="4521" width="9" bestFit="1" customWidth="1"/>
    <col min="4522" max="4522" width="6.6640625" bestFit="1" customWidth="1"/>
    <col min="4523" max="4523" width="11.21875" bestFit="1" customWidth="1"/>
    <col min="4524" max="4524" width="9" bestFit="1" customWidth="1"/>
    <col min="4525" max="4525" width="7.6640625" bestFit="1" customWidth="1"/>
    <col min="4526" max="4526" width="11.21875" bestFit="1" customWidth="1"/>
    <col min="4527" max="4527" width="10" bestFit="1" customWidth="1"/>
    <col min="4528" max="4528" width="6.6640625" bestFit="1" customWidth="1"/>
    <col min="4529" max="4529" width="12.21875" bestFit="1" customWidth="1"/>
    <col min="4530" max="4530" width="10" bestFit="1" customWidth="1"/>
    <col min="4531" max="4531" width="6.6640625" bestFit="1" customWidth="1"/>
    <col min="4532" max="4532" width="12.21875" bestFit="1" customWidth="1"/>
    <col min="4533" max="4533" width="10" bestFit="1" customWidth="1"/>
    <col min="4534" max="4534" width="6.6640625" bestFit="1" customWidth="1"/>
    <col min="4535" max="4535" width="12.21875" bestFit="1" customWidth="1"/>
    <col min="4536" max="4536" width="10" bestFit="1" customWidth="1"/>
    <col min="4537" max="4537" width="6.6640625" bestFit="1" customWidth="1"/>
    <col min="4538" max="4538" width="12.21875" bestFit="1" customWidth="1"/>
    <col min="4539" max="4539" width="9" bestFit="1" customWidth="1"/>
    <col min="4540" max="4540" width="7.6640625" bestFit="1" customWidth="1"/>
    <col min="4541" max="4541" width="11.21875" bestFit="1" customWidth="1"/>
    <col min="4542" max="4542" width="10" bestFit="1" customWidth="1"/>
    <col min="4543" max="4543" width="6.6640625" bestFit="1" customWidth="1"/>
    <col min="4544" max="4544" width="12.21875" bestFit="1" customWidth="1"/>
    <col min="4545" max="4545" width="10" bestFit="1" customWidth="1"/>
    <col min="4546" max="4546" width="6.6640625" bestFit="1" customWidth="1"/>
    <col min="4547" max="4547" width="12.21875" bestFit="1" customWidth="1"/>
    <col min="4548" max="4548" width="9" bestFit="1" customWidth="1"/>
    <col min="4549" max="4549" width="6.6640625" bestFit="1" customWidth="1"/>
    <col min="4550" max="4550" width="11.21875" bestFit="1" customWidth="1"/>
    <col min="4551" max="4551" width="10" bestFit="1" customWidth="1"/>
    <col min="4552" max="4552" width="6.6640625" bestFit="1" customWidth="1"/>
    <col min="4553" max="4553" width="12.21875" bestFit="1" customWidth="1"/>
    <col min="4554" max="4554" width="9" bestFit="1" customWidth="1"/>
    <col min="4555" max="4555" width="6.6640625" bestFit="1" customWidth="1"/>
    <col min="4556" max="4556" width="11.21875" bestFit="1" customWidth="1"/>
    <col min="4557" max="4557" width="10" bestFit="1" customWidth="1"/>
    <col min="4558" max="4558" width="6.6640625" bestFit="1" customWidth="1"/>
    <col min="4559" max="4559" width="12.21875" bestFit="1" customWidth="1"/>
    <col min="4560" max="4560" width="10" bestFit="1" customWidth="1"/>
    <col min="4561" max="4561" width="6.6640625" bestFit="1" customWidth="1"/>
    <col min="4562" max="4562" width="12.21875" bestFit="1" customWidth="1"/>
    <col min="4563" max="4563" width="9" bestFit="1" customWidth="1"/>
    <col min="4564" max="4564" width="7.6640625" bestFit="1" customWidth="1"/>
    <col min="4565" max="4565" width="11.21875" bestFit="1" customWidth="1"/>
    <col min="4566" max="4566" width="10" bestFit="1" customWidth="1"/>
    <col min="4567" max="4567" width="6.6640625" bestFit="1" customWidth="1"/>
    <col min="4568" max="4568" width="12.21875" bestFit="1" customWidth="1"/>
    <col min="4569" max="4569" width="10" bestFit="1" customWidth="1"/>
    <col min="4570" max="4570" width="6.6640625" bestFit="1" customWidth="1"/>
    <col min="4571" max="4571" width="12.21875" bestFit="1" customWidth="1"/>
    <col min="4572" max="4572" width="10" bestFit="1" customWidth="1"/>
    <col min="4573" max="4573" width="6.6640625" bestFit="1" customWidth="1"/>
    <col min="4574" max="4574" width="12.21875" bestFit="1" customWidth="1"/>
    <col min="4575" max="4575" width="10" bestFit="1" customWidth="1"/>
    <col min="4576" max="4576" width="6.6640625" bestFit="1" customWidth="1"/>
    <col min="4577" max="4577" width="12.21875" bestFit="1" customWidth="1"/>
    <col min="4578" max="4578" width="9" bestFit="1" customWidth="1"/>
    <col min="4579" max="4579" width="6.6640625" bestFit="1" customWidth="1"/>
    <col min="4580" max="4580" width="11.21875" bestFit="1" customWidth="1"/>
    <col min="4581" max="4581" width="9" bestFit="1" customWidth="1"/>
    <col min="4582" max="4582" width="7.6640625" bestFit="1" customWidth="1"/>
    <col min="4583" max="4583" width="11.21875" bestFit="1" customWidth="1"/>
    <col min="4584" max="4584" width="10" bestFit="1" customWidth="1"/>
    <col min="4585" max="4585" width="6.6640625" bestFit="1" customWidth="1"/>
    <col min="4586" max="4586" width="12.21875" bestFit="1" customWidth="1"/>
    <col min="4587" max="4587" width="10" bestFit="1" customWidth="1"/>
    <col min="4588" max="4588" width="6.6640625" bestFit="1" customWidth="1"/>
    <col min="4589" max="4589" width="12.21875" bestFit="1" customWidth="1"/>
    <col min="4590" max="4590" width="9" bestFit="1" customWidth="1"/>
    <col min="4591" max="4591" width="7.6640625" bestFit="1" customWidth="1"/>
    <col min="4592" max="4592" width="11.21875" bestFit="1" customWidth="1"/>
    <col min="4593" max="4593" width="10" bestFit="1" customWidth="1"/>
    <col min="4594" max="4594" width="6.6640625" bestFit="1" customWidth="1"/>
    <col min="4595" max="4595" width="12.21875" bestFit="1" customWidth="1"/>
    <col min="4596" max="4596" width="10" bestFit="1" customWidth="1"/>
    <col min="4597" max="4597" width="6.6640625" bestFit="1" customWidth="1"/>
    <col min="4598" max="4598" width="12.21875" bestFit="1" customWidth="1"/>
    <col min="4599" max="4599" width="10" bestFit="1" customWidth="1"/>
    <col min="4600" max="4600" width="6.6640625" bestFit="1" customWidth="1"/>
    <col min="4601" max="4601" width="12.21875" bestFit="1" customWidth="1"/>
    <col min="4602" max="4602" width="10" bestFit="1" customWidth="1"/>
    <col min="4603" max="4603" width="6.6640625" bestFit="1" customWidth="1"/>
    <col min="4604" max="4604" width="12.21875" bestFit="1" customWidth="1"/>
    <col min="4605" max="4605" width="10" bestFit="1" customWidth="1"/>
    <col min="4606" max="4606" width="6.6640625" bestFit="1" customWidth="1"/>
    <col min="4607" max="4607" width="12.21875" bestFit="1" customWidth="1"/>
    <col min="4608" max="4608" width="10" bestFit="1" customWidth="1"/>
    <col min="4609" max="4609" width="6.6640625" bestFit="1" customWidth="1"/>
    <col min="4610" max="4610" width="12.21875" bestFit="1" customWidth="1"/>
    <col min="4611" max="4611" width="10" bestFit="1" customWidth="1"/>
    <col min="4612" max="4612" width="6.6640625" bestFit="1" customWidth="1"/>
    <col min="4613" max="4613" width="12.21875" bestFit="1" customWidth="1"/>
    <col min="4614" max="4614" width="9" bestFit="1" customWidth="1"/>
    <col min="4615" max="4615" width="6.6640625" bestFit="1" customWidth="1"/>
    <col min="4616" max="4616" width="11.21875" bestFit="1" customWidth="1"/>
    <col min="4617" max="4617" width="9" bestFit="1" customWidth="1"/>
    <col min="4618" max="4618" width="6.6640625" bestFit="1" customWidth="1"/>
    <col min="4619" max="4619" width="11.21875" bestFit="1" customWidth="1"/>
    <col min="4620" max="4620" width="10" bestFit="1" customWidth="1"/>
    <col min="4621" max="4621" width="6.6640625" bestFit="1" customWidth="1"/>
    <col min="4622" max="4622" width="12.21875" bestFit="1" customWidth="1"/>
    <col min="4623" max="4623" width="10" bestFit="1" customWidth="1"/>
    <col min="4624" max="4624" width="6.6640625" bestFit="1" customWidth="1"/>
    <col min="4625" max="4625" width="12.21875" bestFit="1" customWidth="1"/>
    <col min="4626" max="4626" width="10" bestFit="1" customWidth="1"/>
    <col min="4627" max="4627" width="6.6640625" bestFit="1" customWidth="1"/>
    <col min="4628" max="4628" width="12.21875" bestFit="1" customWidth="1"/>
    <col min="4629" max="4629" width="10" bestFit="1" customWidth="1"/>
    <col min="4630" max="4630" width="6.6640625" bestFit="1" customWidth="1"/>
    <col min="4631" max="4631" width="12.21875" bestFit="1" customWidth="1"/>
    <col min="4632" max="4632" width="10" bestFit="1" customWidth="1"/>
    <col min="4633" max="4633" width="6.6640625" bestFit="1" customWidth="1"/>
    <col min="4634" max="4634" width="12.21875" bestFit="1" customWidth="1"/>
    <col min="4635" max="4635" width="10" bestFit="1" customWidth="1"/>
    <col min="4636" max="4636" width="6.6640625" bestFit="1" customWidth="1"/>
    <col min="4637" max="4637" width="12.21875" bestFit="1" customWidth="1"/>
    <col min="4638" max="4638" width="10" bestFit="1" customWidth="1"/>
    <col min="4639" max="4639" width="6.6640625" bestFit="1" customWidth="1"/>
    <col min="4640" max="4640" width="12.21875" bestFit="1" customWidth="1"/>
    <col min="4641" max="4641" width="7" bestFit="1" customWidth="1"/>
    <col min="4642" max="4642" width="6.6640625" bestFit="1" customWidth="1"/>
    <col min="4643" max="4643" width="9.6640625" bestFit="1" customWidth="1"/>
    <col min="4644" max="4644" width="10" bestFit="1" customWidth="1"/>
    <col min="4645" max="4645" width="6.6640625" bestFit="1" customWidth="1"/>
    <col min="4646" max="4646" width="12.21875" bestFit="1" customWidth="1"/>
    <col min="4647" max="4647" width="10" bestFit="1" customWidth="1"/>
    <col min="4648" max="4648" width="6.6640625" bestFit="1" customWidth="1"/>
    <col min="4649" max="4649" width="12.21875" bestFit="1" customWidth="1"/>
    <col min="4650" max="4650" width="10" bestFit="1" customWidth="1"/>
    <col min="4651" max="4651" width="6.6640625" bestFit="1" customWidth="1"/>
    <col min="4652" max="4652" width="12.21875" bestFit="1" customWidth="1"/>
    <col min="4653" max="4653" width="10" bestFit="1" customWidth="1"/>
    <col min="4654" max="4654" width="6.6640625" bestFit="1" customWidth="1"/>
    <col min="4655" max="4655" width="12.21875" bestFit="1" customWidth="1"/>
    <col min="4656" max="4656" width="10" bestFit="1" customWidth="1"/>
    <col min="4657" max="4657" width="6.6640625" bestFit="1" customWidth="1"/>
    <col min="4658" max="4658" width="12.21875" bestFit="1" customWidth="1"/>
    <col min="4659" max="4659" width="10" bestFit="1" customWidth="1"/>
    <col min="4660" max="4660" width="6.6640625" bestFit="1" customWidth="1"/>
    <col min="4661" max="4661" width="12.21875" bestFit="1" customWidth="1"/>
    <col min="4662" max="4662" width="10" bestFit="1" customWidth="1"/>
    <col min="4663" max="4663" width="6.6640625" bestFit="1" customWidth="1"/>
    <col min="4664" max="4664" width="12.21875" bestFit="1" customWidth="1"/>
    <col min="4665" max="4665" width="10" bestFit="1" customWidth="1"/>
    <col min="4666" max="4666" width="6.6640625" bestFit="1" customWidth="1"/>
    <col min="4667" max="4667" width="12.21875" bestFit="1" customWidth="1"/>
    <col min="4668" max="4668" width="10" bestFit="1" customWidth="1"/>
    <col min="4669" max="4669" width="6.6640625" bestFit="1" customWidth="1"/>
    <col min="4670" max="4670" width="12.21875" bestFit="1" customWidth="1"/>
    <col min="4671" max="4671" width="9" bestFit="1" customWidth="1"/>
    <col min="4672" max="4672" width="6.6640625" bestFit="1" customWidth="1"/>
    <col min="4673" max="4673" width="11.21875" bestFit="1" customWidth="1"/>
    <col min="4674" max="4674" width="9" bestFit="1" customWidth="1"/>
    <col min="4675" max="4675" width="6.6640625" bestFit="1" customWidth="1"/>
    <col min="4676" max="4676" width="11.21875" bestFit="1" customWidth="1"/>
    <col min="4677" max="4677" width="10" bestFit="1" customWidth="1"/>
    <col min="4678" max="4678" width="6.6640625" bestFit="1" customWidth="1"/>
    <col min="4679" max="4679" width="12.21875" bestFit="1" customWidth="1"/>
    <col min="4680" max="4680" width="10" bestFit="1" customWidth="1"/>
    <col min="4681" max="4681" width="6.6640625" bestFit="1" customWidth="1"/>
    <col min="4682" max="4682" width="12.21875" bestFit="1" customWidth="1"/>
    <col min="4683" max="4683" width="10" bestFit="1" customWidth="1"/>
    <col min="4684" max="4684" width="6.6640625" bestFit="1" customWidth="1"/>
    <col min="4685" max="4685" width="12.21875" bestFit="1" customWidth="1"/>
    <col min="4686" max="4686" width="10" bestFit="1" customWidth="1"/>
    <col min="4687" max="4687" width="6.6640625" bestFit="1" customWidth="1"/>
    <col min="4688" max="4688" width="12.21875" bestFit="1" customWidth="1"/>
    <col min="4689" max="4689" width="9" bestFit="1" customWidth="1"/>
    <col min="4690" max="4690" width="6.6640625" bestFit="1" customWidth="1"/>
    <col min="4691" max="4691" width="11.21875" bestFit="1" customWidth="1"/>
    <col min="4692" max="4692" width="10" bestFit="1" customWidth="1"/>
    <col min="4693" max="4693" width="6.6640625" bestFit="1" customWidth="1"/>
    <col min="4694" max="4694" width="12.21875" bestFit="1" customWidth="1"/>
    <col min="4695" max="4695" width="9" bestFit="1" customWidth="1"/>
    <col min="4696" max="4696" width="6.6640625" bestFit="1" customWidth="1"/>
    <col min="4697" max="4697" width="7" bestFit="1" customWidth="1"/>
    <col min="4698" max="4698" width="6.6640625" bestFit="1" customWidth="1"/>
    <col min="4699" max="4699" width="11.21875" bestFit="1" customWidth="1"/>
    <col min="4700" max="4700" width="9" bestFit="1" customWidth="1"/>
    <col min="4701" max="4701" width="6.6640625" bestFit="1" customWidth="1"/>
    <col min="4702" max="4702" width="11.21875" bestFit="1" customWidth="1"/>
    <col min="4703" max="4703" width="10" bestFit="1" customWidth="1"/>
    <col min="4704" max="4704" width="6.6640625" bestFit="1" customWidth="1"/>
    <col min="4705" max="4705" width="12.21875" bestFit="1" customWidth="1"/>
    <col min="4706" max="4706" width="10" bestFit="1" customWidth="1"/>
    <col min="4707" max="4707" width="6.6640625" bestFit="1" customWidth="1"/>
    <col min="4708" max="4708" width="12.21875" bestFit="1" customWidth="1"/>
    <col min="4709" max="4709" width="9" bestFit="1" customWidth="1"/>
    <col min="4710" max="4710" width="6.6640625" bestFit="1" customWidth="1"/>
    <col min="4711" max="4711" width="11.21875" bestFit="1" customWidth="1"/>
    <col min="4712" max="4712" width="10" bestFit="1" customWidth="1"/>
    <col min="4713" max="4713" width="6.6640625" bestFit="1" customWidth="1"/>
    <col min="4714" max="4714" width="12.21875" bestFit="1" customWidth="1"/>
    <col min="4715" max="4715" width="10" bestFit="1" customWidth="1"/>
    <col min="4716" max="4716" width="6.6640625" bestFit="1" customWidth="1"/>
    <col min="4717" max="4717" width="12.21875" bestFit="1" customWidth="1"/>
    <col min="4718" max="4718" width="10" bestFit="1" customWidth="1"/>
    <col min="4719" max="4719" width="6.6640625" bestFit="1" customWidth="1"/>
    <col min="4720" max="4720" width="12.21875" bestFit="1" customWidth="1"/>
    <col min="4721" max="4721" width="10" bestFit="1" customWidth="1"/>
    <col min="4722" max="4722" width="6.6640625" bestFit="1" customWidth="1"/>
    <col min="4723" max="4723" width="12.21875" bestFit="1" customWidth="1"/>
    <col min="4724" max="4724" width="10" bestFit="1" customWidth="1"/>
    <col min="4725" max="4725" width="6.6640625" bestFit="1" customWidth="1"/>
    <col min="4726" max="4726" width="12.21875" bestFit="1" customWidth="1"/>
    <col min="4727" max="4727" width="10" bestFit="1" customWidth="1"/>
    <col min="4728" max="4728" width="6.6640625" bestFit="1" customWidth="1"/>
    <col min="4729" max="4729" width="12.21875" bestFit="1" customWidth="1"/>
    <col min="4730" max="4730" width="10" bestFit="1" customWidth="1"/>
    <col min="4731" max="4731" width="6.6640625" bestFit="1" customWidth="1"/>
    <col min="4732" max="4732" width="12.21875" bestFit="1" customWidth="1"/>
    <col min="4733" max="4733" width="10" bestFit="1" customWidth="1"/>
    <col min="4734" max="4734" width="6.6640625" bestFit="1" customWidth="1"/>
    <col min="4735" max="4735" width="12.21875" bestFit="1" customWidth="1"/>
    <col min="4736" max="4736" width="10" bestFit="1" customWidth="1"/>
    <col min="4737" max="4737" width="6.6640625" bestFit="1" customWidth="1"/>
    <col min="4738" max="4738" width="12.21875" bestFit="1" customWidth="1"/>
    <col min="4739" max="4739" width="10" bestFit="1" customWidth="1"/>
    <col min="4740" max="4740" width="6.6640625" bestFit="1" customWidth="1"/>
    <col min="4741" max="4741" width="12.21875" bestFit="1" customWidth="1"/>
    <col min="4742" max="4742" width="9" bestFit="1" customWidth="1"/>
    <col min="4743" max="4743" width="7.6640625" bestFit="1" customWidth="1"/>
    <col min="4744" max="4744" width="11.21875" bestFit="1" customWidth="1"/>
    <col min="4745" max="4745" width="9" bestFit="1" customWidth="1"/>
    <col min="4746" max="4746" width="6.6640625" bestFit="1" customWidth="1"/>
    <col min="4747" max="4747" width="11.21875" bestFit="1" customWidth="1"/>
    <col min="4748" max="4748" width="10" bestFit="1" customWidth="1"/>
    <col min="4749" max="4749" width="6.6640625" bestFit="1" customWidth="1"/>
    <col min="4750" max="4750" width="12.21875" bestFit="1" customWidth="1"/>
    <col min="4751" max="4751" width="10" bestFit="1" customWidth="1"/>
    <col min="4752" max="4752" width="6.6640625" bestFit="1" customWidth="1"/>
    <col min="4753" max="4753" width="12.21875" bestFit="1" customWidth="1"/>
    <col min="4754" max="4754" width="10" bestFit="1" customWidth="1"/>
    <col min="4755" max="4755" width="6.6640625" bestFit="1" customWidth="1"/>
    <col min="4756" max="4756" width="12.21875" bestFit="1" customWidth="1"/>
    <col min="4757" max="4757" width="7" bestFit="1" customWidth="1"/>
    <col min="4758" max="4758" width="6.6640625" bestFit="1" customWidth="1"/>
    <col min="4759" max="4759" width="9.6640625" bestFit="1" customWidth="1"/>
    <col min="4760" max="4760" width="9" bestFit="1" customWidth="1"/>
    <col min="4761" max="4761" width="6.6640625" bestFit="1" customWidth="1"/>
    <col min="4762" max="4762" width="11.21875" bestFit="1" customWidth="1"/>
    <col min="4763" max="4763" width="10" bestFit="1" customWidth="1"/>
    <col min="4764" max="4764" width="6.6640625" bestFit="1" customWidth="1"/>
    <col min="4765" max="4765" width="12.21875" bestFit="1" customWidth="1"/>
    <col min="4766" max="4766" width="9" bestFit="1" customWidth="1"/>
    <col min="4767" max="4767" width="7.6640625" bestFit="1" customWidth="1"/>
    <col min="4768" max="4768" width="11.21875" bestFit="1" customWidth="1"/>
    <col min="4769" max="4769" width="10" bestFit="1" customWidth="1"/>
    <col min="4770" max="4770" width="6.6640625" bestFit="1" customWidth="1"/>
    <col min="4771" max="4771" width="12.21875" bestFit="1" customWidth="1"/>
    <col min="4772" max="4772" width="9" bestFit="1" customWidth="1"/>
    <col min="4773" max="4773" width="6.6640625" bestFit="1" customWidth="1"/>
    <col min="4774" max="4774" width="11.21875" bestFit="1" customWidth="1"/>
    <col min="4775" max="4775" width="10" bestFit="1" customWidth="1"/>
    <col min="4776" max="4776" width="6.6640625" bestFit="1" customWidth="1"/>
    <col min="4777" max="4777" width="12.21875" bestFit="1" customWidth="1"/>
    <col min="4778" max="4778" width="9" bestFit="1" customWidth="1"/>
    <col min="4779" max="4779" width="6.6640625" bestFit="1" customWidth="1"/>
    <col min="4780" max="4780" width="11.21875" bestFit="1" customWidth="1"/>
    <col min="4781" max="4781" width="10" bestFit="1" customWidth="1"/>
    <col min="4782" max="4782" width="6.6640625" bestFit="1" customWidth="1"/>
    <col min="4783" max="4783" width="12.21875" bestFit="1" customWidth="1"/>
    <col min="4784" max="4784" width="9" bestFit="1" customWidth="1"/>
    <col min="4785" max="4785" width="6.6640625" bestFit="1" customWidth="1"/>
    <col min="4786" max="4786" width="11.21875" bestFit="1" customWidth="1"/>
    <col min="4787" max="4787" width="10" bestFit="1" customWidth="1"/>
    <col min="4788" max="4788" width="6.6640625" bestFit="1" customWidth="1"/>
    <col min="4789" max="4789" width="12.21875" bestFit="1" customWidth="1"/>
    <col min="4790" max="4790" width="10" bestFit="1" customWidth="1"/>
    <col min="4791" max="4791" width="6.6640625" bestFit="1" customWidth="1"/>
    <col min="4792" max="4792" width="12.21875" bestFit="1" customWidth="1"/>
    <col min="4793" max="4793" width="9" bestFit="1" customWidth="1"/>
    <col min="4794" max="4794" width="6.6640625" bestFit="1" customWidth="1"/>
    <col min="4795" max="4795" width="11.21875" bestFit="1" customWidth="1"/>
    <col min="4796" max="4796" width="10" bestFit="1" customWidth="1"/>
    <col min="4797" max="4797" width="6.6640625" bestFit="1" customWidth="1"/>
    <col min="4798" max="4798" width="12.21875" bestFit="1" customWidth="1"/>
    <col min="4799" max="4799" width="10" bestFit="1" customWidth="1"/>
    <col min="4800" max="4800" width="6.6640625" bestFit="1" customWidth="1"/>
    <col min="4801" max="4801" width="12.21875" bestFit="1" customWidth="1"/>
    <col min="4802" max="4802" width="9" bestFit="1" customWidth="1"/>
    <col min="4803" max="4803" width="6.6640625" bestFit="1" customWidth="1"/>
    <col min="4804" max="4804" width="11.21875" bestFit="1" customWidth="1"/>
    <col min="4805" max="4805" width="10" bestFit="1" customWidth="1"/>
    <col min="4806" max="4806" width="6.6640625" bestFit="1" customWidth="1"/>
    <col min="4807" max="4807" width="12.21875" bestFit="1" customWidth="1"/>
    <col min="4808" max="4808" width="10" bestFit="1" customWidth="1"/>
    <col min="4809" max="4809" width="6.6640625" bestFit="1" customWidth="1"/>
    <col min="4810" max="4810" width="12.21875" bestFit="1" customWidth="1"/>
    <col min="4811" max="4811" width="9" bestFit="1" customWidth="1"/>
    <col min="4812" max="4812" width="7.6640625" bestFit="1" customWidth="1"/>
    <col min="4813" max="4813" width="11.21875" bestFit="1" customWidth="1"/>
    <col min="4814" max="4814" width="10" bestFit="1" customWidth="1"/>
    <col min="4815" max="4815" width="6.6640625" bestFit="1" customWidth="1"/>
    <col min="4816" max="4816" width="12.21875" bestFit="1" customWidth="1"/>
    <col min="4817" max="4817" width="10" bestFit="1" customWidth="1"/>
    <col min="4818" max="4818" width="6.6640625" bestFit="1" customWidth="1"/>
    <col min="4819" max="4819" width="12.21875" bestFit="1" customWidth="1"/>
    <col min="4820" max="4820" width="10" bestFit="1" customWidth="1"/>
    <col min="4821" max="4821" width="6.6640625" bestFit="1" customWidth="1"/>
    <col min="4822" max="4822" width="12.21875" bestFit="1" customWidth="1"/>
    <col min="4823" max="4823" width="10" bestFit="1" customWidth="1"/>
    <col min="4824" max="4824" width="6.6640625" bestFit="1" customWidth="1"/>
    <col min="4825" max="4825" width="12.21875" bestFit="1" customWidth="1"/>
    <col min="4826" max="4826" width="9" bestFit="1" customWidth="1"/>
    <col min="4827" max="4827" width="6.6640625" bestFit="1" customWidth="1"/>
    <col min="4828" max="4828" width="11.21875" bestFit="1" customWidth="1"/>
    <col min="4829" max="4829" width="10" bestFit="1" customWidth="1"/>
    <col min="4830" max="4830" width="6.6640625" bestFit="1" customWidth="1"/>
    <col min="4831" max="4831" width="12.21875" bestFit="1" customWidth="1"/>
    <col min="4832" max="4832" width="9" bestFit="1" customWidth="1"/>
    <col min="4833" max="4833" width="6.6640625" bestFit="1" customWidth="1"/>
    <col min="4834" max="4834" width="11.21875" bestFit="1" customWidth="1"/>
    <col min="4835" max="4835" width="10" bestFit="1" customWidth="1"/>
    <col min="4836" max="4836" width="6.6640625" bestFit="1" customWidth="1"/>
    <col min="4837" max="4837" width="12.21875" bestFit="1" customWidth="1"/>
    <col min="4838" max="4838" width="9" bestFit="1" customWidth="1"/>
    <col min="4839" max="4839" width="6.6640625" bestFit="1" customWidth="1"/>
    <col min="4840" max="4840" width="11.21875" bestFit="1" customWidth="1"/>
    <col min="4841" max="4841" width="7" bestFit="1" customWidth="1"/>
    <col min="4842" max="4842" width="7.6640625" bestFit="1" customWidth="1"/>
    <col min="4843" max="4843" width="9.6640625" bestFit="1" customWidth="1"/>
    <col min="4844" max="4844" width="10" bestFit="1" customWidth="1"/>
    <col min="4845" max="4845" width="6.6640625" bestFit="1" customWidth="1"/>
    <col min="4846" max="4846" width="12.21875" bestFit="1" customWidth="1"/>
    <col min="4847" max="4847" width="10" bestFit="1" customWidth="1"/>
    <col min="4848" max="4848" width="6.6640625" bestFit="1" customWidth="1"/>
    <col min="4849" max="4849" width="12.21875" bestFit="1" customWidth="1"/>
    <col min="4850" max="4850" width="9" bestFit="1" customWidth="1"/>
    <col min="4851" max="4851" width="7.6640625" bestFit="1" customWidth="1"/>
    <col min="4852" max="4852" width="11.21875" bestFit="1" customWidth="1"/>
    <col min="4853" max="4853" width="10" bestFit="1" customWidth="1"/>
    <col min="4854" max="4854" width="6.6640625" bestFit="1" customWidth="1"/>
    <col min="4855" max="4855" width="12.21875" bestFit="1" customWidth="1"/>
    <col min="4856" max="4856" width="10" bestFit="1" customWidth="1"/>
    <col min="4857" max="4857" width="6.6640625" bestFit="1" customWidth="1"/>
    <col min="4858" max="4858" width="12.21875" bestFit="1" customWidth="1"/>
    <col min="4859" max="4859" width="9" bestFit="1" customWidth="1"/>
    <col min="4860" max="4860" width="6.6640625" bestFit="1" customWidth="1"/>
    <col min="4861" max="4861" width="11.21875" bestFit="1" customWidth="1"/>
    <col min="4862" max="4862" width="10" bestFit="1" customWidth="1"/>
    <col min="4863" max="4863" width="6.6640625" bestFit="1" customWidth="1"/>
    <col min="4864" max="4864" width="12.21875" bestFit="1" customWidth="1"/>
    <col min="4865" max="4865" width="9" bestFit="1" customWidth="1"/>
    <col min="4866" max="4866" width="7.6640625" bestFit="1" customWidth="1"/>
    <col min="4867" max="4867" width="11.21875" bestFit="1" customWidth="1"/>
    <col min="4868" max="4868" width="10" bestFit="1" customWidth="1"/>
    <col min="4869" max="4869" width="6.6640625" bestFit="1" customWidth="1"/>
    <col min="4870" max="4870" width="12.21875" bestFit="1" customWidth="1"/>
    <col min="4871" max="4871" width="9" bestFit="1" customWidth="1"/>
    <col min="4872" max="4872" width="6.6640625" bestFit="1" customWidth="1"/>
    <col min="4873" max="4873" width="11.21875" bestFit="1" customWidth="1"/>
    <col min="4874" max="4874" width="9" bestFit="1" customWidth="1"/>
    <col min="4875" max="4875" width="6.6640625" bestFit="1" customWidth="1"/>
    <col min="4876" max="4876" width="11.21875" bestFit="1" customWidth="1"/>
    <col min="4877" max="4877" width="7" bestFit="1" customWidth="1"/>
    <col min="4878" max="4878" width="6.6640625" bestFit="1" customWidth="1"/>
    <col min="4879" max="4879" width="9.6640625" bestFit="1" customWidth="1"/>
    <col min="4880" max="4880" width="10" bestFit="1" customWidth="1"/>
    <col min="4881" max="4881" width="6.6640625" bestFit="1" customWidth="1"/>
    <col min="4882" max="4882" width="12.21875" bestFit="1" customWidth="1"/>
    <col min="4883" max="4883" width="10" bestFit="1" customWidth="1"/>
    <col min="4884" max="4884" width="6.6640625" bestFit="1" customWidth="1"/>
    <col min="4885" max="4885" width="12.21875" bestFit="1" customWidth="1"/>
    <col min="4886" max="4886" width="10" bestFit="1" customWidth="1"/>
    <col min="4887" max="4887" width="6.6640625" bestFit="1" customWidth="1"/>
    <col min="4888" max="4888" width="12.21875" bestFit="1" customWidth="1"/>
    <col min="4889" max="4889" width="10" bestFit="1" customWidth="1"/>
    <col min="4890" max="4890" width="6.6640625" bestFit="1" customWidth="1"/>
    <col min="4891" max="4891" width="12.21875" bestFit="1" customWidth="1"/>
    <col min="4892" max="4892" width="10" bestFit="1" customWidth="1"/>
    <col min="4893" max="4893" width="6.6640625" bestFit="1" customWidth="1"/>
    <col min="4894" max="4894" width="12.21875" bestFit="1" customWidth="1"/>
    <col min="4895" max="4895" width="10" bestFit="1" customWidth="1"/>
    <col min="4896" max="4896" width="6.6640625" bestFit="1" customWidth="1"/>
    <col min="4897" max="4897" width="12.21875" bestFit="1" customWidth="1"/>
    <col min="4898" max="4898" width="10" bestFit="1" customWidth="1"/>
    <col min="4899" max="4899" width="6.6640625" bestFit="1" customWidth="1"/>
    <col min="4900" max="4900" width="12.21875" bestFit="1" customWidth="1"/>
    <col min="4901" max="4901" width="10" bestFit="1" customWidth="1"/>
    <col min="4902" max="4902" width="6.6640625" bestFit="1" customWidth="1"/>
    <col min="4903" max="4903" width="12.21875" bestFit="1" customWidth="1"/>
    <col min="4904" max="4904" width="10" bestFit="1" customWidth="1"/>
    <col min="4905" max="4905" width="6.6640625" bestFit="1" customWidth="1"/>
    <col min="4906" max="4906" width="12.21875" bestFit="1" customWidth="1"/>
    <col min="4907" max="4907" width="7" bestFit="1" customWidth="1"/>
    <col min="4908" max="4908" width="6.6640625" bestFit="1" customWidth="1"/>
    <col min="4909" max="4909" width="9.6640625" bestFit="1" customWidth="1"/>
    <col min="4910" max="4910" width="9" bestFit="1" customWidth="1"/>
    <col min="4911" max="4911" width="7.6640625" bestFit="1" customWidth="1"/>
    <col min="4912" max="4912" width="11.21875" bestFit="1" customWidth="1"/>
    <col min="4913" max="4913" width="10" bestFit="1" customWidth="1"/>
    <col min="4914" max="4914" width="6.6640625" bestFit="1" customWidth="1"/>
    <col min="4915" max="4915" width="12.21875" bestFit="1" customWidth="1"/>
    <col min="4916" max="4916" width="10" bestFit="1" customWidth="1"/>
    <col min="4917" max="4917" width="6.6640625" bestFit="1" customWidth="1"/>
    <col min="4918" max="4918" width="12.21875" bestFit="1" customWidth="1"/>
    <col min="4919" max="4919" width="10" bestFit="1" customWidth="1"/>
    <col min="4920" max="4920" width="6.6640625" bestFit="1" customWidth="1"/>
    <col min="4921" max="4921" width="12.21875" bestFit="1" customWidth="1"/>
    <col min="4922" max="4922" width="10" bestFit="1" customWidth="1"/>
    <col min="4923" max="4923" width="6.6640625" bestFit="1" customWidth="1"/>
    <col min="4924" max="4924" width="12.21875" bestFit="1" customWidth="1"/>
    <col min="4925" max="4925" width="10" bestFit="1" customWidth="1"/>
    <col min="4926" max="4926" width="6.6640625" bestFit="1" customWidth="1"/>
    <col min="4927" max="4927" width="12.21875" bestFit="1" customWidth="1"/>
    <col min="4928" max="4928" width="9" bestFit="1" customWidth="1"/>
    <col min="4929" max="4929" width="6.6640625" bestFit="1" customWidth="1"/>
    <col min="4930" max="4930" width="11.21875" bestFit="1" customWidth="1"/>
    <col min="4931" max="4931" width="9" bestFit="1" customWidth="1"/>
    <col min="4932" max="4932" width="6.6640625" bestFit="1" customWidth="1"/>
    <col min="4933" max="4933" width="11.21875" bestFit="1" customWidth="1"/>
    <col min="4934" max="4934" width="10" bestFit="1" customWidth="1"/>
    <col min="4935" max="4935" width="6.6640625" bestFit="1" customWidth="1"/>
    <col min="4936" max="4936" width="12.21875" bestFit="1" customWidth="1"/>
    <col min="4937" max="4937" width="9" bestFit="1" customWidth="1"/>
    <col min="4938" max="4938" width="7.6640625" bestFit="1" customWidth="1"/>
    <col min="4939" max="4939" width="11.21875" bestFit="1" customWidth="1"/>
    <col min="4940" max="4940" width="7" bestFit="1" customWidth="1"/>
    <col min="4941" max="4941" width="7.6640625" bestFit="1" customWidth="1"/>
    <col min="4942" max="4942" width="9.6640625" bestFit="1" customWidth="1"/>
    <col min="4943" max="4943" width="10" bestFit="1" customWidth="1"/>
    <col min="4944" max="4944" width="6.6640625" bestFit="1" customWidth="1"/>
    <col min="4945" max="4945" width="12.21875" bestFit="1" customWidth="1"/>
    <col min="4946" max="4946" width="10" bestFit="1" customWidth="1"/>
    <col min="4947" max="4947" width="6.6640625" bestFit="1" customWidth="1"/>
    <col min="4948" max="4948" width="12.21875" bestFit="1" customWidth="1"/>
    <col min="4949" max="4949" width="10" bestFit="1" customWidth="1"/>
    <col min="4950" max="4950" width="6.6640625" bestFit="1" customWidth="1"/>
    <col min="4951" max="4951" width="12.21875" bestFit="1" customWidth="1"/>
    <col min="4952" max="4952" width="7" bestFit="1" customWidth="1"/>
    <col min="4953" max="4953" width="7.6640625" bestFit="1" customWidth="1"/>
    <col min="4954" max="4954" width="9.6640625" bestFit="1" customWidth="1"/>
    <col min="4955" max="4955" width="10" bestFit="1" customWidth="1"/>
    <col min="4956" max="4956" width="6.6640625" bestFit="1" customWidth="1"/>
    <col min="4957" max="4957" width="12.21875" bestFit="1" customWidth="1"/>
    <col min="4958" max="4958" width="9" bestFit="1" customWidth="1"/>
    <col min="4959" max="4959" width="7.6640625" bestFit="1" customWidth="1"/>
    <col min="4960" max="4960" width="11.21875" bestFit="1" customWidth="1"/>
    <col min="4961" max="4961" width="10" bestFit="1" customWidth="1"/>
    <col min="4962" max="4962" width="6.6640625" bestFit="1" customWidth="1"/>
    <col min="4963" max="4963" width="12.21875" bestFit="1" customWidth="1"/>
    <col min="4964" max="4964" width="10" bestFit="1" customWidth="1"/>
    <col min="4965" max="4965" width="6.6640625" bestFit="1" customWidth="1"/>
    <col min="4966" max="4966" width="12.21875" bestFit="1" customWidth="1"/>
    <col min="4967" max="4967" width="10" bestFit="1" customWidth="1"/>
    <col min="4968" max="4968" width="6.6640625" bestFit="1" customWidth="1"/>
    <col min="4969" max="4969" width="12.21875" bestFit="1" customWidth="1"/>
    <col min="4970" max="4970" width="10" bestFit="1" customWidth="1"/>
    <col min="4971" max="4971" width="6.6640625" bestFit="1" customWidth="1"/>
    <col min="4972" max="4972" width="12.21875" bestFit="1" customWidth="1"/>
    <col min="4973" max="4973" width="10" bestFit="1" customWidth="1"/>
    <col min="4974" max="4974" width="6.6640625" bestFit="1" customWidth="1"/>
    <col min="4975" max="4975" width="12.21875" bestFit="1" customWidth="1"/>
    <col min="4976" max="4976" width="10" bestFit="1" customWidth="1"/>
    <col min="4977" max="4977" width="6.6640625" bestFit="1" customWidth="1"/>
    <col min="4978" max="4978" width="12.21875" bestFit="1" customWidth="1"/>
    <col min="4979" max="4979" width="10" bestFit="1" customWidth="1"/>
    <col min="4980" max="4980" width="6.6640625" bestFit="1" customWidth="1"/>
    <col min="4981" max="4981" width="12.21875" bestFit="1" customWidth="1"/>
    <col min="4982" max="4982" width="10" bestFit="1" customWidth="1"/>
    <col min="4983" max="4983" width="6.6640625" bestFit="1" customWidth="1"/>
    <col min="4984" max="4984" width="7" bestFit="1" customWidth="1"/>
    <col min="4985" max="4985" width="6.6640625" bestFit="1" customWidth="1"/>
    <col min="4986" max="4986" width="12.21875" bestFit="1" customWidth="1"/>
    <col min="4987" max="4987" width="9" bestFit="1" customWidth="1"/>
    <col min="4988" max="4988" width="6.6640625" bestFit="1" customWidth="1"/>
    <col min="4989" max="4989" width="11.21875" bestFit="1" customWidth="1"/>
    <col min="4990" max="4990" width="10" bestFit="1" customWidth="1"/>
    <col min="4991" max="4991" width="6.6640625" bestFit="1" customWidth="1"/>
    <col min="4992" max="4992" width="12.21875" bestFit="1" customWidth="1"/>
    <col min="4993" max="4993" width="9" bestFit="1" customWidth="1"/>
    <col min="4994" max="4994" width="7.6640625" bestFit="1" customWidth="1"/>
    <col min="4995" max="4995" width="11.21875" bestFit="1" customWidth="1"/>
    <col min="4996" max="4996" width="7" bestFit="1" customWidth="1"/>
    <col min="4997" max="4997" width="6.6640625" bestFit="1" customWidth="1"/>
    <col min="4998" max="4998" width="9.6640625" bestFit="1" customWidth="1"/>
    <col min="4999" max="4999" width="10" bestFit="1" customWidth="1"/>
    <col min="5000" max="5000" width="6.6640625" bestFit="1" customWidth="1"/>
    <col min="5001" max="5001" width="12.21875" bestFit="1" customWidth="1"/>
    <col min="5002" max="5002" width="9" bestFit="1" customWidth="1"/>
    <col min="5003" max="5003" width="6.6640625" bestFit="1" customWidth="1"/>
    <col min="5004" max="5004" width="11.21875" bestFit="1" customWidth="1"/>
    <col min="5005" max="5005" width="10" bestFit="1" customWidth="1"/>
    <col min="5006" max="5006" width="6.6640625" bestFit="1" customWidth="1"/>
    <col min="5007" max="5007" width="12.21875" bestFit="1" customWidth="1"/>
    <col min="5008" max="5008" width="10" bestFit="1" customWidth="1"/>
    <col min="5009" max="5009" width="6.6640625" bestFit="1" customWidth="1"/>
    <col min="5010" max="5010" width="12.21875" bestFit="1" customWidth="1"/>
    <col min="5011" max="5011" width="10" bestFit="1" customWidth="1"/>
    <col min="5012" max="5012" width="6.6640625" bestFit="1" customWidth="1"/>
    <col min="5013" max="5013" width="12.21875" bestFit="1" customWidth="1"/>
    <col min="5014" max="5014" width="10" bestFit="1" customWidth="1"/>
    <col min="5015" max="5015" width="6.6640625" bestFit="1" customWidth="1"/>
    <col min="5016" max="5016" width="12.21875" bestFit="1" customWidth="1"/>
    <col min="5017" max="5017" width="10" bestFit="1" customWidth="1"/>
    <col min="5018" max="5018" width="6.6640625" bestFit="1" customWidth="1"/>
    <col min="5019" max="5019" width="12.21875" bestFit="1" customWidth="1"/>
    <col min="5020" max="5020" width="9" bestFit="1" customWidth="1"/>
    <col min="5021" max="5021" width="7.6640625" bestFit="1" customWidth="1"/>
    <col min="5022" max="5022" width="11.21875" bestFit="1" customWidth="1"/>
    <col min="5023" max="5023" width="10" bestFit="1" customWidth="1"/>
    <col min="5024" max="5024" width="6.6640625" bestFit="1" customWidth="1"/>
    <col min="5025" max="5025" width="12.21875" bestFit="1" customWidth="1"/>
    <col min="5026" max="5026" width="9" bestFit="1" customWidth="1"/>
    <col min="5027" max="5027" width="6.6640625" bestFit="1" customWidth="1"/>
    <col min="5028" max="5028" width="11.21875" bestFit="1" customWidth="1"/>
    <col min="5029" max="5029" width="9" bestFit="1" customWidth="1"/>
    <col min="5030" max="5030" width="7.6640625" bestFit="1" customWidth="1"/>
    <col min="5031" max="5031" width="11.21875" bestFit="1" customWidth="1"/>
    <col min="5032" max="5032" width="10" bestFit="1" customWidth="1"/>
    <col min="5033" max="5033" width="6.6640625" bestFit="1" customWidth="1"/>
    <col min="5034" max="5034" width="12.21875" bestFit="1" customWidth="1"/>
    <col min="5035" max="5035" width="10" bestFit="1" customWidth="1"/>
    <col min="5036" max="5036" width="6.6640625" bestFit="1" customWidth="1"/>
    <col min="5037" max="5037" width="12.21875" bestFit="1" customWidth="1"/>
    <col min="5038" max="5038" width="10" bestFit="1" customWidth="1"/>
    <col min="5039" max="5039" width="6.6640625" bestFit="1" customWidth="1"/>
    <col min="5040" max="5040" width="12.21875" bestFit="1" customWidth="1"/>
    <col min="5041" max="5041" width="9" bestFit="1" customWidth="1"/>
    <col min="5042" max="5042" width="7.6640625" bestFit="1" customWidth="1"/>
    <col min="5043" max="5043" width="11.21875" bestFit="1" customWidth="1"/>
    <col min="5044" max="5044" width="10" bestFit="1" customWidth="1"/>
    <col min="5045" max="5045" width="6.6640625" bestFit="1" customWidth="1"/>
    <col min="5046" max="5046" width="12.21875" bestFit="1" customWidth="1"/>
    <col min="5047" max="5047" width="10" bestFit="1" customWidth="1"/>
    <col min="5048" max="5048" width="6.6640625" bestFit="1" customWidth="1"/>
    <col min="5049" max="5049" width="12.21875" bestFit="1" customWidth="1"/>
    <col min="5050" max="5050" width="9" bestFit="1" customWidth="1"/>
    <col min="5051" max="5051" width="7.6640625" bestFit="1" customWidth="1"/>
    <col min="5052" max="5052" width="11.21875" bestFit="1" customWidth="1"/>
    <col min="5053" max="5053" width="10" bestFit="1" customWidth="1"/>
    <col min="5054" max="5054" width="6.6640625" bestFit="1" customWidth="1"/>
    <col min="5055" max="5055" width="12.21875" bestFit="1" customWidth="1"/>
    <col min="5056" max="5056" width="9" bestFit="1" customWidth="1"/>
    <col min="5057" max="5057" width="7.6640625" bestFit="1" customWidth="1"/>
    <col min="5058" max="5058" width="11.21875" bestFit="1" customWidth="1"/>
    <col min="5059" max="5059" width="9" bestFit="1" customWidth="1"/>
    <col min="5060" max="5060" width="6.6640625" bestFit="1" customWidth="1"/>
    <col min="5061" max="5061" width="11.21875" bestFit="1" customWidth="1"/>
    <col min="5062" max="5062" width="9" bestFit="1" customWidth="1"/>
    <col min="5063" max="5063" width="7.6640625" bestFit="1" customWidth="1"/>
    <col min="5064" max="5064" width="11.21875" bestFit="1" customWidth="1"/>
    <col min="5065" max="5065" width="10" bestFit="1" customWidth="1"/>
    <col min="5066" max="5066" width="6.6640625" bestFit="1" customWidth="1"/>
    <col min="5067" max="5067" width="12.21875" bestFit="1" customWidth="1"/>
    <col min="5068" max="5068" width="10" bestFit="1" customWidth="1"/>
    <col min="5069" max="5069" width="6.6640625" bestFit="1" customWidth="1"/>
    <col min="5070" max="5070" width="12.21875" bestFit="1" customWidth="1"/>
    <col min="5071" max="5071" width="10" bestFit="1" customWidth="1"/>
    <col min="5072" max="5072" width="6.6640625" bestFit="1" customWidth="1"/>
    <col min="5073" max="5073" width="12.21875" bestFit="1" customWidth="1"/>
    <col min="5074" max="5074" width="9" bestFit="1" customWidth="1"/>
    <col min="5075" max="5075" width="6.6640625" bestFit="1" customWidth="1"/>
    <col min="5076" max="5076" width="11.21875" bestFit="1" customWidth="1"/>
    <col min="5077" max="5077" width="10" bestFit="1" customWidth="1"/>
    <col min="5078" max="5078" width="6.6640625" bestFit="1" customWidth="1"/>
    <col min="5079" max="5079" width="12.21875" bestFit="1" customWidth="1"/>
    <col min="5080" max="5080" width="9" bestFit="1" customWidth="1"/>
    <col min="5081" max="5081" width="7.6640625" bestFit="1" customWidth="1"/>
    <col min="5082" max="5082" width="11.21875" bestFit="1" customWidth="1"/>
    <col min="5083" max="5083" width="10" bestFit="1" customWidth="1"/>
    <col min="5084" max="5084" width="6.6640625" bestFit="1" customWidth="1"/>
    <col min="5085" max="5085" width="12.21875" bestFit="1" customWidth="1"/>
    <col min="5086" max="5086" width="9" bestFit="1" customWidth="1"/>
    <col min="5087" max="5087" width="6.6640625" bestFit="1" customWidth="1"/>
    <col min="5088" max="5088" width="11.21875" bestFit="1" customWidth="1"/>
    <col min="5089" max="5089" width="10" bestFit="1" customWidth="1"/>
    <col min="5090" max="5090" width="6.6640625" bestFit="1" customWidth="1"/>
    <col min="5091" max="5091" width="12.21875" bestFit="1" customWidth="1"/>
    <col min="5092" max="5092" width="10" bestFit="1" customWidth="1"/>
    <col min="5093" max="5093" width="6.6640625" bestFit="1" customWidth="1"/>
    <col min="5094" max="5094" width="12.21875" bestFit="1" customWidth="1"/>
    <col min="5095" max="5095" width="10" bestFit="1" customWidth="1"/>
    <col min="5096" max="5096" width="6.6640625" bestFit="1" customWidth="1"/>
    <col min="5097" max="5097" width="12.21875" bestFit="1" customWidth="1"/>
    <col min="5098" max="5098" width="10" bestFit="1" customWidth="1"/>
    <col min="5099" max="5099" width="6.6640625" bestFit="1" customWidth="1"/>
    <col min="5100" max="5100" width="12.21875" bestFit="1" customWidth="1"/>
    <col min="5101" max="5101" width="10" bestFit="1" customWidth="1"/>
    <col min="5102" max="5102" width="6.6640625" bestFit="1" customWidth="1"/>
    <col min="5103" max="5103" width="12.21875" bestFit="1" customWidth="1"/>
    <col min="5104" max="5104" width="9" bestFit="1" customWidth="1"/>
    <col min="5105" max="5105" width="6.6640625" bestFit="1" customWidth="1"/>
    <col min="5106" max="5106" width="11.21875" bestFit="1" customWidth="1"/>
    <col min="5107" max="5107" width="9" bestFit="1" customWidth="1"/>
    <col min="5108" max="5108" width="6.6640625" bestFit="1" customWidth="1"/>
    <col min="5109" max="5109" width="11.21875" bestFit="1" customWidth="1"/>
    <col min="5110" max="5110" width="10" bestFit="1" customWidth="1"/>
    <col min="5111" max="5111" width="6.6640625" bestFit="1" customWidth="1"/>
    <col min="5112" max="5112" width="12.21875" bestFit="1" customWidth="1"/>
    <col min="5113" max="5113" width="9" bestFit="1" customWidth="1"/>
    <col min="5114" max="5114" width="7.6640625" bestFit="1" customWidth="1"/>
    <col min="5115" max="5115" width="11.21875" bestFit="1" customWidth="1"/>
    <col min="5116" max="5116" width="10" bestFit="1" customWidth="1"/>
    <col min="5117" max="5117" width="6.6640625" bestFit="1" customWidth="1"/>
    <col min="5118" max="5118" width="12.21875" bestFit="1" customWidth="1"/>
    <col min="5119" max="5119" width="10" bestFit="1" customWidth="1"/>
    <col min="5120" max="5120" width="6.6640625" bestFit="1" customWidth="1"/>
    <col min="5121" max="5121" width="12.21875" bestFit="1" customWidth="1"/>
    <col min="5122" max="5122" width="9" bestFit="1" customWidth="1"/>
    <col min="5123" max="5123" width="7.6640625" bestFit="1" customWidth="1"/>
    <col min="5124" max="5124" width="11.21875" bestFit="1" customWidth="1"/>
    <col min="5125" max="5125" width="10" bestFit="1" customWidth="1"/>
    <col min="5126" max="5126" width="6.6640625" bestFit="1" customWidth="1"/>
    <col min="5127" max="5127" width="12.21875" bestFit="1" customWidth="1"/>
    <col min="5128" max="5128" width="10" bestFit="1" customWidth="1"/>
    <col min="5129" max="5129" width="6.6640625" bestFit="1" customWidth="1"/>
    <col min="5130" max="5130" width="12.21875" bestFit="1" customWidth="1"/>
    <col min="5131" max="5131" width="10" bestFit="1" customWidth="1"/>
    <col min="5132" max="5132" width="6.6640625" bestFit="1" customWidth="1"/>
    <col min="5133" max="5133" width="12.21875" bestFit="1" customWidth="1"/>
    <col min="5134" max="5134" width="10" bestFit="1" customWidth="1"/>
    <col min="5135" max="5135" width="6.6640625" bestFit="1" customWidth="1"/>
    <col min="5136" max="5136" width="12.21875" bestFit="1" customWidth="1"/>
    <col min="5137" max="5137" width="10" bestFit="1" customWidth="1"/>
    <col min="5138" max="5138" width="6.6640625" bestFit="1" customWidth="1"/>
    <col min="5139" max="5139" width="12.21875" bestFit="1" customWidth="1"/>
    <col min="5140" max="5140" width="10" bestFit="1" customWidth="1"/>
    <col min="5141" max="5141" width="6.6640625" bestFit="1" customWidth="1"/>
    <col min="5142" max="5142" width="12.21875" bestFit="1" customWidth="1"/>
    <col min="5143" max="5143" width="10" bestFit="1" customWidth="1"/>
    <col min="5144" max="5144" width="6.6640625" bestFit="1" customWidth="1"/>
    <col min="5145" max="5145" width="12.21875" bestFit="1" customWidth="1"/>
    <col min="5146" max="5146" width="9" bestFit="1" customWidth="1"/>
    <col min="5147" max="5147" width="7.6640625" bestFit="1" customWidth="1"/>
    <col min="5148" max="5148" width="11.21875" bestFit="1" customWidth="1"/>
    <col min="5149" max="5149" width="9" bestFit="1" customWidth="1"/>
    <col min="5150" max="5150" width="7.6640625" bestFit="1" customWidth="1"/>
    <col min="5151" max="5151" width="11.21875" bestFit="1" customWidth="1"/>
    <col min="5152" max="5152" width="10" bestFit="1" customWidth="1"/>
    <col min="5153" max="5153" width="6.6640625" bestFit="1" customWidth="1"/>
    <col min="5154" max="5154" width="12.21875" bestFit="1" customWidth="1"/>
    <col min="5155" max="5155" width="10" bestFit="1" customWidth="1"/>
    <col min="5156" max="5156" width="6.6640625" bestFit="1" customWidth="1"/>
    <col min="5157" max="5157" width="12.21875" bestFit="1" customWidth="1"/>
    <col min="5158" max="5158" width="10" bestFit="1" customWidth="1"/>
    <col min="5159" max="5159" width="6.6640625" bestFit="1" customWidth="1"/>
    <col min="5160" max="5160" width="12.21875" bestFit="1" customWidth="1"/>
    <col min="5161" max="5161" width="9" bestFit="1" customWidth="1"/>
    <col min="5162" max="5162" width="7.6640625" bestFit="1" customWidth="1"/>
    <col min="5163" max="5163" width="11.21875" bestFit="1" customWidth="1"/>
    <col min="5164" max="5164" width="10" bestFit="1" customWidth="1"/>
    <col min="5165" max="5165" width="6.6640625" bestFit="1" customWidth="1"/>
    <col min="5166" max="5166" width="12.21875" bestFit="1" customWidth="1"/>
    <col min="5167" max="5167" width="10" bestFit="1" customWidth="1"/>
    <col min="5168" max="5168" width="6.6640625" bestFit="1" customWidth="1"/>
    <col min="5169" max="5169" width="12.21875" bestFit="1" customWidth="1"/>
    <col min="5170" max="5170" width="10" bestFit="1" customWidth="1"/>
    <col min="5171" max="5171" width="6.6640625" bestFit="1" customWidth="1"/>
    <col min="5172" max="5172" width="12.21875" bestFit="1" customWidth="1"/>
    <col min="5173" max="5173" width="7" bestFit="1" customWidth="1"/>
    <col min="5174" max="5174" width="6.6640625" bestFit="1" customWidth="1"/>
    <col min="5175" max="5175" width="9.6640625" bestFit="1" customWidth="1"/>
    <col min="5176" max="5176" width="9" bestFit="1" customWidth="1"/>
    <col min="5177" max="5177" width="7.6640625" bestFit="1" customWidth="1"/>
    <col min="5178" max="5178" width="11.21875" bestFit="1" customWidth="1"/>
    <col min="5179" max="5179" width="9" bestFit="1" customWidth="1"/>
    <col min="5180" max="5180" width="6.6640625" bestFit="1" customWidth="1"/>
    <col min="5181" max="5181" width="11.21875" bestFit="1" customWidth="1"/>
    <col min="5182" max="5182" width="9" bestFit="1" customWidth="1"/>
    <col min="5183" max="5183" width="7.6640625" bestFit="1" customWidth="1"/>
    <col min="5184" max="5184" width="11.21875" bestFit="1" customWidth="1"/>
    <col min="5185" max="5185" width="9" bestFit="1" customWidth="1"/>
    <col min="5186" max="5186" width="7.6640625" bestFit="1" customWidth="1"/>
    <col min="5187" max="5187" width="11.21875" bestFit="1" customWidth="1"/>
    <col min="5188" max="5188" width="10" bestFit="1" customWidth="1"/>
    <col min="5189" max="5189" width="6.6640625" bestFit="1" customWidth="1"/>
    <col min="5190" max="5190" width="12.21875" bestFit="1" customWidth="1"/>
    <col min="5191" max="5191" width="10" bestFit="1" customWidth="1"/>
    <col min="5192" max="5192" width="6.6640625" bestFit="1" customWidth="1"/>
    <col min="5193" max="5193" width="12.21875" bestFit="1" customWidth="1"/>
    <col min="5194" max="5194" width="10" bestFit="1" customWidth="1"/>
    <col min="5195" max="5195" width="6.6640625" bestFit="1" customWidth="1"/>
    <col min="5196" max="5196" width="12.21875" bestFit="1" customWidth="1"/>
    <col min="5197" max="5197" width="9" bestFit="1" customWidth="1"/>
    <col min="5198" max="5198" width="6.6640625" bestFit="1" customWidth="1"/>
    <col min="5199" max="5199" width="11.21875" bestFit="1" customWidth="1"/>
    <col min="5200" max="5200" width="10" bestFit="1" customWidth="1"/>
    <col min="5201" max="5201" width="6.6640625" bestFit="1" customWidth="1"/>
    <col min="5202" max="5202" width="12.21875" bestFit="1" customWidth="1"/>
    <col min="5203" max="5203" width="9" bestFit="1" customWidth="1"/>
    <col min="5204" max="5204" width="6.6640625" bestFit="1" customWidth="1"/>
    <col min="5205" max="5205" width="11.21875" bestFit="1" customWidth="1"/>
    <col min="5206" max="5206" width="9" bestFit="1" customWidth="1"/>
    <col min="5207" max="5207" width="6.6640625" bestFit="1" customWidth="1"/>
    <col min="5208" max="5208" width="11.21875" bestFit="1" customWidth="1"/>
    <col min="5209" max="5209" width="10" bestFit="1" customWidth="1"/>
    <col min="5210" max="5210" width="6.6640625" bestFit="1" customWidth="1"/>
    <col min="5211" max="5211" width="12.21875" bestFit="1" customWidth="1"/>
    <col min="5212" max="5212" width="9" bestFit="1" customWidth="1"/>
    <col min="5213" max="5213" width="7.6640625" bestFit="1" customWidth="1"/>
    <col min="5214" max="5214" width="11.21875" bestFit="1" customWidth="1"/>
    <col min="5215" max="5215" width="10" bestFit="1" customWidth="1"/>
    <col min="5216" max="5216" width="6.6640625" bestFit="1" customWidth="1"/>
    <col min="5217" max="5217" width="12.21875" bestFit="1" customWidth="1"/>
    <col min="5218" max="5218" width="10" bestFit="1" customWidth="1"/>
    <col min="5219" max="5219" width="6.6640625" bestFit="1" customWidth="1"/>
    <col min="5220" max="5220" width="12.21875" bestFit="1" customWidth="1"/>
    <col min="5221" max="5221" width="10" bestFit="1" customWidth="1"/>
    <col min="5222" max="5222" width="6.6640625" bestFit="1" customWidth="1"/>
    <col min="5223" max="5223" width="12.21875" bestFit="1" customWidth="1"/>
    <col min="5224" max="5224" width="10" bestFit="1" customWidth="1"/>
    <col min="5225" max="5225" width="6.6640625" bestFit="1" customWidth="1"/>
    <col min="5226" max="5226" width="12.21875" bestFit="1" customWidth="1"/>
    <col min="5227" max="5227" width="9" bestFit="1" customWidth="1"/>
    <col min="5228" max="5228" width="6.6640625" bestFit="1" customWidth="1"/>
    <col min="5229" max="5229" width="11.21875" bestFit="1" customWidth="1"/>
    <col min="5230" max="5230" width="9" bestFit="1" customWidth="1"/>
    <col min="5231" max="5231" width="7.6640625" bestFit="1" customWidth="1"/>
    <col min="5232" max="5232" width="11.21875" bestFit="1" customWidth="1"/>
    <col min="5233" max="5233" width="10" bestFit="1" customWidth="1"/>
    <col min="5234" max="5234" width="6.6640625" bestFit="1" customWidth="1"/>
    <col min="5235" max="5235" width="12.21875" bestFit="1" customWidth="1"/>
    <col min="5236" max="5236" width="10" bestFit="1" customWidth="1"/>
    <col min="5237" max="5237" width="6.6640625" bestFit="1" customWidth="1"/>
    <col min="5238" max="5238" width="12.21875" bestFit="1" customWidth="1"/>
    <col min="5239" max="5239" width="7" bestFit="1" customWidth="1"/>
    <col min="5240" max="5240" width="6.6640625" bestFit="1" customWidth="1"/>
    <col min="5241" max="5241" width="9.6640625" bestFit="1" customWidth="1"/>
    <col min="5242" max="5242" width="10" bestFit="1" customWidth="1"/>
    <col min="5243" max="5243" width="6.6640625" bestFit="1" customWidth="1"/>
    <col min="5244" max="5244" width="12.21875" bestFit="1" customWidth="1"/>
    <col min="5245" max="5245" width="10" bestFit="1" customWidth="1"/>
    <col min="5246" max="5246" width="6.6640625" bestFit="1" customWidth="1"/>
    <col min="5247" max="5247" width="12.21875" bestFit="1" customWidth="1"/>
    <col min="5248" max="5248" width="9" bestFit="1" customWidth="1"/>
    <col min="5249" max="5249" width="7.6640625" bestFit="1" customWidth="1"/>
    <col min="5250" max="5250" width="11.21875" bestFit="1" customWidth="1"/>
    <col min="5251" max="5251" width="10" bestFit="1" customWidth="1"/>
    <col min="5252" max="5252" width="6.6640625" bestFit="1" customWidth="1"/>
    <col min="5253" max="5253" width="12.21875" bestFit="1" customWidth="1"/>
    <col min="5254" max="5254" width="10" bestFit="1" customWidth="1"/>
    <col min="5255" max="5255" width="6.6640625" bestFit="1" customWidth="1"/>
    <col min="5256" max="5256" width="12.21875" bestFit="1" customWidth="1"/>
    <col min="5257" max="5257" width="10" bestFit="1" customWidth="1"/>
    <col min="5258" max="5258" width="6.6640625" bestFit="1" customWidth="1"/>
    <col min="5259" max="5259" width="12.21875" bestFit="1" customWidth="1"/>
    <col min="5260" max="5260" width="10" bestFit="1" customWidth="1"/>
    <col min="5261" max="5261" width="6.6640625" bestFit="1" customWidth="1"/>
    <col min="5262" max="5262" width="12.21875" bestFit="1" customWidth="1"/>
    <col min="5263" max="5263" width="10" bestFit="1" customWidth="1"/>
    <col min="5264" max="5264" width="6.6640625" bestFit="1" customWidth="1"/>
    <col min="5265" max="5265" width="12.21875" bestFit="1" customWidth="1"/>
    <col min="5266" max="5266" width="10" bestFit="1" customWidth="1"/>
    <col min="5267" max="5267" width="6.6640625" bestFit="1" customWidth="1"/>
    <col min="5268" max="5268" width="12.21875" bestFit="1" customWidth="1"/>
    <col min="5269" max="5269" width="10" bestFit="1" customWidth="1"/>
    <col min="5270" max="5270" width="6.6640625" bestFit="1" customWidth="1"/>
    <col min="5271" max="5271" width="12.21875" bestFit="1" customWidth="1"/>
    <col min="5272" max="5272" width="10" bestFit="1" customWidth="1"/>
    <col min="5273" max="5273" width="6.6640625" bestFit="1" customWidth="1"/>
    <col min="5274" max="5274" width="12.21875" bestFit="1" customWidth="1"/>
    <col min="5275" max="5275" width="10" bestFit="1" customWidth="1"/>
    <col min="5276" max="5276" width="6.6640625" bestFit="1" customWidth="1"/>
    <col min="5277" max="5277" width="12.21875" bestFit="1" customWidth="1"/>
    <col min="5278" max="5278" width="9" bestFit="1" customWidth="1"/>
    <col min="5279" max="5279" width="6.6640625" bestFit="1" customWidth="1"/>
    <col min="5280" max="5280" width="11.21875" bestFit="1" customWidth="1"/>
    <col min="5281" max="5281" width="10" bestFit="1" customWidth="1"/>
    <col min="5282" max="5282" width="6.6640625" bestFit="1" customWidth="1"/>
    <col min="5283" max="5283" width="12.21875" bestFit="1" customWidth="1"/>
    <col min="5284" max="5284" width="9" bestFit="1" customWidth="1"/>
    <col min="5285" max="5285" width="6.6640625" bestFit="1" customWidth="1"/>
    <col min="5286" max="5286" width="11.21875" bestFit="1" customWidth="1"/>
    <col min="5287" max="5287" width="10" bestFit="1" customWidth="1"/>
    <col min="5288" max="5288" width="6.6640625" bestFit="1" customWidth="1"/>
    <col min="5289" max="5289" width="12.21875" bestFit="1" customWidth="1"/>
    <col min="5290" max="5290" width="10" bestFit="1" customWidth="1"/>
    <col min="5291" max="5291" width="6.6640625" bestFit="1" customWidth="1"/>
    <col min="5292" max="5292" width="12.21875" bestFit="1" customWidth="1"/>
    <col min="5293" max="5293" width="10" bestFit="1" customWidth="1"/>
    <col min="5294" max="5294" width="6.6640625" bestFit="1" customWidth="1"/>
    <col min="5295" max="5295" width="12.21875" bestFit="1" customWidth="1"/>
    <col min="5296" max="5296" width="10" bestFit="1" customWidth="1"/>
    <col min="5297" max="5297" width="6.6640625" bestFit="1" customWidth="1"/>
    <col min="5298" max="5298" width="12.21875" bestFit="1" customWidth="1"/>
    <col min="5299" max="5299" width="7" bestFit="1" customWidth="1"/>
    <col min="5300" max="5300" width="7.6640625" bestFit="1" customWidth="1"/>
    <col min="5301" max="5301" width="9.6640625" bestFit="1" customWidth="1"/>
    <col min="5302" max="5302" width="10" bestFit="1" customWidth="1"/>
    <col min="5303" max="5303" width="6.6640625" bestFit="1" customWidth="1"/>
    <col min="5304" max="5304" width="12.21875" bestFit="1" customWidth="1"/>
    <col min="5305" max="5305" width="10" bestFit="1" customWidth="1"/>
    <col min="5306" max="5306" width="6.6640625" bestFit="1" customWidth="1"/>
    <col min="5307" max="5307" width="12.21875" bestFit="1" customWidth="1"/>
    <col min="5308" max="5308" width="10" bestFit="1" customWidth="1"/>
    <col min="5309" max="5309" width="6.6640625" bestFit="1" customWidth="1"/>
    <col min="5310" max="5310" width="12.21875" bestFit="1" customWidth="1"/>
    <col min="5311" max="5311" width="9" bestFit="1" customWidth="1"/>
    <col min="5312" max="5312" width="6.6640625" bestFit="1" customWidth="1"/>
    <col min="5313" max="5313" width="11.21875" bestFit="1" customWidth="1"/>
    <col min="5314" max="5314" width="10" bestFit="1" customWidth="1"/>
    <col min="5315" max="5315" width="6.6640625" bestFit="1" customWidth="1"/>
    <col min="5316" max="5316" width="12.21875" bestFit="1" customWidth="1"/>
    <col min="5317" max="5317" width="9" bestFit="1" customWidth="1"/>
    <col min="5318" max="5318" width="7.6640625" bestFit="1" customWidth="1"/>
    <col min="5319" max="5319" width="11.21875" bestFit="1" customWidth="1"/>
    <col min="5320" max="5320" width="9" bestFit="1" customWidth="1"/>
    <col min="5321" max="5321" width="7.6640625" bestFit="1" customWidth="1"/>
    <col min="5322" max="5322" width="11.21875" bestFit="1" customWidth="1"/>
    <col min="5323" max="5323" width="9" bestFit="1" customWidth="1"/>
    <col min="5324" max="5324" width="7.6640625" bestFit="1" customWidth="1"/>
    <col min="5325" max="5325" width="11.21875" bestFit="1" customWidth="1"/>
    <col min="5326" max="5326" width="9" bestFit="1" customWidth="1"/>
    <col min="5327" max="5327" width="6.6640625" bestFit="1" customWidth="1"/>
    <col min="5328" max="5328" width="11.21875" bestFit="1" customWidth="1"/>
    <col min="5329" max="5329" width="10" bestFit="1" customWidth="1"/>
    <col min="5330" max="5330" width="6.6640625" bestFit="1" customWidth="1"/>
    <col min="5331" max="5331" width="12.21875" bestFit="1" customWidth="1"/>
    <col min="5332" max="5332" width="10" bestFit="1" customWidth="1"/>
    <col min="5333" max="5333" width="6.6640625" bestFit="1" customWidth="1"/>
    <col min="5334" max="5334" width="12.21875" bestFit="1" customWidth="1"/>
    <col min="5335" max="5335" width="10" bestFit="1" customWidth="1"/>
    <col min="5336" max="5336" width="6.6640625" bestFit="1" customWidth="1"/>
    <col min="5337" max="5337" width="12.21875" bestFit="1" customWidth="1"/>
    <col min="5338" max="5338" width="7" bestFit="1" customWidth="1"/>
    <col min="5339" max="5339" width="7.6640625" bestFit="1" customWidth="1"/>
    <col min="5340" max="5340" width="9.6640625" bestFit="1" customWidth="1"/>
    <col min="5341" max="5341" width="10" bestFit="1" customWidth="1"/>
    <col min="5342" max="5342" width="6.6640625" bestFit="1" customWidth="1"/>
    <col min="5343" max="5343" width="12.21875" bestFit="1" customWidth="1"/>
    <col min="5344" max="5344" width="7" bestFit="1" customWidth="1"/>
    <col min="5345" max="5345" width="7.6640625" bestFit="1" customWidth="1"/>
    <col min="5346" max="5346" width="9.6640625" bestFit="1" customWidth="1"/>
    <col min="5347" max="5347" width="10" bestFit="1" customWidth="1"/>
    <col min="5348" max="5348" width="6.6640625" bestFit="1" customWidth="1"/>
    <col min="5349" max="5349" width="12.21875" bestFit="1" customWidth="1"/>
    <col min="5350" max="5350" width="10" bestFit="1" customWidth="1"/>
    <col min="5351" max="5351" width="6.6640625" bestFit="1" customWidth="1"/>
    <col min="5352" max="5352" width="12.21875" bestFit="1" customWidth="1"/>
    <col min="5353" max="5353" width="10" bestFit="1" customWidth="1"/>
    <col min="5354" max="5354" width="6.6640625" bestFit="1" customWidth="1"/>
    <col min="5355" max="5355" width="12.21875" bestFit="1" customWidth="1"/>
    <col min="5356" max="5356" width="10" bestFit="1" customWidth="1"/>
    <col min="5357" max="5357" width="6.6640625" bestFit="1" customWidth="1"/>
    <col min="5358" max="5358" width="12.21875" bestFit="1" customWidth="1"/>
    <col min="5359" max="5359" width="10" bestFit="1" customWidth="1"/>
    <col min="5360" max="5360" width="6.6640625" bestFit="1" customWidth="1"/>
    <col min="5361" max="5361" width="12.21875" bestFit="1" customWidth="1"/>
    <col min="5362" max="5362" width="7" bestFit="1" customWidth="1"/>
    <col min="5363" max="5363" width="7.6640625" bestFit="1" customWidth="1"/>
    <col min="5364" max="5364" width="9.6640625" bestFit="1" customWidth="1"/>
    <col min="5365" max="5365" width="10" bestFit="1" customWidth="1"/>
    <col min="5366" max="5366" width="6.6640625" bestFit="1" customWidth="1"/>
    <col min="5367" max="5367" width="12.21875" bestFit="1" customWidth="1"/>
    <col min="5368" max="5368" width="10" bestFit="1" customWidth="1"/>
    <col min="5369" max="5369" width="6.6640625" bestFit="1" customWidth="1"/>
    <col min="5370" max="5370" width="12.21875" bestFit="1" customWidth="1"/>
    <col min="5371" max="5371" width="9" bestFit="1" customWidth="1"/>
    <col min="5372" max="5372" width="6.6640625" bestFit="1" customWidth="1"/>
    <col min="5373" max="5373" width="11.21875" bestFit="1" customWidth="1"/>
    <col min="5374" max="5374" width="9" bestFit="1" customWidth="1"/>
    <col min="5375" max="5375" width="7.6640625" bestFit="1" customWidth="1"/>
    <col min="5376" max="5376" width="11.21875" bestFit="1" customWidth="1"/>
    <col min="5377" max="5377" width="10" bestFit="1" customWidth="1"/>
    <col min="5378" max="5378" width="6.6640625" bestFit="1" customWidth="1"/>
    <col min="5379" max="5379" width="12.21875" bestFit="1" customWidth="1"/>
    <col min="5380" max="5380" width="10" bestFit="1" customWidth="1"/>
    <col min="5381" max="5381" width="6.6640625" bestFit="1" customWidth="1"/>
    <col min="5382" max="5382" width="12.21875" bestFit="1" customWidth="1"/>
    <col min="5383" max="5383" width="10" bestFit="1" customWidth="1"/>
    <col min="5384" max="5384" width="6.6640625" bestFit="1" customWidth="1"/>
    <col min="5385" max="5385" width="12.21875" bestFit="1" customWidth="1"/>
    <col min="5386" max="5386" width="10" bestFit="1" customWidth="1"/>
    <col min="5387" max="5387" width="6.6640625" bestFit="1" customWidth="1"/>
    <col min="5388" max="5388" width="12.21875" bestFit="1" customWidth="1"/>
    <col min="5389" max="5389" width="10" bestFit="1" customWidth="1"/>
    <col min="5390" max="5390" width="6.6640625" bestFit="1" customWidth="1"/>
    <col min="5391" max="5391" width="12.21875" bestFit="1" customWidth="1"/>
    <col min="5392" max="5392" width="10" bestFit="1" customWidth="1"/>
    <col min="5393" max="5393" width="6.6640625" bestFit="1" customWidth="1"/>
    <col min="5394" max="5394" width="12.21875" bestFit="1" customWidth="1"/>
    <col min="5395" max="5395" width="10" bestFit="1" customWidth="1"/>
    <col min="5396" max="5396" width="6.6640625" bestFit="1" customWidth="1"/>
    <col min="5397" max="5397" width="12.21875" bestFit="1" customWidth="1"/>
    <col min="5398" max="5398" width="10" bestFit="1" customWidth="1"/>
    <col min="5399" max="5399" width="6.6640625" bestFit="1" customWidth="1"/>
    <col min="5400" max="5400" width="12.21875" bestFit="1" customWidth="1"/>
    <col min="5401" max="5401" width="9" bestFit="1" customWidth="1"/>
    <col min="5402" max="5402" width="7.6640625" bestFit="1" customWidth="1"/>
    <col min="5403" max="5403" width="11.21875" bestFit="1" customWidth="1"/>
    <col min="5404" max="5404" width="10" bestFit="1" customWidth="1"/>
    <col min="5405" max="5405" width="6.6640625" bestFit="1" customWidth="1"/>
    <col min="5406" max="5406" width="12.21875" bestFit="1" customWidth="1"/>
    <col min="5407" max="5407" width="10" bestFit="1" customWidth="1"/>
    <col min="5408" max="5408" width="6.6640625" bestFit="1" customWidth="1"/>
    <col min="5409" max="5409" width="12.21875" bestFit="1" customWidth="1"/>
    <col min="5410" max="5410" width="9" bestFit="1" customWidth="1"/>
    <col min="5411" max="5411" width="7.6640625" bestFit="1" customWidth="1"/>
    <col min="5412" max="5412" width="11.21875" bestFit="1" customWidth="1"/>
    <col min="5413" max="5413" width="10" bestFit="1" customWidth="1"/>
    <col min="5414" max="5414" width="6.6640625" bestFit="1" customWidth="1"/>
    <col min="5415" max="5415" width="12.21875" bestFit="1" customWidth="1"/>
    <col min="5416" max="5416" width="10" bestFit="1" customWidth="1"/>
    <col min="5417" max="5417" width="6.6640625" bestFit="1" customWidth="1"/>
    <col min="5418" max="5418" width="12.21875" bestFit="1" customWidth="1"/>
    <col min="5419" max="5419" width="9" bestFit="1" customWidth="1"/>
    <col min="5420" max="5420" width="7.6640625" bestFit="1" customWidth="1"/>
    <col min="5421" max="5421" width="11.21875" bestFit="1" customWidth="1"/>
    <col min="5422" max="5422" width="10" bestFit="1" customWidth="1"/>
    <col min="5423" max="5423" width="6.6640625" bestFit="1" customWidth="1"/>
    <col min="5424" max="5424" width="12.21875" bestFit="1" customWidth="1"/>
    <col min="5425" max="5425" width="9" bestFit="1" customWidth="1"/>
    <col min="5426" max="5426" width="7.6640625" bestFit="1" customWidth="1"/>
    <col min="5427" max="5427" width="11.21875" bestFit="1" customWidth="1"/>
    <col min="5428" max="5428" width="10" bestFit="1" customWidth="1"/>
    <col min="5429" max="5429" width="6.6640625" bestFit="1" customWidth="1"/>
    <col min="5430" max="5430" width="12.21875" bestFit="1" customWidth="1"/>
    <col min="5431" max="5431" width="9" bestFit="1" customWidth="1"/>
    <col min="5432" max="5432" width="7.6640625" bestFit="1" customWidth="1"/>
    <col min="5433" max="5433" width="11.21875" bestFit="1" customWidth="1"/>
    <col min="5434" max="5434" width="9" bestFit="1" customWidth="1"/>
    <col min="5435" max="5435" width="7.6640625" bestFit="1" customWidth="1"/>
    <col min="5436" max="5436" width="11.21875" bestFit="1" customWidth="1"/>
    <col min="5437" max="5437" width="10" bestFit="1" customWidth="1"/>
    <col min="5438" max="5438" width="6.6640625" bestFit="1" customWidth="1"/>
    <col min="5439" max="5439" width="12.21875" bestFit="1" customWidth="1"/>
    <col min="5440" max="5440" width="10" bestFit="1" customWidth="1"/>
    <col min="5441" max="5441" width="6.6640625" bestFit="1" customWidth="1"/>
    <col min="5442" max="5442" width="12.21875" bestFit="1" customWidth="1"/>
    <col min="5443" max="5443" width="10" bestFit="1" customWidth="1"/>
    <col min="5444" max="5444" width="6.6640625" bestFit="1" customWidth="1"/>
    <col min="5445" max="5445" width="12.21875" bestFit="1" customWidth="1"/>
    <col min="5446" max="5446" width="10" bestFit="1" customWidth="1"/>
    <col min="5447" max="5447" width="6.6640625" bestFit="1" customWidth="1"/>
    <col min="5448" max="5448" width="12.21875" bestFit="1" customWidth="1"/>
    <col min="5449" max="5449" width="10" bestFit="1" customWidth="1"/>
    <col min="5450" max="5450" width="6.6640625" bestFit="1" customWidth="1"/>
    <col min="5451" max="5451" width="12.21875" bestFit="1" customWidth="1"/>
    <col min="5452" max="5452" width="10" bestFit="1" customWidth="1"/>
    <col min="5453" max="5453" width="6.6640625" bestFit="1" customWidth="1"/>
    <col min="5454" max="5454" width="12.21875" bestFit="1" customWidth="1"/>
    <col min="5455" max="5455" width="9" bestFit="1" customWidth="1"/>
    <col min="5456" max="5456" width="7.6640625" bestFit="1" customWidth="1"/>
    <col min="5457" max="5457" width="11.21875" bestFit="1" customWidth="1"/>
    <col min="5458" max="5458" width="10" bestFit="1" customWidth="1"/>
    <col min="5459" max="5459" width="6.6640625" bestFit="1" customWidth="1"/>
    <col min="5460" max="5460" width="12.21875" bestFit="1" customWidth="1"/>
    <col min="5461" max="5461" width="9" bestFit="1" customWidth="1"/>
    <col min="5462" max="5462" width="7.6640625" bestFit="1" customWidth="1"/>
    <col min="5463" max="5463" width="11.21875" bestFit="1" customWidth="1"/>
    <col min="5464" max="5464" width="10" bestFit="1" customWidth="1"/>
    <col min="5465" max="5465" width="6.6640625" bestFit="1" customWidth="1"/>
    <col min="5466" max="5466" width="12.21875" bestFit="1" customWidth="1"/>
    <col min="5467" max="5467" width="10" bestFit="1" customWidth="1"/>
    <col min="5468" max="5468" width="6.6640625" bestFit="1" customWidth="1"/>
    <col min="5469" max="5469" width="12.21875" bestFit="1" customWidth="1"/>
    <col min="5470" max="5470" width="10" bestFit="1" customWidth="1"/>
    <col min="5471" max="5471" width="6.6640625" bestFit="1" customWidth="1"/>
    <col min="5472" max="5472" width="12.21875" bestFit="1" customWidth="1"/>
    <col min="5473" max="5473" width="10" bestFit="1" customWidth="1"/>
    <col min="5474" max="5474" width="6.6640625" bestFit="1" customWidth="1"/>
    <col min="5475" max="5475" width="12.21875" bestFit="1" customWidth="1"/>
    <col min="5476" max="5476" width="10" bestFit="1" customWidth="1"/>
    <col min="5477" max="5477" width="6.6640625" bestFit="1" customWidth="1"/>
    <col min="5478" max="5478" width="12.21875" bestFit="1" customWidth="1"/>
    <col min="5479" max="5479" width="10" bestFit="1" customWidth="1"/>
    <col min="5480" max="5480" width="6.6640625" bestFit="1" customWidth="1"/>
    <col min="5481" max="5481" width="12.21875" bestFit="1" customWidth="1"/>
    <col min="5482" max="5482" width="10" bestFit="1" customWidth="1"/>
    <col min="5483" max="5483" width="6.6640625" bestFit="1" customWidth="1"/>
    <col min="5484" max="5484" width="12.21875" bestFit="1" customWidth="1"/>
    <col min="5485" max="5485" width="9" bestFit="1" customWidth="1"/>
    <col min="5486" max="5486" width="7.6640625" bestFit="1" customWidth="1"/>
    <col min="5487" max="5487" width="11.21875" bestFit="1" customWidth="1"/>
    <col min="5488" max="5488" width="10" bestFit="1" customWidth="1"/>
    <col min="5489" max="5489" width="6.6640625" bestFit="1" customWidth="1"/>
    <col min="5490" max="5490" width="12.21875" bestFit="1" customWidth="1"/>
    <col min="5491" max="5491" width="9" bestFit="1" customWidth="1"/>
    <col min="5492" max="5492" width="6.6640625" bestFit="1" customWidth="1"/>
    <col min="5493" max="5493" width="11.21875" bestFit="1" customWidth="1"/>
    <col min="5494" max="5494" width="10" bestFit="1" customWidth="1"/>
    <col min="5495" max="5495" width="6.6640625" bestFit="1" customWidth="1"/>
    <col min="5496" max="5496" width="12.21875" bestFit="1" customWidth="1"/>
    <col min="5497" max="5497" width="10" bestFit="1" customWidth="1"/>
    <col min="5498" max="5498" width="6.6640625" bestFit="1" customWidth="1"/>
    <col min="5499" max="5499" width="12.21875" bestFit="1" customWidth="1"/>
    <col min="5500" max="5500" width="10" bestFit="1" customWidth="1"/>
    <col min="5501" max="5501" width="6.6640625" bestFit="1" customWidth="1"/>
    <col min="5502" max="5502" width="12.21875" bestFit="1" customWidth="1"/>
    <col min="5503" max="5503" width="10" bestFit="1" customWidth="1"/>
    <col min="5504" max="5504" width="6.6640625" bestFit="1" customWidth="1"/>
    <col min="5505" max="5505" width="12.21875" bestFit="1" customWidth="1"/>
    <col min="5506" max="5506" width="9" bestFit="1" customWidth="1"/>
    <col min="5507" max="5507" width="7.6640625" bestFit="1" customWidth="1"/>
    <col min="5508" max="5508" width="11.21875" bestFit="1" customWidth="1"/>
    <col min="5509" max="5509" width="10" bestFit="1" customWidth="1"/>
    <col min="5510" max="5510" width="6.6640625" bestFit="1" customWidth="1"/>
    <col min="5511" max="5511" width="12.21875" bestFit="1" customWidth="1"/>
    <col min="5512" max="5512" width="9" bestFit="1" customWidth="1"/>
    <col min="5513" max="5513" width="7.6640625" bestFit="1" customWidth="1"/>
    <col min="5514" max="5514" width="11.21875" bestFit="1" customWidth="1"/>
    <col min="5515" max="5515" width="10" bestFit="1" customWidth="1"/>
    <col min="5516" max="5516" width="6.6640625" bestFit="1" customWidth="1"/>
    <col min="5517" max="5517" width="12.21875" bestFit="1" customWidth="1"/>
    <col min="5518" max="5518" width="10" bestFit="1" customWidth="1"/>
    <col min="5519" max="5519" width="6.6640625" bestFit="1" customWidth="1"/>
    <col min="5520" max="5520" width="12.21875" bestFit="1" customWidth="1"/>
    <col min="5521" max="5521" width="10" bestFit="1" customWidth="1"/>
    <col min="5522" max="5522" width="6.6640625" bestFit="1" customWidth="1"/>
    <col min="5523" max="5523" width="12.21875" bestFit="1" customWidth="1"/>
    <col min="5524" max="5524" width="10" bestFit="1" customWidth="1"/>
    <col min="5525" max="5525" width="6.6640625" bestFit="1" customWidth="1"/>
    <col min="5526" max="5526" width="12.21875" bestFit="1" customWidth="1"/>
    <col min="5527" max="5527" width="10" bestFit="1" customWidth="1"/>
    <col min="5528" max="5528" width="6.6640625" bestFit="1" customWidth="1"/>
    <col min="5529" max="5529" width="12.21875" bestFit="1" customWidth="1"/>
    <col min="5530" max="5530" width="10" bestFit="1" customWidth="1"/>
    <col min="5531" max="5531" width="6.6640625" bestFit="1" customWidth="1"/>
    <col min="5532" max="5532" width="12.21875" bestFit="1" customWidth="1"/>
    <col min="5533" max="5533" width="10" bestFit="1" customWidth="1"/>
    <col min="5534" max="5534" width="6.6640625" bestFit="1" customWidth="1"/>
    <col min="5535" max="5535" width="12.21875" bestFit="1" customWidth="1"/>
    <col min="5536" max="5536" width="10" bestFit="1" customWidth="1"/>
    <col min="5537" max="5537" width="6.6640625" bestFit="1" customWidth="1"/>
    <col min="5538" max="5538" width="12.21875" bestFit="1" customWidth="1"/>
    <col min="5539" max="5539" width="9" bestFit="1" customWidth="1"/>
    <col min="5540" max="5540" width="7.6640625" bestFit="1" customWidth="1"/>
    <col min="5541" max="5541" width="11.21875" bestFit="1" customWidth="1"/>
    <col min="5542" max="5542" width="10" bestFit="1" customWidth="1"/>
    <col min="5543" max="5543" width="6.6640625" bestFit="1" customWidth="1"/>
    <col min="5544" max="5544" width="12.21875" bestFit="1" customWidth="1"/>
    <col min="5545" max="5545" width="10" bestFit="1" customWidth="1"/>
    <col min="5546" max="5546" width="6.6640625" bestFit="1" customWidth="1"/>
    <col min="5547" max="5547" width="12.21875" bestFit="1" customWidth="1"/>
    <col min="5548" max="5548" width="10" bestFit="1" customWidth="1"/>
    <col min="5549" max="5549" width="6.6640625" bestFit="1" customWidth="1"/>
    <col min="5550" max="5550" width="12.21875" bestFit="1" customWidth="1"/>
    <col min="5551" max="5551" width="10" bestFit="1" customWidth="1"/>
    <col min="5552" max="5552" width="6.6640625" bestFit="1" customWidth="1"/>
    <col min="5553" max="5553" width="12.21875" bestFit="1" customWidth="1"/>
    <col min="5554" max="5554" width="9" bestFit="1" customWidth="1"/>
    <col min="5555" max="5555" width="6.6640625" bestFit="1" customWidth="1"/>
    <col min="5556" max="5556" width="11.21875" bestFit="1" customWidth="1"/>
    <col min="5557" max="5557" width="10" bestFit="1" customWidth="1"/>
    <col min="5558" max="5558" width="6.6640625" bestFit="1" customWidth="1"/>
    <col min="5559" max="5559" width="12.21875" bestFit="1" customWidth="1"/>
    <col min="5560" max="5560" width="9" bestFit="1" customWidth="1"/>
    <col min="5561" max="5561" width="7.6640625" bestFit="1" customWidth="1"/>
    <col min="5562" max="5562" width="11.21875" bestFit="1" customWidth="1"/>
    <col min="5563" max="5563" width="9" bestFit="1" customWidth="1"/>
    <col min="5564" max="5564" width="7.6640625" bestFit="1" customWidth="1"/>
    <col min="5565" max="5565" width="11.21875" bestFit="1" customWidth="1"/>
    <col min="5566" max="5566" width="10" bestFit="1" customWidth="1"/>
    <col min="5567" max="5567" width="6.6640625" bestFit="1" customWidth="1"/>
    <col min="5568" max="5568" width="12.21875" bestFit="1" customWidth="1"/>
    <col min="5569" max="5569" width="10" bestFit="1" customWidth="1"/>
    <col min="5570" max="5570" width="6.6640625" bestFit="1" customWidth="1"/>
    <col min="5571" max="5571" width="12.21875" bestFit="1" customWidth="1"/>
    <col min="5572" max="5572" width="9" bestFit="1" customWidth="1"/>
    <col min="5573" max="5573" width="6.6640625" bestFit="1" customWidth="1"/>
    <col min="5574" max="5574" width="11.21875" bestFit="1" customWidth="1"/>
    <col min="5575" max="5575" width="7" bestFit="1" customWidth="1"/>
    <col min="5576" max="5576" width="7.6640625" bestFit="1" customWidth="1"/>
    <col min="5577" max="5577" width="9.6640625" bestFit="1" customWidth="1"/>
    <col min="5578" max="5578" width="9" bestFit="1" customWidth="1"/>
    <col min="5579" max="5579" width="7.6640625" bestFit="1" customWidth="1"/>
    <col min="5580" max="5580" width="11.21875" bestFit="1" customWidth="1"/>
    <col min="5581" max="5581" width="10" bestFit="1" customWidth="1"/>
    <col min="5582" max="5582" width="6.6640625" bestFit="1" customWidth="1"/>
    <col min="5583" max="5583" width="12.21875" bestFit="1" customWidth="1"/>
    <col min="5584" max="5584" width="10" bestFit="1" customWidth="1"/>
    <col min="5585" max="5585" width="6.6640625" bestFit="1" customWidth="1"/>
    <col min="5586" max="5586" width="12.21875" bestFit="1" customWidth="1"/>
    <col min="5587" max="5587" width="10" bestFit="1" customWidth="1"/>
    <col min="5588" max="5588" width="6.6640625" bestFit="1" customWidth="1"/>
    <col min="5589" max="5589" width="12.21875" bestFit="1" customWidth="1"/>
    <col min="5590" max="5590" width="10" bestFit="1" customWidth="1"/>
    <col min="5591" max="5591" width="6.6640625" bestFit="1" customWidth="1"/>
    <col min="5592" max="5592" width="12.21875" bestFit="1" customWidth="1"/>
    <col min="5593" max="5593" width="7" bestFit="1" customWidth="1"/>
    <col min="5594" max="5594" width="6.6640625" bestFit="1" customWidth="1"/>
    <col min="5595" max="5595" width="9.6640625" bestFit="1" customWidth="1"/>
    <col min="5596" max="5596" width="10" bestFit="1" customWidth="1"/>
    <col min="5597" max="5597" width="6.6640625" bestFit="1" customWidth="1"/>
    <col min="5598" max="5598" width="12.21875" bestFit="1" customWidth="1"/>
    <col min="5599" max="5599" width="10" bestFit="1" customWidth="1"/>
    <col min="5600" max="5600" width="6.6640625" bestFit="1" customWidth="1"/>
    <col min="5601" max="5601" width="12.21875" bestFit="1" customWidth="1"/>
    <col min="5602" max="5602" width="10" bestFit="1" customWidth="1"/>
    <col min="5603" max="5603" width="6.6640625" bestFit="1" customWidth="1"/>
    <col min="5604" max="5604" width="12.21875" bestFit="1" customWidth="1"/>
    <col min="5605" max="5605" width="9" bestFit="1" customWidth="1"/>
    <col min="5606" max="5606" width="6.6640625" bestFit="1" customWidth="1"/>
    <col min="5607" max="5607" width="11.21875" bestFit="1" customWidth="1"/>
    <col min="5608" max="5608" width="9" bestFit="1" customWidth="1"/>
    <col min="5609" max="5609" width="7.6640625" bestFit="1" customWidth="1"/>
    <col min="5610" max="5610" width="11.21875" bestFit="1" customWidth="1"/>
    <col min="5611" max="5611" width="9" bestFit="1" customWidth="1"/>
    <col min="5612" max="5612" width="7.6640625" bestFit="1" customWidth="1"/>
    <col min="5613" max="5613" width="11.21875" bestFit="1" customWidth="1"/>
    <col min="5614" max="5614" width="10" bestFit="1" customWidth="1"/>
    <col min="5615" max="5615" width="6.6640625" bestFit="1" customWidth="1"/>
    <col min="5616" max="5616" width="12.21875" bestFit="1" customWidth="1"/>
    <col min="5617" max="5617" width="10" bestFit="1" customWidth="1"/>
    <col min="5618" max="5618" width="6.6640625" bestFit="1" customWidth="1"/>
    <col min="5619" max="5619" width="12.21875" bestFit="1" customWidth="1"/>
    <col min="5620" max="5620" width="10" bestFit="1" customWidth="1"/>
    <col min="5621" max="5621" width="6.6640625" bestFit="1" customWidth="1"/>
    <col min="5622" max="5622" width="12.21875" bestFit="1" customWidth="1"/>
    <col min="5623" max="5623" width="10" bestFit="1" customWidth="1"/>
    <col min="5624" max="5624" width="6.6640625" bestFit="1" customWidth="1"/>
    <col min="5625" max="5625" width="12.21875" bestFit="1" customWidth="1"/>
    <col min="5626" max="5626" width="9" bestFit="1" customWidth="1"/>
    <col min="5627" max="5627" width="7.6640625" bestFit="1" customWidth="1"/>
    <col min="5628" max="5628" width="11.21875" bestFit="1" customWidth="1"/>
    <col min="5629" max="5629" width="9" bestFit="1" customWidth="1"/>
    <col min="5630" max="5630" width="7.6640625" bestFit="1" customWidth="1"/>
    <col min="5631" max="5631" width="11.21875" bestFit="1" customWidth="1"/>
    <col min="5632" max="5632" width="9" bestFit="1" customWidth="1"/>
    <col min="5633" max="5633" width="7.6640625" bestFit="1" customWidth="1"/>
    <col min="5634" max="5634" width="11.21875" bestFit="1" customWidth="1"/>
    <col min="5635" max="5635" width="10" bestFit="1" customWidth="1"/>
    <col min="5636" max="5636" width="6.6640625" bestFit="1" customWidth="1"/>
    <col min="5637" max="5637" width="12.21875" bestFit="1" customWidth="1"/>
    <col min="5638" max="5638" width="10" bestFit="1" customWidth="1"/>
    <col min="5639" max="5639" width="6.6640625" bestFit="1" customWidth="1"/>
    <col min="5640" max="5640" width="12.21875" bestFit="1" customWidth="1"/>
    <col min="5641" max="5641" width="10" bestFit="1" customWidth="1"/>
    <col min="5642" max="5642" width="6.6640625" bestFit="1" customWidth="1"/>
    <col min="5643" max="5643" width="12.21875" bestFit="1" customWidth="1"/>
    <col min="5644" max="5644" width="9" bestFit="1" customWidth="1"/>
    <col min="5645" max="5645" width="7.6640625" bestFit="1" customWidth="1"/>
    <col min="5646" max="5646" width="11.21875" bestFit="1" customWidth="1"/>
    <col min="5647" max="5647" width="10" bestFit="1" customWidth="1"/>
    <col min="5648" max="5648" width="6.6640625" bestFit="1" customWidth="1"/>
    <col min="5649" max="5649" width="12.21875" bestFit="1" customWidth="1"/>
    <col min="5650" max="5650" width="10" bestFit="1" customWidth="1"/>
    <col min="5651" max="5651" width="6.6640625" bestFit="1" customWidth="1"/>
    <col min="5652" max="5652" width="12.21875" bestFit="1" customWidth="1"/>
    <col min="5653" max="5653" width="10" bestFit="1" customWidth="1"/>
    <col min="5654" max="5654" width="6.6640625" bestFit="1" customWidth="1"/>
    <col min="5655" max="5655" width="12.21875" bestFit="1" customWidth="1"/>
    <col min="5656" max="5656" width="10" bestFit="1" customWidth="1"/>
    <col min="5657" max="5657" width="6.6640625" bestFit="1" customWidth="1"/>
    <col min="5658" max="5658" width="12.21875" bestFit="1" customWidth="1"/>
    <col min="5659" max="5659" width="9" bestFit="1" customWidth="1"/>
    <col min="5660" max="5660" width="7.6640625" bestFit="1" customWidth="1"/>
    <col min="5661" max="5661" width="11.21875" bestFit="1" customWidth="1"/>
    <col min="5662" max="5662" width="9" bestFit="1" customWidth="1"/>
    <col min="5663" max="5663" width="7.6640625" bestFit="1" customWidth="1"/>
    <col min="5664" max="5664" width="11.21875" bestFit="1" customWidth="1"/>
    <col min="5665" max="5665" width="10" bestFit="1" customWidth="1"/>
    <col min="5666" max="5666" width="6.6640625" bestFit="1" customWidth="1"/>
    <col min="5667" max="5667" width="12.21875" bestFit="1" customWidth="1"/>
    <col min="5668" max="5668" width="7" bestFit="1" customWidth="1"/>
    <col min="5669" max="5669" width="7.6640625" bestFit="1" customWidth="1"/>
    <col min="5670" max="5670" width="9.6640625" bestFit="1" customWidth="1"/>
    <col min="5671" max="5671" width="10" bestFit="1" customWidth="1"/>
    <col min="5672" max="5672" width="6.6640625" bestFit="1" customWidth="1"/>
    <col min="5673" max="5673" width="12.21875" bestFit="1" customWidth="1"/>
    <col min="5674" max="5674" width="9" bestFit="1" customWidth="1"/>
    <col min="5675" max="5675" width="7.6640625" bestFit="1" customWidth="1"/>
    <col min="5676" max="5676" width="11.21875" bestFit="1" customWidth="1"/>
    <col min="5677" max="5677" width="10" bestFit="1" customWidth="1"/>
    <col min="5678" max="5678" width="6.6640625" bestFit="1" customWidth="1"/>
    <col min="5679" max="5679" width="12.21875" bestFit="1" customWidth="1"/>
    <col min="5680" max="5680" width="10" bestFit="1" customWidth="1"/>
    <col min="5681" max="5681" width="6.6640625" bestFit="1" customWidth="1"/>
    <col min="5682" max="5682" width="12.21875" bestFit="1" customWidth="1"/>
    <col min="5683" max="5683" width="9" bestFit="1" customWidth="1"/>
    <col min="5684" max="5684" width="7.6640625" bestFit="1" customWidth="1"/>
    <col min="5685" max="5685" width="11.21875" bestFit="1" customWidth="1"/>
    <col min="5686" max="5686" width="9" bestFit="1" customWidth="1"/>
    <col min="5687" max="5687" width="7.6640625" bestFit="1" customWidth="1"/>
    <col min="5688" max="5688" width="11.21875" bestFit="1" customWidth="1"/>
    <col min="5689" max="5689" width="9" bestFit="1" customWidth="1"/>
    <col min="5690" max="5690" width="6.6640625" bestFit="1" customWidth="1"/>
    <col min="5691" max="5691" width="11.21875" bestFit="1" customWidth="1"/>
    <col min="5692" max="5692" width="10" bestFit="1" customWidth="1"/>
    <col min="5693" max="5693" width="6.6640625" bestFit="1" customWidth="1"/>
    <col min="5694" max="5694" width="12.21875" bestFit="1" customWidth="1"/>
    <col min="5695" max="5695" width="9" bestFit="1" customWidth="1"/>
    <col min="5696" max="5696" width="7.6640625" bestFit="1" customWidth="1"/>
    <col min="5697" max="5697" width="11.21875" bestFit="1" customWidth="1"/>
    <col min="5698" max="5698" width="9" bestFit="1" customWidth="1"/>
    <col min="5699" max="5699" width="7.6640625" bestFit="1" customWidth="1"/>
    <col min="5700" max="5700" width="11.21875" bestFit="1" customWidth="1"/>
    <col min="5701" max="5701" width="7" bestFit="1" customWidth="1"/>
    <col min="5702" max="5702" width="7.6640625" bestFit="1" customWidth="1"/>
    <col min="5703" max="5703" width="9.6640625" bestFit="1" customWidth="1"/>
    <col min="5704" max="5704" width="9" bestFit="1" customWidth="1"/>
    <col min="5705" max="5705" width="7.6640625" bestFit="1" customWidth="1"/>
    <col min="5706" max="5706" width="11.21875" bestFit="1" customWidth="1"/>
    <col min="5707" max="5707" width="9" bestFit="1" customWidth="1"/>
    <col min="5708" max="5708" width="6.6640625" bestFit="1" customWidth="1"/>
    <col min="5709" max="5709" width="11.21875" bestFit="1" customWidth="1"/>
    <col min="5710" max="5710" width="9" bestFit="1" customWidth="1"/>
    <col min="5711" max="5711" width="7.6640625" bestFit="1" customWidth="1"/>
    <col min="5712" max="5712" width="11.21875" bestFit="1" customWidth="1"/>
    <col min="5713" max="5713" width="9" bestFit="1" customWidth="1"/>
    <col min="5714" max="5714" width="7.6640625" bestFit="1" customWidth="1"/>
    <col min="5715" max="5715" width="11.21875" bestFit="1" customWidth="1"/>
    <col min="5716" max="5716" width="9" bestFit="1" customWidth="1"/>
    <col min="5717" max="5717" width="6.6640625" bestFit="1" customWidth="1"/>
    <col min="5718" max="5718" width="11.21875" bestFit="1" customWidth="1"/>
    <col min="5719" max="5719" width="10" bestFit="1" customWidth="1"/>
    <col min="5720" max="5720" width="6.6640625" bestFit="1" customWidth="1"/>
    <col min="5721" max="5721" width="12.21875" bestFit="1" customWidth="1"/>
    <col min="5722" max="5722" width="10" bestFit="1" customWidth="1"/>
    <col min="5723" max="5723" width="6.6640625" bestFit="1" customWidth="1"/>
    <col min="5724" max="5724" width="12.21875" bestFit="1" customWidth="1"/>
    <col min="5725" max="5725" width="10" bestFit="1" customWidth="1"/>
    <col min="5726" max="5726" width="6.6640625" bestFit="1" customWidth="1"/>
    <col min="5727" max="5727" width="12.21875" bestFit="1" customWidth="1"/>
    <col min="5728" max="5728" width="10" bestFit="1" customWidth="1"/>
    <col min="5729" max="5729" width="6.6640625" bestFit="1" customWidth="1"/>
    <col min="5730" max="5730" width="12.21875" bestFit="1" customWidth="1"/>
    <col min="5731" max="5731" width="10" bestFit="1" customWidth="1"/>
    <col min="5732" max="5732" width="6.6640625" bestFit="1" customWidth="1"/>
    <col min="5733" max="5733" width="12.21875" bestFit="1" customWidth="1"/>
    <col min="5734" max="5734" width="9" bestFit="1" customWidth="1"/>
    <col min="5735" max="5735" width="7.6640625" bestFit="1" customWidth="1"/>
    <col min="5736" max="5736" width="11.21875" bestFit="1" customWidth="1"/>
    <col min="5737" max="5737" width="9" bestFit="1" customWidth="1"/>
    <col min="5738" max="5738" width="7.6640625" bestFit="1" customWidth="1"/>
    <col min="5739" max="5739" width="11.21875" bestFit="1" customWidth="1"/>
    <col min="5740" max="5740" width="9" bestFit="1" customWidth="1"/>
    <col min="5741" max="5741" width="7.6640625" bestFit="1" customWidth="1"/>
    <col min="5742" max="5742" width="11.21875" bestFit="1" customWidth="1"/>
    <col min="5743" max="5743" width="9" bestFit="1" customWidth="1"/>
    <col min="5744" max="5744" width="7.6640625" bestFit="1" customWidth="1"/>
    <col min="5745" max="5745" width="11.21875" bestFit="1" customWidth="1"/>
    <col min="5746" max="5746" width="9" bestFit="1" customWidth="1"/>
    <col min="5747" max="5747" width="7.6640625" bestFit="1" customWidth="1"/>
    <col min="5748" max="5748" width="11.21875" bestFit="1" customWidth="1"/>
    <col min="5749" max="5749" width="9" bestFit="1" customWidth="1"/>
    <col min="5750" max="5750" width="7.6640625" bestFit="1" customWidth="1"/>
    <col min="5751" max="5751" width="11.21875" bestFit="1" customWidth="1"/>
    <col min="5752" max="5752" width="10" bestFit="1" customWidth="1"/>
    <col min="5753" max="5753" width="6.6640625" bestFit="1" customWidth="1"/>
    <col min="5754" max="5754" width="12.21875" bestFit="1" customWidth="1"/>
    <col min="5755" max="5755" width="9" bestFit="1" customWidth="1"/>
    <col min="5756" max="5756" width="7.6640625" bestFit="1" customWidth="1"/>
    <col min="5757" max="5757" width="11.21875" bestFit="1" customWidth="1"/>
    <col min="5758" max="5758" width="10" bestFit="1" customWidth="1"/>
    <col min="5759" max="5759" width="6.6640625" bestFit="1" customWidth="1"/>
    <col min="5760" max="5760" width="12.21875" bestFit="1" customWidth="1"/>
    <col min="5761" max="5761" width="9" bestFit="1" customWidth="1"/>
    <col min="5762" max="5762" width="7.6640625" bestFit="1" customWidth="1"/>
    <col min="5763" max="5763" width="11.21875" bestFit="1" customWidth="1"/>
    <col min="5764" max="5764" width="10" bestFit="1" customWidth="1"/>
    <col min="5765" max="5765" width="6.6640625" bestFit="1" customWidth="1"/>
    <col min="5766" max="5766" width="12.21875" bestFit="1" customWidth="1"/>
    <col min="5767" max="5767" width="10" bestFit="1" customWidth="1"/>
    <col min="5768" max="5768" width="6.6640625" bestFit="1" customWidth="1"/>
    <col min="5769" max="5769" width="12.21875" bestFit="1" customWidth="1"/>
    <col min="5770" max="5770" width="10" bestFit="1" customWidth="1"/>
    <col min="5771" max="5771" width="6.6640625" bestFit="1" customWidth="1"/>
    <col min="5772" max="5772" width="12.21875" bestFit="1" customWidth="1"/>
    <col min="5773" max="5773" width="9" bestFit="1" customWidth="1"/>
    <col min="5774" max="5774" width="7.6640625" bestFit="1" customWidth="1"/>
    <col min="5775" max="5775" width="11.21875" bestFit="1" customWidth="1"/>
    <col min="5776" max="5776" width="10" bestFit="1" customWidth="1"/>
    <col min="5777" max="5777" width="6.6640625" bestFit="1" customWidth="1"/>
    <col min="5778" max="5778" width="12.21875" bestFit="1" customWidth="1"/>
    <col min="5779" max="5779" width="10" bestFit="1" customWidth="1"/>
    <col min="5780" max="5780" width="6.6640625" bestFit="1" customWidth="1"/>
    <col min="5781" max="5781" width="12.21875" bestFit="1" customWidth="1"/>
    <col min="5782" max="5782" width="10" bestFit="1" customWidth="1"/>
    <col min="5783" max="5783" width="6.6640625" bestFit="1" customWidth="1"/>
    <col min="5784" max="5784" width="12.21875" bestFit="1" customWidth="1"/>
    <col min="5785" max="5785" width="10" bestFit="1" customWidth="1"/>
    <col min="5786" max="5786" width="6.6640625" bestFit="1" customWidth="1"/>
    <col min="5787" max="5787" width="12.21875" bestFit="1" customWidth="1"/>
    <col min="5788" max="5788" width="9" bestFit="1" customWidth="1"/>
    <col min="5789" max="5789" width="7.6640625" bestFit="1" customWidth="1"/>
    <col min="5790" max="5790" width="11.21875" bestFit="1" customWidth="1"/>
    <col min="5791" max="5791" width="9" bestFit="1" customWidth="1"/>
    <col min="5792" max="5792" width="7.6640625" bestFit="1" customWidth="1"/>
    <col min="5793" max="5793" width="11.21875" bestFit="1" customWidth="1"/>
    <col min="5794" max="5794" width="9" bestFit="1" customWidth="1"/>
    <col min="5795" max="5795" width="6.6640625" bestFit="1" customWidth="1"/>
    <col min="5796" max="5796" width="11.21875" bestFit="1" customWidth="1"/>
    <col min="5797" max="5797" width="9" bestFit="1" customWidth="1"/>
    <col min="5798" max="5798" width="7.6640625" bestFit="1" customWidth="1"/>
    <col min="5799" max="5799" width="11.21875" bestFit="1" customWidth="1"/>
    <col min="5800" max="5800" width="10" bestFit="1" customWidth="1"/>
    <col min="5801" max="5801" width="6.6640625" bestFit="1" customWidth="1"/>
    <col min="5802" max="5802" width="12.21875" bestFit="1" customWidth="1"/>
    <col min="5803" max="5803" width="9" bestFit="1" customWidth="1"/>
    <col min="5804" max="5804" width="7.6640625" bestFit="1" customWidth="1"/>
    <col min="5805" max="5805" width="11.21875" bestFit="1" customWidth="1"/>
    <col min="5806" max="5806" width="10" bestFit="1" customWidth="1"/>
    <col min="5807" max="5807" width="6.6640625" bestFit="1" customWidth="1"/>
    <col min="5808" max="5808" width="12.21875" bestFit="1" customWidth="1"/>
    <col min="5809" max="5809" width="9" bestFit="1" customWidth="1"/>
    <col min="5810" max="5810" width="7.6640625" bestFit="1" customWidth="1"/>
    <col min="5811" max="5811" width="11.21875" bestFit="1" customWidth="1"/>
    <col min="5812" max="5812" width="10" bestFit="1" customWidth="1"/>
    <col min="5813" max="5813" width="6.6640625" bestFit="1" customWidth="1"/>
    <col min="5814" max="5814" width="12.21875" bestFit="1" customWidth="1"/>
    <col min="5815" max="5815" width="7" bestFit="1" customWidth="1"/>
    <col min="5816" max="5816" width="7.6640625" bestFit="1" customWidth="1"/>
    <col min="5817" max="5817" width="9.6640625" bestFit="1" customWidth="1"/>
    <col min="5818" max="5818" width="9" bestFit="1" customWidth="1"/>
    <col min="5819" max="5819" width="7.6640625" bestFit="1" customWidth="1"/>
    <col min="5820" max="5820" width="11.21875" bestFit="1" customWidth="1"/>
    <col min="5821" max="5821" width="10" bestFit="1" customWidth="1"/>
    <col min="5822" max="5822" width="6.6640625" bestFit="1" customWidth="1"/>
    <col min="5823" max="5823" width="12.21875" bestFit="1" customWidth="1"/>
    <col min="5824" max="5824" width="9" bestFit="1" customWidth="1"/>
    <col min="5825" max="5825" width="7.6640625" bestFit="1" customWidth="1"/>
    <col min="5826" max="5826" width="11.21875" bestFit="1" customWidth="1"/>
    <col min="5827" max="5827" width="9" bestFit="1" customWidth="1"/>
    <col min="5828" max="5828" width="7.6640625" bestFit="1" customWidth="1"/>
    <col min="5829" max="5829" width="11.21875" bestFit="1" customWidth="1"/>
    <col min="5830" max="5830" width="10" bestFit="1" customWidth="1"/>
    <col min="5831" max="5831" width="6.6640625" bestFit="1" customWidth="1"/>
    <col min="5832" max="5832" width="12.21875" bestFit="1" customWidth="1"/>
    <col min="5833" max="5833" width="10" bestFit="1" customWidth="1"/>
    <col min="5834" max="5834" width="6.6640625" bestFit="1" customWidth="1"/>
    <col min="5835" max="5835" width="12.21875" bestFit="1" customWidth="1"/>
    <col min="5836" max="5836" width="10" bestFit="1" customWidth="1"/>
    <col min="5837" max="5837" width="6.6640625" bestFit="1" customWidth="1"/>
    <col min="5838" max="5838" width="12.21875" bestFit="1" customWidth="1"/>
    <col min="5839" max="5839" width="10" bestFit="1" customWidth="1"/>
    <col min="5840" max="5840" width="6.6640625" bestFit="1" customWidth="1"/>
    <col min="5841" max="5841" width="12.21875" bestFit="1" customWidth="1"/>
    <col min="5842" max="5842" width="10" bestFit="1" customWidth="1"/>
    <col min="5843" max="5843" width="6.6640625" bestFit="1" customWidth="1"/>
    <col min="5844" max="5844" width="12.21875" bestFit="1" customWidth="1"/>
    <col min="5845" max="5845" width="10" bestFit="1" customWidth="1"/>
    <col min="5846" max="5846" width="6.6640625" bestFit="1" customWidth="1"/>
    <col min="5847" max="5847" width="12.21875" bestFit="1" customWidth="1"/>
    <col min="5848" max="5848" width="9" bestFit="1" customWidth="1"/>
    <col min="5849" max="5849" width="7.6640625" bestFit="1" customWidth="1"/>
    <col min="5850" max="5850" width="11.21875" bestFit="1" customWidth="1"/>
    <col min="5851" max="5851" width="9" bestFit="1" customWidth="1"/>
    <col min="5852" max="5852" width="7.6640625" bestFit="1" customWidth="1"/>
    <col min="5853" max="5853" width="11.21875" bestFit="1" customWidth="1"/>
    <col min="5854" max="5854" width="9" bestFit="1" customWidth="1"/>
    <col min="5855" max="5855" width="6.6640625" bestFit="1" customWidth="1"/>
    <col min="5856" max="5856" width="11.21875" bestFit="1" customWidth="1"/>
    <col min="5857" max="5857" width="10" bestFit="1" customWidth="1"/>
    <col min="5858" max="5858" width="6.6640625" bestFit="1" customWidth="1"/>
    <col min="5859" max="5859" width="12.21875" bestFit="1" customWidth="1"/>
    <col min="5860" max="5860" width="9" bestFit="1" customWidth="1"/>
    <col min="5861" max="5861" width="7.6640625" bestFit="1" customWidth="1"/>
    <col min="5862" max="5862" width="11.21875" bestFit="1" customWidth="1"/>
    <col min="5863" max="5863" width="10" bestFit="1" customWidth="1"/>
    <col min="5864" max="5864" width="6.6640625" bestFit="1" customWidth="1"/>
    <col min="5865" max="5865" width="12.21875" bestFit="1" customWidth="1"/>
    <col min="5866" max="5866" width="10" bestFit="1" customWidth="1"/>
    <col min="5867" max="5867" width="6.6640625" bestFit="1" customWidth="1"/>
    <col min="5868" max="5868" width="12.21875" bestFit="1" customWidth="1"/>
    <col min="5869" max="5869" width="10" bestFit="1" customWidth="1"/>
    <col min="5870" max="5870" width="6.6640625" bestFit="1" customWidth="1"/>
    <col min="5871" max="5871" width="12.21875" bestFit="1" customWidth="1"/>
    <col min="5872" max="5872" width="10" bestFit="1" customWidth="1"/>
    <col min="5873" max="5873" width="6.6640625" bestFit="1" customWidth="1"/>
    <col min="5874" max="5874" width="12.21875" bestFit="1" customWidth="1"/>
    <col min="5875" max="5875" width="10" bestFit="1" customWidth="1"/>
    <col min="5876" max="5876" width="6.6640625" bestFit="1" customWidth="1"/>
    <col min="5877" max="5877" width="12.21875" bestFit="1" customWidth="1"/>
    <col min="5878" max="5878" width="9" bestFit="1" customWidth="1"/>
    <col min="5879" max="5879" width="6.6640625" bestFit="1" customWidth="1"/>
    <col min="5880" max="5880" width="11.21875" bestFit="1" customWidth="1"/>
    <col min="5881" max="5881" width="9" bestFit="1" customWidth="1"/>
    <col min="5882" max="5882" width="7.6640625" bestFit="1" customWidth="1"/>
    <col min="5883" max="5883" width="11.21875" bestFit="1" customWidth="1"/>
    <col min="5884" max="5884" width="9" bestFit="1" customWidth="1"/>
    <col min="5885" max="5885" width="7.6640625" bestFit="1" customWidth="1"/>
    <col min="5886" max="5886" width="11.21875" bestFit="1" customWidth="1"/>
    <col min="5887" max="5887" width="9" bestFit="1" customWidth="1"/>
    <col min="5888" max="5888" width="6.6640625" bestFit="1" customWidth="1"/>
    <col min="5889" max="5889" width="11.21875" bestFit="1" customWidth="1"/>
    <col min="5890" max="5890" width="9" bestFit="1" customWidth="1"/>
    <col min="5891" max="5891" width="7.6640625" bestFit="1" customWidth="1"/>
    <col min="5892" max="5892" width="11.21875" bestFit="1" customWidth="1"/>
    <col min="5893" max="5893" width="10" bestFit="1" customWidth="1"/>
    <col min="5894" max="5894" width="6.6640625" bestFit="1" customWidth="1"/>
    <col min="5895" max="5895" width="12.21875" bestFit="1" customWidth="1"/>
    <col min="5896" max="5896" width="9" bestFit="1" customWidth="1"/>
    <col min="5897" max="5897" width="6.6640625" bestFit="1" customWidth="1"/>
    <col min="5898" max="5898" width="11.21875" bestFit="1" customWidth="1"/>
    <col min="5899" max="5899" width="9" bestFit="1" customWidth="1"/>
    <col min="5900" max="5900" width="7.6640625" bestFit="1" customWidth="1"/>
    <col min="5901" max="5901" width="11.21875" bestFit="1" customWidth="1"/>
    <col min="5902" max="5902" width="9" bestFit="1" customWidth="1"/>
    <col min="5903" max="5903" width="7.6640625" bestFit="1" customWidth="1"/>
    <col min="5904" max="5904" width="11.21875" bestFit="1" customWidth="1"/>
    <col min="5905" max="5905" width="9" bestFit="1" customWidth="1"/>
    <col min="5906" max="5906" width="7.6640625" bestFit="1" customWidth="1"/>
    <col min="5907" max="5907" width="11.21875" bestFit="1" customWidth="1"/>
    <col min="5908" max="5908" width="9" bestFit="1" customWidth="1"/>
    <col min="5909" max="5909" width="7.6640625" bestFit="1" customWidth="1"/>
    <col min="5910" max="5910" width="11.21875" bestFit="1" customWidth="1"/>
    <col min="5911" max="5911" width="9" bestFit="1" customWidth="1"/>
    <col min="5912" max="5912" width="7.6640625" bestFit="1" customWidth="1"/>
    <col min="5913" max="5913" width="11.21875" bestFit="1" customWidth="1"/>
    <col min="5914" max="5914" width="7" bestFit="1" customWidth="1"/>
    <col min="5915" max="5915" width="7.6640625" bestFit="1" customWidth="1"/>
    <col min="5916" max="5916" width="9.6640625" bestFit="1" customWidth="1"/>
    <col min="5917" max="5917" width="9" bestFit="1" customWidth="1"/>
    <col min="5918" max="5918" width="7.6640625" bestFit="1" customWidth="1"/>
    <col min="5919" max="5919" width="11.21875" bestFit="1" customWidth="1"/>
    <col min="5920" max="5920" width="9" bestFit="1" customWidth="1"/>
    <col min="5921" max="5921" width="7.6640625" bestFit="1" customWidth="1"/>
    <col min="5922" max="5922" width="11.21875" bestFit="1" customWidth="1"/>
    <col min="5923" max="5923" width="7" bestFit="1" customWidth="1"/>
    <col min="5924" max="5924" width="7.6640625" bestFit="1" customWidth="1"/>
    <col min="5925" max="5925" width="9.6640625" bestFit="1" customWidth="1"/>
    <col min="5926" max="5926" width="9" bestFit="1" customWidth="1"/>
    <col min="5927" max="5927" width="7.6640625" bestFit="1" customWidth="1"/>
    <col min="5928" max="5928" width="11.21875" bestFit="1" customWidth="1"/>
    <col min="5929" max="5929" width="9" bestFit="1" customWidth="1"/>
    <col min="5930" max="5930" width="7.6640625" bestFit="1" customWidth="1"/>
    <col min="5931" max="5931" width="11.21875" bestFit="1" customWidth="1"/>
    <col min="5932" max="5932" width="9" bestFit="1" customWidth="1"/>
    <col min="5933" max="5933" width="7.6640625" bestFit="1" customWidth="1"/>
    <col min="5934" max="5934" width="11.21875" bestFit="1" customWidth="1"/>
    <col min="5935" max="5935" width="9" bestFit="1" customWidth="1"/>
    <col min="5936" max="5936" width="7.6640625" bestFit="1" customWidth="1"/>
    <col min="5937" max="5937" width="11.21875" bestFit="1" customWidth="1"/>
    <col min="5938" max="5938" width="9" bestFit="1" customWidth="1"/>
    <col min="5939" max="5939" width="7.6640625" bestFit="1" customWidth="1"/>
    <col min="5940" max="5940" width="11.21875" bestFit="1" customWidth="1"/>
    <col min="5941" max="5941" width="9" bestFit="1" customWidth="1"/>
    <col min="5942" max="5942" width="7.6640625" bestFit="1" customWidth="1"/>
    <col min="5943" max="5943" width="11.21875" bestFit="1" customWidth="1"/>
    <col min="5944" max="5944" width="9" bestFit="1" customWidth="1"/>
    <col min="5945" max="5945" width="7.6640625" bestFit="1" customWidth="1"/>
    <col min="5946" max="5946" width="11.21875" bestFit="1" customWidth="1"/>
    <col min="5947" max="5947" width="7" bestFit="1" customWidth="1"/>
    <col min="5948" max="5948" width="7.6640625" bestFit="1" customWidth="1"/>
    <col min="5949" max="5949" width="9.6640625" bestFit="1" customWidth="1"/>
    <col min="5950" max="5950" width="9" bestFit="1" customWidth="1"/>
    <col min="5951" max="5951" width="7.6640625" bestFit="1" customWidth="1"/>
    <col min="5952" max="5952" width="11.21875" bestFit="1" customWidth="1"/>
    <col min="5953" max="5953" width="9" bestFit="1" customWidth="1"/>
    <col min="5954" max="5954" width="7.6640625" bestFit="1" customWidth="1"/>
    <col min="5955" max="5955" width="11.21875" bestFit="1" customWidth="1"/>
    <col min="5956" max="5956" width="9" bestFit="1" customWidth="1"/>
    <col min="5957" max="5957" width="7.6640625" bestFit="1" customWidth="1"/>
    <col min="5958" max="5958" width="11.21875" bestFit="1" customWidth="1"/>
    <col min="5959" max="5959" width="9" bestFit="1" customWidth="1"/>
    <col min="5960" max="5960" width="7.6640625" bestFit="1" customWidth="1"/>
    <col min="5961" max="5961" width="11.21875" bestFit="1" customWidth="1"/>
    <col min="5962" max="5962" width="9" bestFit="1" customWidth="1"/>
    <col min="5963" max="5963" width="7.6640625" bestFit="1" customWidth="1"/>
    <col min="5964" max="5964" width="11.21875" bestFit="1" customWidth="1"/>
    <col min="5965" max="5965" width="9" bestFit="1" customWidth="1"/>
    <col min="5966" max="5966" width="7.6640625" bestFit="1" customWidth="1"/>
    <col min="5967" max="5967" width="11.21875" bestFit="1" customWidth="1"/>
    <col min="5968" max="5968" width="9" bestFit="1" customWidth="1"/>
    <col min="5969" max="5969" width="7.6640625" bestFit="1" customWidth="1"/>
    <col min="5970" max="5970" width="11.21875" bestFit="1" customWidth="1"/>
    <col min="5971" max="5971" width="9" bestFit="1" customWidth="1"/>
    <col min="5972" max="5972" width="7.6640625" bestFit="1" customWidth="1"/>
    <col min="5973" max="5973" width="11.21875" bestFit="1" customWidth="1"/>
    <col min="5974" max="5974" width="10.77734375" bestFit="1" customWidth="1"/>
  </cols>
  <sheetData>
    <row r="3" spans="1:3" x14ac:dyDescent="0.3">
      <c r="A3" s="2" t="s">
        <v>2786</v>
      </c>
      <c r="B3" t="s">
        <v>2807</v>
      </c>
      <c r="C3" t="s">
        <v>2808</v>
      </c>
    </row>
    <row r="4" spans="1:3" x14ac:dyDescent="0.3">
      <c r="A4" s="3" t="s">
        <v>2792</v>
      </c>
      <c r="B4" s="7">
        <v>917856</v>
      </c>
      <c r="C4" s="7">
        <v>4561</v>
      </c>
    </row>
    <row r="5" spans="1:3" x14ac:dyDescent="0.3">
      <c r="A5" s="4" t="s">
        <v>2795</v>
      </c>
      <c r="B5" s="7">
        <v>79024.959999999992</v>
      </c>
      <c r="C5" s="7">
        <v>450</v>
      </c>
    </row>
    <row r="6" spans="1:3" x14ac:dyDescent="0.3">
      <c r="A6" s="4" t="s">
        <v>2796</v>
      </c>
      <c r="B6" s="7">
        <v>65933.260000000009</v>
      </c>
      <c r="C6" s="7">
        <v>292</v>
      </c>
    </row>
    <row r="7" spans="1:3" x14ac:dyDescent="0.3">
      <c r="A7" s="4" t="s">
        <v>2797</v>
      </c>
      <c r="B7" s="7">
        <v>93869.84</v>
      </c>
      <c r="C7" s="7">
        <v>453</v>
      </c>
    </row>
    <row r="8" spans="1:3" x14ac:dyDescent="0.3">
      <c r="A8" s="4" t="s">
        <v>2798</v>
      </c>
      <c r="B8" s="7">
        <v>85854.10000000002</v>
      </c>
      <c r="C8" s="7">
        <v>380</v>
      </c>
    </row>
    <row r="9" spans="1:3" x14ac:dyDescent="0.3">
      <c r="A9" s="4" t="s">
        <v>2799</v>
      </c>
      <c r="B9" s="7">
        <v>89330.11</v>
      </c>
      <c r="C9" s="7">
        <v>431</v>
      </c>
    </row>
    <row r="10" spans="1:3" x14ac:dyDescent="0.3">
      <c r="A10" s="4" t="s">
        <v>2800</v>
      </c>
      <c r="B10" s="7">
        <v>68123.56</v>
      </c>
      <c r="C10" s="7">
        <v>352</v>
      </c>
    </row>
    <row r="11" spans="1:3" x14ac:dyDescent="0.3">
      <c r="A11" s="4" t="s">
        <v>2801</v>
      </c>
      <c r="B11" s="7">
        <v>48789.179999999993</v>
      </c>
      <c r="C11" s="7">
        <v>278</v>
      </c>
    </row>
    <row r="12" spans="1:3" x14ac:dyDescent="0.3">
      <c r="A12" s="4" t="s">
        <v>2802</v>
      </c>
      <c r="B12" s="7">
        <v>63106.260000000009</v>
      </c>
      <c r="C12" s="7">
        <v>317</v>
      </c>
    </row>
    <row r="13" spans="1:3" x14ac:dyDescent="0.3">
      <c r="A13" s="4" t="s">
        <v>2803</v>
      </c>
      <c r="B13" s="7">
        <v>79470.030000000013</v>
      </c>
      <c r="C13" s="7">
        <v>438</v>
      </c>
    </row>
    <row r="14" spans="1:3" x14ac:dyDescent="0.3">
      <c r="A14" s="4" t="s">
        <v>2804</v>
      </c>
      <c r="B14" s="7">
        <v>69640.429999999993</v>
      </c>
      <c r="C14" s="7">
        <v>336</v>
      </c>
    </row>
    <row r="15" spans="1:3" x14ac:dyDescent="0.3">
      <c r="A15" s="4" t="s">
        <v>2805</v>
      </c>
      <c r="B15" s="7">
        <v>91532.21</v>
      </c>
      <c r="C15" s="7">
        <v>444</v>
      </c>
    </row>
    <row r="16" spans="1:3" x14ac:dyDescent="0.3">
      <c r="A16" s="4" t="s">
        <v>2806</v>
      </c>
      <c r="B16" s="7">
        <v>83182.060000000041</v>
      </c>
      <c r="C16" s="7">
        <v>390</v>
      </c>
    </row>
    <row r="17" spans="1:3" x14ac:dyDescent="0.3">
      <c r="A17" s="3" t="s">
        <v>2793</v>
      </c>
      <c r="B17" s="7">
        <v>884525.81</v>
      </c>
      <c r="C17" s="7">
        <v>4373</v>
      </c>
    </row>
    <row r="18" spans="1:3" x14ac:dyDescent="0.3">
      <c r="A18" s="4" t="s">
        <v>2795</v>
      </c>
      <c r="B18" s="7">
        <v>80836.75999999998</v>
      </c>
      <c r="C18" s="7">
        <v>364</v>
      </c>
    </row>
    <row r="19" spans="1:3" x14ac:dyDescent="0.3">
      <c r="A19" s="4" t="s">
        <v>2796</v>
      </c>
      <c r="B19" s="7">
        <v>66256.180000000022</v>
      </c>
      <c r="C19" s="7">
        <v>340</v>
      </c>
    </row>
    <row r="20" spans="1:3" x14ac:dyDescent="0.3">
      <c r="A20" s="4" t="s">
        <v>2797</v>
      </c>
      <c r="B20" s="7">
        <v>77380.720000000016</v>
      </c>
      <c r="C20" s="7">
        <v>395</v>
      </c>
    </row>
    <row r="21" spans="1:3" x14ac:dyDescent="0.3">
      <c r="A21" s="4" t="s">
        <v>2798</v>
      </c>
      <c r="B21" s="7">
        <v>65795.42</v>
      </c>
      <c r="C21" s="7">
        <v>290</v>
      </c>
    </row>
    <row r="22" spans="1:3" x14ac:dyDescent="0.3">
      <c r="A22" s="4" t="s">
        <v>2799</v>
      </c>
      <c r="B22" s="7">
        <v>93687.65</v>
      </c>
      <c r="C22" s="7">
        <v>413</v>
      </c>
    </row>
    <row r="23" spans="1:3" x14ac:dyDescent="0.3">
      <c r="A23" s="4" t="s">
        <v>2800</v>
      </c>
      <c r="B23" s="7">
        <v>75827.589999999982</v>
      </c>
      <c r="C23" s="7">
        <v>389</v>
      </c>
    </row>
    <row r="24" spans="1:3" x14ac:dyDescent="0.3">
      <c r="A24" s="4" t="s">
        <v>2801</v>
      </c>
      <c r="B24" s="7">
        <v>74659.179999999993</v>
      </c>
      <c r="C24" s="7">
        <v>400</v>
      </c>
    </row>
    <row r="25" spans="1:3" x14ac:dyDescent="0.3">
      <c r="A25" s="4" t="s">
        <v>2802</v>
      </c>
      <c r="B25" s="7">
        <v>39286.18</v>
      </c>
      <c r="C25" s="7">
        <v>281</v>
      </c>
    </row>
    <row r="26" spans="1:3" x14ac:dyDescent="0.3">
      <c r="A26" s="4" t="s">
        <v>2803</v>
      </c>
      <c r="B26" s="7">
        <v>65209.520000000026</v>
      </c>
      <c r="C26" s="7">
        <v>362</v>
      </c>
    </row>
    <row r="27" spans="1:3" x14ac:dyDescent="0.3">
      <c r="A27" s="4" t="s">
        <v>2804</v>
      </c>
      <c r="B27" s="7">
        <v>74019.560000000012</v>
      </c>
      <c r="C27" s="7">
        <v>364</v>
      </c>
    </row>
    <row r="28" spans="1:3" x14ac:dyDescent="0.3">
      <c r="A28" s="4" t="s">
        <v>2805</v>
      </c>
      <c r="B28" s="7">
        <v>94960.080000000016</v>
      </c>
      <c r="C28" s="7">
        <v>401</v>
      </c>
    </row>
    <row r="29" spans="1:3" x14ac:dyDescent="0.3">
      <c r="A29" s="4" t="s">
        <v>2806</v>
      </c>
      <c r="B29" s="7">
        <v>76606.97</v>
      </c>
      <c r="C29" s="7">
        <v>374</v>
      </c>
    </row>
    <row r="30" spans="1:3" x14ac:dyDescent="0.3">
      <c r="A30" s="3" t="s">
        <v>2794</v>
      </c>
      <c r="B30" s="7">
        <v>405261.74</v>
      </c>
      <c r="C30" s="7">
        <v>2123</v>
      </c>
    </row>
    <row r="31" spans="1:3" x14ac:dyDescent="0.3">
      <c r="A31" s="4" t="s">
        <v>2795</v>
      </c>
      <c r="B31" s="7">
        <v>58466.290000000008</v>
      </c>
      <c r="C31" s="7">
        <v>376</v>
      </c>
    </row>
    <row r="32" spans="1:3" x14ac:dyDescent="0.3">
      <c r="A32" s="4" t="s">
        <v>2796</v>
      </c>
      <c r="B32" s="7">
        <v>46896.679999999993</v>
      </c>
      <c r="C32" s="7">
        <v>285</v>
      </c>
    </row>
    <row r="33" spans="1:3" x14ac:dyDescent="0.3">
      <c r="A33" s="4" t="s">
        <v>2797</v>
      </c>
      <c r="B33" s="7">
        <v>82562.31</v>
      </c>
      <c r="C33" s="7">
        <v>424</v>
      </c>
    </row>
    <row r="34" spans="1:3" x14ac:dyDescent="0.3">
      <c r="A34" s="4" t="s">
        <v>2798</v>
      </c>
      <c r="B34" s="7">
        <v>58980.739999999991</v>
      </c>
      <c r="C34" s="7">
        <v>327</v>
      </c>
    </row>
    <row r="35" spans="1:3" x14ac:dyDescent="0.3">
      <c r="A35" s="4" t="s">
        <v>2799</v>
      </c>
      <c r="B35" s="7">
        <v>69889.75</v>
      </c>
      <c r="C35" s="7">
        <v>318</v>
      </c>
    </row>
    <row r="36" spans="1:3" x14ac:dyDescent="0.3">
      <c r="A36" s="4" t="s">
        <v>2800</v>
      </c>
      <c r="B36" s="7">
        <v>88465.97</v>
      </c>
      <c r="C36" s="7">
        <v>393</v>
      </c>
    </row>
    <row r="37" spans="1:3" x14ac:dyDescent="0.3">
      <c r="A37" s="3" t="s">
        <v>2787</v>
      </c>
      <c r="B37" s="7">
        <v>2207643.5500000003</v>
      </c>
      <c r="C37" s="7">
        <v>11057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6BBFD-1015-4973-A9CA-B0A8A35B0E98}">
  <dimension ref="A3:C4"/>
  <sheetViews>
    <sheetView workbookViewId="0">
      <selection activeCell="A4" sqref="A4"/>
    </sheetView>
  </sheetViews>
  <sheetFormatPr defaultRowHeight="14.4" x14ac:dyDescent="0.3"/>
  <cols>
    <col min="1" max="1" width="15.21875" bestFit="1" customWidth="1"/>
    <col min="2" max="2" width="15.88671875" bestFit="1" customWidth="1"/>
    <col min="3" max="3" width="14.88671875" bestFit="1" customWidth="1"/>
  </cols>
  <sheetData>
    <row r="3" spans="1:3" x14ac:dyDescent="0.3">
      <c r="A3" t="s">
        <v>2785</v>
      </c>
      <c r="B3" t="s">
        <v>2783</v>
      </c>
      <c r="C3" t="s">
        <v>2784</v>
      </c>
    </row>
    <row r="4" spans="1:3" x14ac:dyDescent="0.3">
      <c r="A4" s="7">
        <v>400796.86999999965</v>
      </c>
      <c r="B4" s="7">
        <v>2207643.5500000035</v>
      </c>
      <c r="C4" s="7">
        <v>11057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C41F2-549E-4258-994E-DC6EA6144528}">
  <dimension ref="A3:B8"/>
  <sheetViews>
    <sheetView topLeftCell="P1" workbookViewId="0">
      <selection activeCell="B6" sqref="B6"/>
    </sheetView>
  </sheetViews>
  <sheetFormatPr defaultRowHeight="14.4" x14ac:dyDescent="0.3"/>
  <cols>
    <col min="1" max="1" width="12.5546875" bestFit="1" customWidth="1"/>
    <col min="2" max="2" width="15.88671875" bestFit="1" customWidth="1"/>
    <col min="3" max="5" width="10" bestFit="1" customWidth="1"/>
    <col min="6" max="6" width="11" bestFit="1" customWidth="1"/>
  </cols>
  <sheetData>
    <row r="3" spans="1:2" x14ac:dyDescent="0.3">
      <c r="A3" s="2" t="s">
        <v>2786</v>
      </c>
      <c r="B3" t="s">
        <v>2783</v>
      </c>
    </row>
    <row r="4" spans="1:2" x14ac:dyDescent="0.3">
      <c r="A4" s="3" t="s">
        <v>31</v>
      </c>
      <c r="B4" s="7">
        <v>471476.29000000015</v>
      </c>
    </row>
    <row r="5" spans="1:2" x14ac:dyDescent="0.3">
      <c r="A5" s="3" t="s">
        <v>45</v>
      </c>
      <c r="B5" s="7">
        <v>580957.42999999912</v>
      </c>
    </row>
    <row r="6" spans="1:2" x14ac:dyDescent="0.3">
      <c r="A6" s="3" t="s">
        <v>21</v>
      </c>
      <c r="B6" s="7">
        <v>608430.73999999976</v>
      </c>
    </row>
    <row r="7" spans="1:2" x14ac:dyDescent="0.3">
      <c r="A7" s="3" t="s">
        <v>59</v>
      </c>
      <c r="B7" s="7">
        <v>546779.08999999985</v>
      </c>
    </row>
    <row r="8" spans="1:2" x14ac:dyDescent="0.3">
      <c r="A8" s="3" t="s">
        <v>2787</v>
      </c>
      <c r="B8" s="7">
        <v>2207643.5499999989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57BF4-4199-40AB-ADBC-06A488AB57B2}">
  <dimension ref="A3:B11"/>
  <sheetViews>
    <sheetView topLeftCell="A2" workbookViewId="0">
      <selection activeCell="E26" sqref="D25:E26"/>
    </sheetView>
  </sheetViews>
  <sheetFormatPr defaultRowHeight="14.4" x14ac:dyDescent="0.3"/>
  <cols>
    <col min="1" max="1" width="12.5546875" bestFit="1" customWidth="1"/>
    <col min="2" max="2" width="15.88671875" bestFit="1" customWidth="1"/>
  </cols>
  <sheetData>
    <row r="3" spans="1:2" x14ac:dyDescent="0.3">
      <c r="A3" s="2" t="s">
        <v>2786</v>
      </c>
      <c r="B3" t="s">
        <v>2783</v>
      </c>
    </row>
    <row r="4" spans="1:2" x14ac:dyDescent="0.3">
      <c r="A4" s="3" t="s">
        <v>64</v>
      </c>
      <c r="B4" s="7">
        <v>319442.15000000014</v>
      </c>
    </row>
    <row r="5" spans="1:2" x14ac:dyDescent="0.3">
      <c r="A5" s="3" t="s">
        <v>52</v>
      </c>
      <c r="B5" s="7">
        <v>293278.60000000003</v>
      </c>
    </row>
    <row r="6" spans="1:2" x14ac:dyDescent="0.3">
      <c r="A6" s="3" t="s">
        <v>35</v>
      </c>
      <c r="B6" s="7">
        <v>285263.21000000002</v>
      </c>
    </row>
    <row r="7" spans="1:2" x14ac:dyDescent="0.3">
      <c r="A7" s="3" t="s">
        <v>42</v>
      </c>
      <c r="B7" s="7">
        <v>347995.6399999999</v>
      </c>
    </row>
    <row r="8" spans="1:2" x14ac:dyDescent="0.3">
      <c r="A8" s="3" t="s">
        <v>67</v>
      </c>
      <c r="B8" s="7">
        <v>326211.21000000008</v>
      </c>
    </row>
    <row r="9" spans="1:2" x14ac:dyDescent="0.3">
      <c r="A9" s="3" t="s">
        <v>27</v>
      </c>
      <c r="B9" s="7">
        <v>325584.94999999984</v>
      </c>
    </row>
    <row r="10" spans="1:2" x14ac:dyDescent="0.3">
      <c r="A10" s="3" t="s">
        <v>17</v>
      </c>
      <c r="B10" s="7">
        <v>309867.79000000021</v>
      </c>
    </row>
    <row r="11" spans="1:2" x14ac:dyDescent="0.3">
      <c r="A11" s="3" t="s">
        <v>2787</v>
      </c>
      <c r="B11" s="7">
        <v>2207643.5499999998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75FCD-4292-484D-8EBC-5E3F51D8F132}">
  <dimension ref="A3:B9"/>
  <sheetViews>
    <sheetView workbookViewId="0">
      <selection activeCell="O20" sqref="O20"/>
    </sheetView>
  </sheetViews>
  <sheetFormatPr defaultRowHeight="14.4" x14ac:dyDescent="0.3"/>
  <cols>
    <col min="1" max="1" width="12.5546875" bestFit="1" customWidth="1"/>
    <col min="2" max="2" width="15.88671875" bestFit="1" customWidth="1"/>
  </cols>
  <sheetData>
    <row r="3" spans="1:2" x14ac:dyDescent="0.3">
      <c r="A3" s="2" t="s">
        <v>2786</v>
      </c>
      <c r="B3" t="s">
        <v>2783</v>
      </c>
    </row>
    <row r="4" spans="1:2" x14ac:dyDescent="0.3">
      <c r="A4" s="3" t="s">
        <v>53</v>
      </c>
      <c r="B4" s="7">
        <v>416599.22999999986</v>
      </c>
    </row>
    <row r="5" spans="1:2" x14ac:dyDescent="0.3">
      <c r="A5" s="3" t="s">
        <v>68</v>
      </c>
      <c r="B5" s="7">
        <v>474156.66000000027</v>
      </c>
    </row>
    <row r="6" spans="1:2" x14ac:dyDescent="0.3">
      <c r="A6" s="3" t="s">
        <v>36</v>
      </c>
      <c r="B6" s="7">
        <v>498721.24</v>
      </c>
    </row>
    <row r="7" spans="1:2" x14ac:dyDescent="0.3">
      <c r="A7" s="3" t="s">
        <v>18</v>
      </c>
      <c r="B7" s="7">
        <v>382384.33999999997</v>
      </c>
    </row>
    <row r="8" spans="1:2" x14ac:dyDescent="0.3">
      <c r="A8" s="3" t="s">
        <v>28</v>
      </c>
      <c r="B8" s="7">
        <v>435782.0799999999</v>
      </c>
    </row>
    <row r="9" spans="1:2" x14ac:dyDescent="0.3">
      <c r="A9" s="3" t="s">
        <v>2787</v>
      </c>
      <c r="B9" s="7">
        <v>2207643.5500000003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6DC20-57B8-4CBE-B083-562406EB430C}">
  <dimension ref="A3:B20"/>
  <sheetViews>
    <sheetView workbookViewId="0">
      <selection activeCell="O18" sqref="O18"/>
    </sheetView>
  </sheetViews>
  <sheetFormatPr defaultRowHeight="14.4" x14ac:dyDescent="0.3"/>
  <cols>
    <col min="1" max="1" width="12.5546875" bestFit="1" customWidth="1"/>
    <col min="2" max="2" width="15.88671875" bestFit="1" customWidth="1"/>
  </cols>
  <sheetData>
    <row r="3" spans="1:2" x14ac:dyDescent="0.3">
      <c r="A3" s="2" t="s">
        <v>2786</v>
      </c>
      <c r="B3" t="s">
        <v>2783</v>
      </c>
    </row>
    <row r="4" spans="1:2" x14ac:dyDescent="0.3">
      <c r="A4" s="3" t="s">
        <v>47</v>
      </c>
      <c r="B4" s="7">
        <v>522302.16000000009</v>
      </c>
    </row>
    <row r="5" spans="1:2" x14ac:dyDescent="0.3">
      <c r="A5" s="4" t="s">
        <v>2792</v>
      </c>
      <c r="B5" s="7">
        <v>223214.39000000007</v>
      </c>
    </row>
    <row r="6" spans="1:2" x14ac:dyDescent="0.3">
      <c r="A6" s="4" t="s">
        <v>2793</v>
      </c>
      <c r="B6" s="7">
        <v>207929.69000000006</v>
      </c>
    </row>
    <row r="7" spans="1:2" x14ac:dyDescent="0.3">
      <c r="A7" s="4" t="s">
        <v>2794</v>
      </c>
      <c r="B7" s="7">
        <v>91158.079999999973</v>
      </c>
    </row>
    <row r="8" spans="1:2" x14ac:dyDescent="0.3">
      <c r="A8" s="3" t="s">
        <v>26</v>
      </c>
      <c r="B8" s="7">
        <v>538392.13</v>
      </c>
    </row>
    <row r="9" spans="1:2" x14ac:dyDescent="0.3">
      <c r="A9" s="4" t="s">
        <v>2792</v>
      </c>
      <c r="B9" s="7">
        <v>238786.8</v>
      </c>
    </row>
    <row r="10" spans="1:2" x14ac:dyDescent="0.3">
      <c r="A10" s="4" t="s">
        <v>2793</v>
      </c>
      <c r="B10" s="7">
        <v>207699.07</v>
      </c>
    </row>
    <row r="11" spans="1:2" x14ac:dyDescent="0.3">
      <c r="A11" s="4" t="s">
        <v>2794</v>
      </c>
      <c r="B11" s="7">
        <v>91906.26</v>
      </c>
    </row>
    <row r="12" spans="1:2" x14ac:dyDescent="0.3">
      <c r="A12" s="3" t="s">
        <v>16</v>
      </c>
      <c r="B12" s="7">
        <v>595009.03999999992</v>
      </c>
    </row>
    <row r="13" spans="1:2" x14ac:dyDescent="0.3">
      <c r="A13" s="4" t="s">
        <v>2792</v>
      </c>
      <c r="B13" s="7">
        <v>232890.9499999999</v>
      </c>
    </row>
    <row r="14" spans="1:2" x14ac:dyDescent="0.3">
      <c r="A14" s="4" t="s">
        <v>2793</v>
      </c>
      <c r="B14" s="7">
        <v>238202.96999999997</v>
      </c>
    </row>
    <row r="15" spans="1:2" x14ac:dyDescent="0.3">
      <c r="A15" s="4" t="s">
        <v>2794</v>
      </c>
      <c r="B15" s="7">
        <v>123915.12000000004</v>
      </c>
    </row>
    <row r="16" spans="1:2" x14ac:dyDescent="0.3">
      <c r="A16" s="3" t="s">
        <v>74</v>
      </c>
      <c r="B16" s="7">
        <v>551940.2200000002</v>
      </c>
    </row>
    <row r="17" spans="1:2" x14ac:dyDescent="0.3">
      <c r="A17" s="4" t="s">
        <v>2792</v>
      </c>
      <c r="B17" s="7">
        <v>222963.86000000002</v>
      </c>
    </row>
    <row r="18" spans="1:2" x14ac:dyDescent="0.3">
      <c r="A18" s="4" t="s">
        <v>2793</v>
      </c>
      <c r="B18" s="7">
        <v>230694.08000000019</v>
      </c>
    </row>
    <row r="19" spans="1:2" x14ac:dyDescent="0.3">
      <c r="A19" s="4" t="s">
        <v>2794</v>
      </c>
      <c r="B19" s="7">
        <v>98282.280000000013</v>
      </c>
    </row>
    <row r="20" spans="1:2" x14ac:dyDescent="0.3">
      <c r="A20" s="3" t="s">
        <v>2787</v>
      </c>
      <c r="B20" s="7">
        <v>2207643.5500000003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F46D4-25AB-486F-952C-D4CB502A7ED0}">
  <dimension ref="A3:C11"/>
  <sheetViews>
    <sheetView workbookViewId="0">
      <selection activeCell="C9" sqref="C9"/>
    </sheetView>
  </sheetViews>
  <sheetFormatPr defaultRowHeight="14.4" x14ac:dyDescent="0.3"/>
  <cols>
    <col min="1" max="1" width="12.5546875" bestFit="1" customWidth="1"/>
    <col min="2" max="2" width="15.88671875" bestFit="1" customWidth="1"/>
    <col min="3" max="3" width="14.88671875" bestFit="1" customWidth="1"/>
  </cols>
  <sheetData>
    <row r="3" spans="1:3" x14ac:dyDescent="0.3">
      <c r="A3" s="2" t="s">
        <v>2786</v>
      </c>
      <c r="B3" t="s">
        <v>2783</v>
      </c>
      <c r="C3" t="s">
        <v>2784</v>
      </c>
    </row>
    <row r="4" spans="1:3" x14ac:dyDescent="0.3">
      <c r="A4" s="3" t="s">
        <v>64</v>
      </c>
      <c r="B4" s="7">
        <v>319442.15000000014</v>
      </c>
      <c r="C4" s="7">
        <v>1553</v>
      </c>
    </row>
    <row r="5" spans="1:3" x14ac:dyDescent="0.3">
      <c r="A5" s="3" t="s">
        <v>52</v>
      </c>
      <c r="B5" s="7">
        <v>293278.60000000003</v>
      </c>
      <c r="C5" s="7">
        <v>1473</v>
      </c>
    </row>
    <row r="6" spans="1:3" x14ac:dyDescent="0.3">
      <c r="A6" s="3" t="s">
        <v>35</v>
      </c>
      <c r="B6" s="7">
        <v>285263.21000000002</v>
      </c>
      <c r="C6" s="7">
        <v>1496</v>
      </c>
    </row>
    <row r="7" spans="1:3" x14ac:dyDescent="0.3">
      <c r="A7" s="3" t="s">
        <v>42</v>
      </c>
      <c r="B7" s="7">
        <v>347995.6399999999</v>
      </c>
      <c r="C7" s="7">
        <v>1621</v>
      </c>
    </row>
    <row r="8" spans="1:3" x14ac:dyDescent="0.3">
      <c r="A8" s="3" t="s">
        <v>67</v>
      </c>
      <c r="B8" s="7">
        <v>326211.21000000008</v>
      </c>
      <c r="C8" s="7">
        <v>1609</v>
      </c>
    </row>
    <row r="9" spans="1:3" x14ac:dyDescent="0.3">
      <c r="A9" s="3" t="s">
        <v>27</v>
      </c>
      <c r="B9" s="7">
        <v>325584.94999999984</v>
      </c>
      <c r="C9" s="7">
        <v>1675</v>
      </c>
    </row>
    <row r="10" spans="1:3" x14ac:dyDescent="0.3">
      <c r="A10" s="3" t="s">
        <v>17</v>
      </c>
      <c r="B10" s="7">
        <v>309867.79000000021</v>
      </c>
      <c r="C10" s="7">
        <v>1630</v>
      </c>
    </row>
    <row r="11" spans="1:3" x14ac:dyDescent="0.3">
      <c r="A11" s="3" t="s">
        <v>2787</v>
      </c>
      <c r="B11" s="7">
        <v>2207643.5499999998</v>
      </c>
      <c r="C11" s="7">
        <v>11057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DBEA7-78D6-4CE7-A412-B9ABC109C1FB}">
  <dimension ref="B4:B6"/>
  <sheetViews>
    <sheetView zoomScale="76" workbookViewId="0">
      <selection activeCell="H7" sqref="H7"/>
    </sheetView>
  </sheetViews>
  <sheetFormatPr defaultRowHeight="14.4" x14ac:dyDescent="0.3"/>
  <cols>
    <col min="2" max="2" width="31" customWidth="1"/>
  </cols>
  <sheetData>
    <row r="4" spans="2:2" ht="23.4" x14ac:dyDescent="0.45">
      <c r="B4" s="5">
        <f>GETPIVOTDATA("Sum of TotalPrice",Sheet3!$A$3)</f>
        <v>2207643.5500000035</v>
      </c>
    </row>
    <row r="5" spans="2:2" ht="23.4" x14ac:dyDescent="0.45">
      <c r="B5" s="5">
        <f>GETPIVOTDATA("Sum of UnitPrice",Sheet3!$A$3)</f>
        <v>400796.86999999965</v>
      </c>
    </row>
    <row r="6" spans="2:2" ht="23.4" x14ac:dyDescent="0.45">
      <c r="B6" s="6">
        <f>GETPIVOTDATA("Sum of Quantity",Sheet3!$A$3)</f>
        <v>11057</v>
      </c>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30F14-1CAC-4147-AB60-238DB5F6BD3C}">
  <dimension ref="A1:O2002"/>
  <sheetViews>
    <sheetView topLeftCell="A1978" workbookViewId="0">
      <selection activeCell="A2" sqref="A2:N2002"/>
    </sheetView>
  </sheetViews>
  <sheetFormatPr defaultRowHeight="14.4" x14ac:dyDescent="0.3"/>
  <cols>
    <col min="1" max="1" width="10.33203125" bestFit="1" customWidth="1"/>
    <col min="2" max="2" width="7.33203125" bestFit="1" customWidth="1"/>
    <col min="3" max="3" width="9.44140625" bestFit="1" customWidth="1"/>
    <col min="4" max="4" width="10.44140625" bestFit="1" customWidth="1"/>
    <col min="5" max="5" width="9.88671875" bestFit="1" customWidth="1"/>
    <col min="6" max="6" width="10.5546875" bestFit="1" customWidth="1"/>
    <col min="7" max="7" width="10.88671875" bestFit="1" customWidth="1"/>
    <col min="8" max="8" width="14.88671875" bestFit="1" customWidth="1"/>
    <col min="9" max="9" width="14.77734375" bestFit="1" customWidth="1"/>
    <col min="10" max="10" width="9.33203125" bestFit="1" customWidth="1"/>
    <col min="11" max="11" width="15.33203125" bestFit="1" customWidth="1"/>
    <col min="12" max="12" width="12.5546875" bestFit="1" customWidth="1"/>
    <col min="13" max="13" width="13.21875" bestFit="1" customWidth="1"/>
    <col min="14" max="14" width="11.554687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2788</v>
      </c>
    </row>
    <row r="2" spans="1:15" x14ac:dyDescent="0.3">
      <c r="A2" s="1">
        <v>45381</v>
      </c>
      <c r="B2" t="s">
        <v>14</v>
      </c>
      <c r="C2" t="s">
        <v>15</v>
      </c>
      <c r="D2" t="s">
        <v>16</v>
      </c>
      <c r="E2" t="s">
        <v>17</v>
      </c>
      <c r="F2">
        <v>3</v>
      </c>
      <c r="G2">
        <v>364.22</v>
      </c>
      <c r="H2" t="s">
        <v>18</v>
      </c>
      <c r="I2" t="s">
        <v>19</v>
      </c>
      <c r="J2" t="s">
        <v>20</v>
      </c>
      <c r="K2" t="s">
        <v>21</v>
      </c>
      <c r="L2" t="s">
        <v>22</v>
      </c>
      <c r="M2" t="s">
        <v>23</v>
      </c>
      <c r="N2">
        <f>Sheet1[[#This Row],[Quantity]]*Sheet1[[#This Row],[UnitPrice]]</f>
        <v>1092.6600000000001</v>
      </c>
    </row>
    <row r="3" spans="1:15" x14ac:dyDescent="0.3">
      <c r="A3" s="1">
        <v>45001</v>
      </c>
      <c r="B3" t="s">
        <v>24</v>
      </c>
      <c r="C3" t="s">
        <v>25</v>
      </c>
      <c r="D3" t="s">
        <v>26</v>
      </c>
      <c r="E3" t="s">
        <v>27</v>
      </c>
      <c r="F3">
        <v>9</v>
      </c>
      <c r="G3">
        <v>384.74</v>
      </c>
      <c r="H3" t="s">
        <v>28</v>
      </c>
      <c r="I3" t="s">
        <v>29</v>
      </c>
      <c r="J3" t="s">
        <v>30</v>
      </c>
      <c r="K3" t="s">
        <v>31</v>
      </c>
      <c r="L3" t="s">
        <v>22</v>
      </c>
      <c r="M3" t="s">
        <v>32</v>
      </c>
      <c r="N3">
        <f>Sheet1[[#This Row],[Quantity]]*Sheet1[[#This Row],[UnitPrice]]</f>
        <v>3462.66</v>
      </c>
    </row>
    <row r="4" spans="1:15" x14ac:dyDescent="0.3">
      <c r="A4" s="1">
        <v>45408</v>
      </c>
      <c r="B4" t="s">
        <v>33</v>
      </c>
      <c r="C4" t="s">
        <v>34</v>
      </c>
      <c r="D4" t="s">
        <v>26</v>
      </c>
      <c r="E4" t="s">
        <v>35</v>
      </c>
      <c r="F4">
        <v>9</v>
      </c>
      <c r="G4">
        <v>397.8</v>
      </c>
      <c r="H4" t="s">
        <v>36</v>
      </c>
      <c r="I4" t="s">
        <v>37</v>
      </c>
      <c r="J4" t="s">
        <v>38</v>
      </c>
      <c r="K4" t="s">
        <v>31</v>
      </c>
      <c r="L4" t="s">
        <v>39</v>
      </c>
      <c r="M4" t="s">
        <v>40</v>
      </c>
      <c r="N4">
        <f>Sheet1[[#This Row],[Quantity]]*Sheet1[[#This Row],[UnitPrice]]</f>
        <v>3580.2000000000003</v>
      </c>
    </row>
    <row r="5" spans="1:15" x14ac:dyDescent="0.3">
      <c r="A5" s="1">
        <v>45696</v>
      </c>
      <c r="B5" t="s">
        <v>41</v>
      </c>
      <c r="C5" t="s">
        <v>34</v>
      </c>
      <c r="D5" t="s">
        <v>16</v>
      </c>
      <c r="E5" t="s">
        <v>42</v>
      </c>
      <c r="F5">
        <v>7</v>
      </c>
      <c r="G5">
        <v>80.27</v>
      </c>
      <c r="H5" t="s">
        <v>28</v>
      </c>
      <c r="I5" t="s">
        <v>43</v>
      </c>
      <c r="J5" t="s">
        <v>44</v>
      </c>
      <c r="K5" t="s">
        <v>45</v>
      </c>
      <c r="L5" t="s">
        <v>22</v>
      </c>
      <c r="M5" t="s">
        <v>23</v>
      </c>
      <c r="N5">
        <f>Sheet1[[#This Row],[Quantity]]*Sheet1[[#This Row],[UnitPrice]]</f>
        <v>561.89</v>
      </c>
    </row>
    <row r="6" spans="1:15" x14ac:dyDescent="0.3">
      <c r="A6" s="1">
        <v>45460</v>
      </c>
      <c r="B6" t="s">
        <v>46</v>
      </c>
      <c r="C6" t="s">
        <v>34</v>
      </c>
      <c r="D6" t="s">
        <v>47</v>
      </c>
      <c r="E6" t="s">
        <v>42</v>
      </c>
      <c r="F6">
        <v>10</v>
      </c>
      <c r="G6">
        <v>214.03</v>
      </c>
      <c r="H6" t="s">
        <v>18</v>
      </c>
      <c r="I6" t="s">
        <v>48</v>
      </c>
      <c r="J6" t="s">
        <v>20</v>
      </c>
      <c r="K6" t="s">
        <v>21</v>
      </c>
      <c r="L6" t="s">
        <v>39</v>
      </c>
      <c r="M6" t="s">
        <v>49</v>
      </c>
      <c r="N6">
        <f>Sheet1[[#This Row],[Quantity]]*Sheet1[[#This Row],[UnitPrice]]</f>
        <v>2140.3000000000002</v>
      </c>
    </row>
    <row r="7" spans="1:15" x14ac:dyDescent="0.3">
      <c r="A7" s="1">
        <v>44952</v>
      </c>
      <c r="B7" t="s">
        <v>50</v>
      </c>
      <c r="C7" t="s">
        <v>51</v>
      </c>
      <c r="D7" t="s">
        <v>26</v>
      </c>
      <c r="E7" t="s">
        <v>52</v>
      </c>
      <c r="F7">
        <v>7</v>
      </c>
      <c r="G7">
        <v>51.37</v>
      </c>
      <c r="H7" t="s">
        <v>53</v>
      </c>
      <c r="I7" t="s">
        <v>54</v>
      </c>
      <c r="J7" t="s">
        <v>30</v>
      </c>
      <c r="K7" t="s">
        <v>45</v>
      </c>
      <c r="L7" t="s">
        <v>39</v>
      </c>
      <c r="M7" t="s">
        <v>32</v>
      </c>
      <c r="N7">
        <f>Sheet1[[#This Row],[Quantity]]*Sheet1[[#This Row],[UnitPrice]]</f>
        <v>359.59</v>
      </c>
    </row>
    <row r="8" spans="1:15" x14ac:dyDescent="0.3">
      <c r="A8" s="1">
        <v>45270</v>
      </c>
      <c r="B8" t="s">
        <v>55</v>
      </c>
      <c r="C8" t="s">
        <v>56</v>
      </c>
      <c r="D8" t="s">
        <v>47</v>
      </c>
      <c r="E8" t="s">
        <v>42</v>
      </c>
      <c r="F8">
        <v>9</v>
      </c>
      <c r="G8">
        <v>8.32</v>
      </c>
      <c r="H8" t="s">
        <v>36</v>
      </c>
      <c r="I8" t="s">
        <v>57</v>
      </c>
      <c r="J8" t="s">
        <v>58</v>
      </c>
      <c r="K8" t="s">
        <v>59</v>
      </c>
      <c r="L8" t="s">
        <v>60</v>
      </c>
      <c r="M8" t="s">
        <v>61</v>
      </c>
      <c r="N8">
        <f>Sheet1[[#This Row],[Quantity]]*Sheet1[[#This Row],[UnitPrice]]</f>
        <v>74.88</v>
      </c>
    </row>
    <row r="9" spans="1:15" x14ac:dyDescent="0.3">
      <c r="A9" s="1">
        <v>45151</v>
      </c>
      <c r="B9" t="s">
        <v>62</v>
      </c>
      <c r="C9" t="s">
        <v>63</v>
      </c>
      <c r="D9" t="s">
        <v>26</v>
      </c>
      <c r="E9" t="s">
        <v>64</v>
      </c>
      <c r="F9">
        <v>2</v>
      </c>
      <c r="G9">
        <v>188.93</v>
      </c>
      <c r="H9" t="s">
        <v>53</v>
      </c>
      <c r="I9" t="s">
        <v>65</v>
      </c>
      <c r="J9" t="s">
        <v>38</v>
      </c>
      <c r="K9" t="s">
        <v>45</v>
      </c>
      <c r="L9" t="s">
        <v>39</v>
      </c>
      <c r="M9" t="s">
        <v>61</v>
      </c>
      <c r="N9">
        <f>Sheet1[[#This Row],[Quantity]]*Sheet1[[#This Row],[UnitPrice]]</f>
        <v>377.86</v>
      </c>
    </row>
    <row r="10" spans="1:15" x14ac:dyDescent="0.3">
      <c r="A10" s="1">
        <v>45429</v>
      </c>
      <c r="B10" t="s">
        <v>66</v>
      </c>
      <c r="C10" t="s">
        <v>51</v>
      </c>
      <c r="D10" t="s">
        <v>47</v>
      </c>
      <c r="E10" t="s">
        <v>67</v>
      </c>
      <c r="F10">
        <v>1</v>
      </c>
      <c r="G10">
        <v>202.95</v>
      </c>
      <c r="H10" t="s">
        <v>68</v>
      </c>
      <c r="I10" t="s">
        <v>69</v>
      </c>
      <c r="J10" t="s">
        <v>30</v>
      </c>
      <c r="K10" t="s">
        <v>45</v>
      </c>
      <c r="L10" t="s">
        <v>22</v>
      </c>
      <c r="M10" t="s">
        <v>40</v>
      </c>
      <c r="N10">
        <f>Sheet1[[#This Row],[Quantity]]*Sheet1[[#This Row],[UnitPrice]]</f>
        <v>202.95</v>
      </c>
    </row>
    <row r="11" spans="1:15" x14ac:dyDescent="0.3">
      <c r="A11" s="1">
        <v>45177</v>
      </c>
      <c r="B11" t="s">
        <v>70</v>
      </c>
      <c r="C11" t="s">
        <v>63</v>
      </c>
      <c r="D11" t="s">
        <v>16</v>
      </c>
      <c r="E11" t="s">
        <v>64</v>
      </c>
      <c r="F11">
        <v>5</v>
      </c>
      <c r="G11">
        <v>142.04</v>
      </c>
      <c r="H11" t="s">
        <v>28</v>
      </c>
      <c r="I11" t="s">
        <v>71</v>
      </c>
      <c r="J11" t="s">
        <v>44</v>
      </c>
      <c r="K11" t="s">
        <v>21</v>
      </c>
      <c r="L11" t="s">
        <v>39</v>
      </c>
      <c r="M11" t="s">
        <v>40</v>
      </c>
      <c r="N11">
        <f>Sheet1[[#This Row],[Quantity]]*Sheet1[[#This Row],[UnitPrice]]</f>
        <v>710.19999999999993</v>
      </c>
    </row>
    <row r="12" spans="1:15" x14ac:dyDescent="0.3">
      <c r="A12" s="1">
        <v>45189</v>
      </c>
      <c r="B12" t="s">
        <v>72</v>
      </c>
      <c r="C12" t="s">
        <v>73</v>
      </c>
      <c r="D12" t="s">
        <v>74</v>
      </c>
      <c r="E12" t="s">
        <v>42</v>
      </c>
      <c r="F12">
        <v>8</v>
      </c>
      <c r="G12">
        <v>97.52</v>
      </c>
      <c r="H12" t="s">
        <v>28</v>
      </c>
      <c r="I12" t="s">
        <v>75</v>
      </c>
      <c r="J12" t="s">
        <v>20</v>
      </c>
      <c r="K12" t="s">
        <v>31</v>
      </c>
      <c r="L12" t="s">
        <v>39</v>
      </c>
      <c r="M12" t="s">
        <v>76</v>
      </c>
      <c r="N12">
        <f>Sheet1[[#This Row],[Quantity]]*Sheet1[[#This Row],[UnitPrice]]</f>
        <v>780.16</v>
      </c>
    </row>
    <row r="13" spans="1:15" x14ac:dyDescent="0.3">
      <c r="A13" s="1">
        <v>45338</v>
      </c>
      <c r="B13" t="s">
        <v>77</v>
      </c>
      <c r="C13" t="s">
        <v>78</v>
      </c>
      <c r="D13" t="s">
        <v>16</v>
      </c>
      <c r="E13" t="s">
        <v>52</v>
      </c>
      <c r="F13">
        <v>2</v>
      </c>
      <c r="G13">
        <v>230.96</v>
      </c>
      <c r="H13" t="s">
        <v>28</v>
      </c>
      <c r="I13" t="s">
        <v>79</v>
      </c>
      <c r="J13" t="s">
        <v>20</v>
      </c>
      <c r="K13" t="s">
        <v>59</v>
      </c>
      <c r="L13" t="s">
        <v>22</v>
      </c>
      <c r="M13" t="s">
        <v>40</v>
      </c>
      <c r="N13">
        <f>Sheet1[[#This Row],[Quantity]]*Sheet1[[#This Row],[UnitPrice]]</f>
        <v>461.92</v>
      </c>
    </row>
    <row r="14" spans="1:15" x14ac:dyDescent="0.3">
      <c r="A14" s="1">
        <v>45548</v>
      </c>
      <c r="B14" t="s">
        <v>80</v>
      </c>
      <c r="C14" t="s">
        <v>63</v>
      </c>
      <c r="D14" t="s">
        <v>26</v>
      </c>
      <c r="E14" t="s">
        <v>67</v>
      </c>
      <c r="F14">
        <v>8</v>
      </c>
      <c r="G14">
        <v>201.35</v>
      </c>
      <c r="H14" t="s">
        <v>18</v>
      </c>
      <c r="I14" t="s">
        <v>81</v>
      </c>
      <c r="J14" t="s">
        <v>58</v>
      </c>
      <c r="K14" t="s">
        <v>59</v>
      </c>
      <c r="L14" t="s">
        <v>39</v>
      </c>
      <c r="M14" t="s">
        <v>40</v>
      </c>
      <c r="N14">
        <f>Sheet1[[#This Row],[Quantity]]*Sheet1[[#This Row],[UnitPrice]]</f>
        <v>1610.8</v>
      </c>
    </row>
    <row r="15" spans="1:15" x14ac:dyDescent="0.3">
      <c r="A15" s="1">
        <v>45825</v>
      </c>
      <c r="B15" t="s">
        <v>82</v>
      </c>
      <c r="C15" t="s">
        <v>25</v>
      </c>
      <c r="D15" t="s">
        <v>16</v>
      </c>
      <c r="E15" t="s">
        <v>35</v>
      </c>
      <c r="F15">
        <v>10</v>
      </c>
      <c r="G15">
        <v>40.96</v>
      </c>
      <c r="H15" t="s">
        <v>36</v>
      </c>
      <c r="I15" t="s">
        <v>83</v>
      </c>
      <c r="J15" t="s">
        <v>20</v>
      </c>
      <c r="K15" t="s">
        <v>31</v>
      </c>
      <c r="L15" t="s">
        <v>22</v>
      </c>
      <c r="M15" t="s">
        <v>84</v>
      </c>
      <c r="N15">
        <f>Sheet1[[#This Row],[Quantity]]*Sheet1[[#This Row],[UnitPrice]]</f>
        <v>409.6</v>
      </c>
    </row>
    <row r="16" spans="1:15" x14ac:dyDescent="0.3">
      <c r="A16" s="1">
        <v>44960</v>
      </c>
      <c r="B16" t="s">
        <v>85</v>
      </c>
      <c r="C16" t="s">
        <v>15</v>
      </c>
      <c r="D16" t="s">
        <v>47</v>
      </c>
      <c r="E16" t="s">
        <v>42</v>
      </c>
      <c r="F16">
        <v>1</v>
      </c>
      <c r="G16">
        <v>88.74</v>
      </c>
      <c r="H16" t="s">
        <v>68</v>
      </c>
      <c r="I16" t="s">
        <v>86</v>
      </c>
      <c r="J16" t="s">
        <v>38</v>
      </c>
      <c r="K16" t="s">
        <v>59</v>
      </c>
      <c r="L16" t="s">
        <v>60</v>
      </c>
      <c r="M16" t="s">
        <v>40</v>
      </c>
      <c r="N16">
        <f>Sheet1[[#This Row],[Quantity]]*Sheet1[[#This Row],[UnitPrice]]</f>
        <v>88.74</v>
      </c>
    </row>
    <row r="17" spans="1:14" x14ac:dyDescent="0.3">
      <c r="A17" s="1">
        <v>45323</v>
      </c>
      <c r="B17" t="s">
        <v>87</v>
      </c>
      <c r="C17" t="s">
        <v>73</v>
      </c>
      <c r="D17" t="s">
        <v>74</v>
      </c>
      <c r="E17" t="s">
        <v>27</v>
      </c>
      <c r="F17">
        <v>5</v>
      </c>
      <c r="G17">
        <v>362.03</v>
      </c>
      <c r="H17" t="s">
        <v>36</v>
      </c>
      <c r="I17" t="s">
        <v>88</v>
      </c>
      <c r="J17" t="s">
        <v>58</v>
      </c>
      <c r="K17" t="s">
        <v>31</v>
      </c>
      <c r="L17" t="s">
        <v>39</v>
      </c>
      <c r="M17" t="s">
        <v>32</v>
      </c>
      <c r="N17">
        <f>Sheet1[[#This Row],[Quantity]]*Sheet1[[#This Row],[UnitPrice]]</f>
        <v>1810.1499999999999</v>
      </c>
    </row>
    <row r="18" spans="1:14" x14ac:dyDescent="0.3">
      <c r="A18" s="1">
        <v>45193</v>
      </c>
      <c r="B18" t="s">
        <v>89</v>
      </c>
      <c r="C18" t="s">
        <v>90</v>
      </c>
      <c r="D18" t="s">
        <v>74</v>
      </c>
      <c r="E18" t="s">
        <v>64</v>
      </c>
      <c r="F18">
        <v>3</v>
      </c>
      <c r="G18">
        <v>26.78</v>
      </c>
      <c r="H18" t="s">
        <v>36</v>
      </c>
      <c r="I18" t="s">
        <v>91</v>
      </c>
      <c r="J18" t="s">
        <v>38</v>
      </c>
      <c r="K18" t="s">
        <v>31</v>
      </c>
      <c r="L18" t="s">
        <v>60</v>
      </c>
      <c r="M18" t="s">
        <v>61</v>
      </c>
      <c r="N18">
        <f>Sheet1[[#This Row],[Quantity]]*Sheet1[[#This Row],[UnitPrice]]</f>
        <v>80.34</v>
      </c>
    </row>
    <row r="19" spans="1:14" x14ac:dyDescent="0.3">
      <c r="A19" s="1">
        <v>45080</v>
      </c>
      <c r="B19" t="s">
        <v>92</v>
      </c>
      <c r="C19" t="s">
        <v>90</v>
      </c>
      <c r="D19" t="s">
        <v>26</v>
      </c>
      <c r="E19" t="s">
        <v>17</v>
      </c>
      <c r="F19">
        <v>3</v>
      </c>
      <c r="G19">
        <v>11.95</v>
      </c>
      <c r="H19" t="s">
        <v>68</v>
      </c>
      <c r="I19" t="s">
        <v>93</v>
      </c>
      <c r="J19" t="s">
        <v>58</v>
      </c>
      <c r="K19" t="s">
        <v>59</v>
      </c>
      <c r="L19" t="s">
        <v>39</v>
      </c>
      <c r="M19" t="s">
        <v>23</v>
      </c>
      <c r="N19">
        <f>Sheet1[[#This Row],[Quantity]]*Sheet1[[#This Row],[UnitPrice]]</f>
        <v>35.849999999999994</v>
      </c>
    </row>
    <row r="20" spans="1:14" x14ac:dyDescent="0.3">
      <c r="A20" s="1">
        <v>44981</v>
      </c>
      <c r="B20" t="s">
        <v>94</v>
      </c>
      <c r="C20" t="s">
        <v>63</v>
      </c>
      <c r="D20" t="s">
        <v>74</v>
      </c>
      <c r="E20" t="s">
        <v>52</v>
      </c>
      <c r="F20">
        <v>3</v>
      </c>
      <c r="G20">
        <v>267.06</v>
      </c>
      <c r="H20" t="s">
        <v>68</v>
      </c>
      <c r="I20" t="s">
        <v>95</v>
      </c>
      <c r="J20" t="s">
        <v>58</v>
      </c>
      <c r="K20" t="s">
        <v>31</v>
      </c>
      <c r="L20" t="s">
        <v>22</v>
      </c>
      <c r="M20" t="s">
        <v>40</v>
      </c>
      <c r="N20">
        <f>Sheet1[[#This Row],[Quantity]]*Sheet1[[#This Row],[UnitPrice]]</f>
        <v>801.18000000000006</v>
      </c>
    </row>
    <row r="21" spans="1:14" x14ac:dyDescent="0.3">
      <c r="A21" s="1">
        <v>45133</v>
      </c>
      <c r="B21" t="s">
        <v>96</v>
      </c>
      <c r="C21" t="s">
        <v>78</v>
      </c>
      <c r="D21" t="s">
        <v>47</v>
      </c>
      <c r="E21" t="s">
        <v>52</v>
      </c>
      <c r="F21">
        <v>3</v>
      </c>
      <c r="G21">
        <v>297.14</v>
      </c>
      <c r="H21" t="s">
        <v>36</v>
      </c>
      <c r="I21" t="s">
        <v>97</v>
      </c>
      <c r="J21" t="s">
        <v>30</v>
      </c>
      <c r="K21" t="s">
        <v>45</v>
      </c>
      <c r="L21" t="s">
        <v>39</v>
      </c>
      <c r="M21" t="s">
        <v>76</v>
      </c>
      <c r="N21">
        <f>Sheet1[[#This Row],[Quantity]]*Sheet1[[#This Row],[UnitPrice]]</f>
        <v>891.42</v>
      </c>
    </row>
    <row r="22" spans="1:14" x14ac:dyDescent="0.3">
      <c r="A22" s="1">
        <v>45215</v>
      </c>
      <c r="B22" t="s">
        <v>98</v>
      </c>
      <c r="C22" t="s">
        <v>63</v>
      </c>
      <c r="D22" t="s">
        <v>74</v>
      </c>
      <c r="E22" t="s">
        <v>27</v>
      </c>
      <c r="F22">
        <v>7</v>
      </c>
      <c r="G22">
        <v>206.04</v>
      </c>
      <c r="H22" t="s">
        <v>53</v>
      </c>
      <c r="I22" t="s">
        <v>99</v>
      </c>
      <c r="J22" t="s">
        <v>58</v>
      </c>
      <c r="K22" t="s">
        <v>21</v>
      </c>
      <c r="L22" t="s">
        <v>60</v>
      </c>
      <c r="M22" t="s">
        <v>49</v>
      </c>
      <c r="N22">
        <f>Sheet1[[#This Row],[Quantity]]*Sheet1[[#This Row],[UnitPrice]]</f>
        <v>1442.28</v>
      </c>
    </row>
    <row r="23" spans="1:14" x14ac:dyDescent="0.3">
      <c r="A23" s="1">
        <v>45522</v>
      </c>
      <c r="B23" t="s">
        <v>100</v>
      </c>
      <c r="C23" t="s">
        <v>101</v>
      </c>
      <c r="D23" t="s">
        <v>47</v>
      </c>
      <c r="E23" t="s">
        <v>42</v>
      </c>
      <c r="F23">
        <v>8</v>
      </c>
      <c r="G23">
        <v>289.99</v>
      </c>
      <c r="H23" t="s">
        <v>18</v>
      </c>
      <c r="I23" t="s">
        <v>102</v>
      </c>
      <c r="J23" t="s">
        <v>44</v>
      </c>
      <c r="K23" t="s">
        <v>59</v>
      </c>
      <c r="L23" t="s">
        <v>22</v>
      </c>
      <c r="M23" t="s">
        <v>61</v>
      </c>
      <c r="N23">
        <f>Sheet1[[#This Row],[Quantity]]*Sheet1[[#This Row],[UnitPrice]]</f>
        <v>2319.92</v>
      </c>
    </row>
    <row r="24" spans="1:14" x14ac:dyDescent="0.3">
      <c r="A24" s="1">
        <v>45138</v>
      </c>
      <c r="B24" t="s">
        <v>103</v>
      </c>
      <c r="C24" t="s">
        <v>34</v>
      </c>
      <c r="D24" t="s">
        <v>16</v>
      </c>
      <c r="E24" t="s">
        <v>27</v>
      </c>
      <c r="F24">
        <v>1</v>
      </c>
      <c r="G24">
        <v>78.56</v>
      </c>
      <c r="H24" t="s">
        <v>28</v>
      </c>
      <c r="I24" t="s">
        <v>104</v>
      </c>
      <c r="J24" t="s">
        <v>44</v>
      </c>
      <c r="K24" t="s">
        <v>31</v>
      </c>
      <c r="L24" t="s">
        <v>39</v>
      </c>
      <c r="M24" t="s">
        <v>49</v>
      </c>
      <c r="N24">
        <f>Sheet1[[#This Row],[Quantity]]*Sheet1[[#This Row],[UnitPrice]]</f>
        <v>78.56</v>
      </c>
    </row>
    <row r="25" spans="1:14" x14ac:dyDescent="0.3">
      <c r="A25" s="1">
        <v>45506</v>
      </c>
      <c r="B25" t="s">
        <v>105</v>
      </c>
      <c r="C25" t="s">
        <v>25</v>
      </c>
      <c r="D25" t="s">
        <v>16</v>
      </c>
      <c r="E25" t="s">
        <v>67</v>
      </c>
      <c r="F25">
        <v>5</v>
      </c>
      <c r="G25">
        <v>341.68</v>
      </c>
      <c r="H25" t="s">
        <v>28</v>
      </c>
      <c r="I25" t="s">
        <v>106</v>
      </c>
      <c r="J25" t="s">
        <v>30</v>
      </c>
      <c r="K25" t="s">
        <v>59</v>
      </c>
      <c r="L25" t="s">
        <v>39</v>
      </c>
      <c r="M25" t="s">
        <v>40</v>
      </c>
      <c r="N25">
        <f>Sheet1[[#This Row],[Quantity]]*Sheet1[[#This Row],[UnitPrice]]</f>
        <v>1708.4</v>
      </c>
    </row>
    <row r="26" spans="1:14" x14ac:dyDescent="0.3">
      <c r="A26" s="1">
        <v>45335</v>
      </c>
      <c r="B26" t="s">
        <v>107</v>
      </c>
      <c r="C26" t="s">
        <v>73</v>
      </c>
      <c r="D26" t="s">
        <v>47</v>
      </c>
      <c r="E26" t="s">
        <v>27</v>
      </c>
      <c r="F26">
        <v>5</v>
      </c>
      <c r="G26">
        <v>347.45</v>
      </c>
      <c r="H26" t="s">
        <v>53</v>
      </c>
      <c r="I26" t="s">
        <v>108</v>
      </c>
      <c r="J26" t="s">
        <v>44</v>
      </c>
      <c r="K26" t="s">
        <v>59</v>
      </c>
      <c r="L26" t="s">
        <v>60</v>
      </c>
      <c r="M26" t="s">
        <v>84</v>
      </c>
      <c r="N26">
        <f>Sheet1[[#This Row],[Quantity]]*Sheet1[[#This Row],[UnitPrice]]</f>
        <v>1737.25</v>
      </c>
    </row>
    <row r="27" spans="1:14" x14ac:dyDescent="0.3">
      <c r="A27" s="1">
        <v>45678</v>
      </c>
      <c r="B27" t="s">
        <v>109</v>
      </c>
      <c r="C27" t="s">
        <v>56</v>
      </c>
      <c r="D27" t="s">
        <v>16</v>
      </c>
      <c r="E27" t="s">
        <v>35</v>
      </c>
      <c r="F27">
        <v>9</v>
      </c>
      <c r="G27">
        <v>248.76</v>
      </c>
      <c r="H27" t="s">
        <v>28</v>
      </c>
      <c r="I27" t="s">
        <v>110</v>
      </c>
      <c r="J27" t="s">
        <v>38</v>
      </c>
      <c r="K27" t="s">
        <v>21</v>
      </c>
      <c r="L27" t="s">
        <v>39</v>
      </c>
      <c r="M27" t="s">
        <v>84</v>
      </c>
      <c r="N27">
        <f>Sheet1[[#This Row],[Quantity]]*Sheet1[[#This Row],[UnitPrice]]</f>
        <v>2238.84</v>
      </c>
    </row>
    <row r="28" spans="1:14" x14ac:dyDescent="0.3">
      <c r="A28" s="1">
        <v>45740</v>
      </c>
      <c r="B28" t="s">
        <v>111</v>
      </c>
      <c r="C28" t="s">
        <v>90</v>
      </c>
      <c r="D28" t="s">
        <v>26</v>
      </c>
      <c r="E28" t="s">
        <v>35</v>
      </c>
      <c r="F28">
        <v>2</v>
      </c>
      <c r="G28">
        <v>254.98</v>
      </c>
      <c r="H28" t="s">
        <v>28</v>
      </c>
      <c r="I28" t="s">
        <v>112</v>
      </c>
      <c r="J28" t="s">
        <v>38</v>
      </c>
      <c r="K28" t="s">
        <v>59</v>
      </c>
      <c r="L28" t="s">
        <v>39</v>
      </c>
      <c r="M28" t="s">
        <v>49</v>
      </c>
      <c r="N28">
        <f>Sheet1[[#This Row],[Quantity]]*Sheet1[[#This Row],[UnitPrice]]</f>
        <v>509.96</v>
      </c>
    </row>
    <row r="29" spans="1:14" x14ac:dyDescent="0.3">
      <c r="A29" s="1">
        <v>44991</v>
      </c>
      <c r="B29" t="s">
        <v>113</v>
      </c>
      <c r="C29" t="s">
        <v>73</v>
      </c>
      <c r="D29" t="s">
        <v>74</v>
      </c>
      <c r="E29" t="s">
        <v>27</v>
      </c>
      <c r="F29">
        <v>3</v>
      </c>
      <c r="G29">
        <v>219.6</v>
      </c>
      <c r="H29" t="s">
        <v>36</v>
      </c>
      <c r="I29" t="s">
        <v>114</v>
      </c>
      <c r="J29" t="s">
        <v>20</v>
      </c>
      <c r="K29" t="s">
        <v>45</v>
      </c>
      <c r="L29" t="s">
        <v>39</v>
      </c>
      <c r="M29" t="s">
        <v>49</v>
      </c>
      <c r="N29">
        <f>Sheet1[[#This Row],[Quantity]]*Sheet1[[#This Row],[UnitPrice]]</f>
        <v>658.8</v>
      </c>
    </row>
    <row r="30" spans="1:14" x14ac:dyDescent="0.3">
      <c r="A30" s="1">
        <v>45834</v>
      </c>
      <c r="B30" t="s">
        <v>115</v>
      </c>
      <c r="C30" t="s">
        <v>15</v>
      </c>
      <c r="D30" t="s">
        <v>26</v>
      </c>
      <c r="E30" t="s">
        <v>64</v>
      </c>
      <c r="F30">
        <v>6</v>
      </c>
      <c r="G30">
        <v>311.11</v>
      </c>
      <c r="H30" t="s">
        <v>53</v>
      </c>
      <c r="I30" t="s">
        <v>116</v>
      </c>
      <c r="J30" t="s">
        <v>20</v>
      </c>
      <c r="K30" t="s">
        <v>59</v>
      </c>
      <c r="L30" t="s">
        <v>39</v>
      </c>
      <c r="M30" t="s">
        <v>32</v>
      </c>
      <c r="N30">
        <f>Sheet1[[#This Row],[Quantity]]*Sheet1[[#This Row],[UnitPrice]]</f>
        <v>1866.66</v>
      </c>
    </row>
    <row r="31" spans="1:14" x14ac:dyDescent="0.3">
      <c r="A31" s="1">
        <v>45825</v>
      </c>
      <c r="B31" t="s">
        <v>117</v>
      </c>
      <c r="C31" t="s">
        <v>73</v>
      </c>
      <c r="D31" t="s">
        <v>26</v>
      </c>
      <c r="E31" t="s">
        <v>35</v>
      </c>
      <c r="F31">
        <v>5</v>
      </c>
      <c r="G31">
        <v>41.09</v>
      </c>
      <c r="H31" t="s">
        <v>18</v>
      </c>
      <c r="I31" t="s">
        <v>118</v>
      </c>
      <c r="J31" t="s">
        <v>44</v>
      </c>
      <c r="K31" t="s">
        <v>31</v>
      </c>
      <c r="L31" t="s">
        <v>22</v>
      </c>
      <c r="M31" t="s">
        <v>84</v>
      </c>
      <c r="N31">
        <f>Sheet1[[#This Row],[Quantity]]*Sheet1[[#This Row],[UnitPrice]]</f>
        <v>205.45000000000002</v>
      </c>
    </row>
    <row r="32" spans="1:14" x14ac:dyDescent="0.3">
      <c r="A32" s="1">
        <v>45225</v>
      </c>
      <c r="B32" t="s">
        <v>119</v>
      </c>
      <c r="C32" t="s">
        <v>90</v>
      </c>
      <c r="D32" t="s">
        <v>26</v>
      </c>
      <c r="E32" t="s">
        <v>67</v>
      </c>
      <c r="F32">
        <v>6</v>
      </c>
      <c r="G32">
        <v>193.95</v>
      </c>
      <c r="H32" t="s">
        <v>18</v>
      </c>
      <c r="I32" t="s">
        <v>120</v>
      </c>
      <c r="J32" t="s">
        <v>38</v>
      </c>
      <c r="K32" t="s">
        <v>31</v>
      </c>
      <c r="L32" t="s">
        <v>60</v>
      </c>
      <c r="M32" t="s">
        <v>32</v>
      </c>
      <c r="N32">
        <f>Sheet1[[#This Row],[Quantity]]*Sheet1[[#This Row],[UnitPrice]]</f>
        <v>1163.6999999999998</v>
      </c>
    </row>
    <row r="33" spans="1:14" x14ac:dyDescent="0.3">
      <c r="A33" s="1">
        <v>45210</v>
      </c>
      <c r="B33" t="s">
        <v>121</v>
      </c>
      <c r="C33" t="s">
        <v>90</v>
      </c>
      <c r="D33" t="s">
        <v>47</v>
      </c>
      <c r="E33" t="s">
        <v>64</v>
      </c>
      <c r="F33">
        <v>1</v>
      </c>
      <c r="G33">
        <v>177.74</v>
      </c>
      <c r="H33" t="s">
        <v>68</v>
      </c>
      <c r="I33" t="s">
        <v>122</v>
      </c>
      <c r="J33" t="s">
        <v>30</v>
      </c>
      <c r="K33" t="s">
        <v>21</v>
      </c>
      <c r="L33" t="s">
        <v>22</v>
      </c>
      <c r="M33" t="s">
        <v>76</v>
      </c>
      <c r="N33">
        <f>Sheet1[[#This Row],[Quantity]]*Sheet1[[#This Row],[UnitPrice]]</f>
        <v>177.74</v>
      </c>
    </row>
    <row r="34" spans="1:14" x14ac:dyDescent="0.3">
      <c r="A34" s="1">
        <v>45639</v>
      </c>
      <c r="B34" t="s">
        <v>123</v>
      </c>
      <c r="C34" t="s">
        <v>51</v>
      </c>
      <c r="D34" t="s">
        <v>26</v>
      </c>
      <c r="E34" t="s">
        <v>67</v>
      </c>
      <c r="F34">
        <v>1</v>
      </c>
      <c r="G34">
        <v>152.05000000000001</v>
      </c>
      <c r="H34" t="s">
        <v>36</v>
      </c>
      <c r="I34" t="s">
        <v>124</v>
      </c>
      <c r="J34" t="s">
        <v>20</v>
      </c>
      <c r="K34" t="s">
        <v>59</v>
      </c>
      <c r="L34" t="s">
        <v>39</v>
      </c>
      <c r="M34" t="s">
        <v>40</v>
      </c>
      <c r="N34">
        <f>Sheet1[[#This Row],[Quantity]]*Sheet1[[#This Row],[UnitPrice]]</f>
        <v>152.05000000000001</v>
      </c>
    </row>
    <row r="35" spans="1:14" x14ac:dyDescent="0.3">
      <c r="A35" s="1">
        <v>45461</v>
      </c>
      <c r="B35" t="s">
        <v>125</v>
      </c>
      <c r="C35" t="s">
        <v>63</v>
      </c>
      <c r="D35" t="s">
        <v>47</v>
      </c>
      <c r="E35" t="s">
        <v>27</v>
      </c>
      <c r="F35">
        <v>7</v>
      </c>
      <c r="G35">
        <v>139.58000000000001</v>
      </c>
      <c r="H35" t="s">
        <v>18</v>
      </c>
      <c r="I35" t="s">
        <v>126</v>
      </c>
      <c r="J35" t="s">
        <v>20</v>
      </c>
      <c r="K35" t="s">
        <v>31</v>
      </c>
      <c r="L35" t="s">
        <v>60</v>
      </c>
      <c r="M35" t="s">
        <v>84</v>
      </c>
      <c r="N35">
        <f>Sheet1[[#This Row],[Quantity]]*Sheet1[[#This Row],[UnitPrice]]</f>
        <v>977.06000000000006</v>
      </c>
    </row>
    <row r="36" spans="1:14" x14ac:dyDescent="0.3">
      <c r="A36" s="1">
        <v>45225</v>
      </c>
      <c r="B36" t="s">
        <v>127</v>
      </c>
      <c r="C36" t="s">
        <v>34</v>
      </c>
      <c r="D36" t="s">
        <v>47</v>
      </c>
      <c r="E36" t="s">
        <v>64</v>
      </c>
      <c r="F36">
        <v>3</v>
      </c>
      <c r="G36">
        <v>242.83</v>
      </c>
      <c r="H36" t="s">
        <v>36</v>
      </c>
      <c r="I36" t="s">
        <v>128</v>
      </c>
      <c r="J36" t="s">
        <v>44</v>
      </c>
      <c r="K36" t="s">
        <v>21</v>
      </c>
      <c r="L36" t="s">
        <v>39</v>
      </c>
      <c r="M36" t="s">
        <v>32</v>
      </c>
      <c r="N36">
        <f>Sheet1[[#This Row],[Quantity]]*Sheet1[[#This Row],[UnitPrice]]</f>
        <v>728.49</v>
      </c>
    </row>
    <row r="37" spans="1:14" x14ac:dyDescent="0.3">
      <c r="A37" s="1">
        <v>45324</v>
      </c>
      <c r="B37" t="s">
        <v>129</v>
      </c>
      <c r="C37" t="s">
        <v>73</v>
      </c>
      <c r="D37" t="s">
        <v>74</v>
      </c>
      <c r="E37" t="s">
        <v>42</v>
      </c>
      <c r="F37">
        <v>8</v>
      </c>
      <c r="G37">
        <v>191.77</v>
      </c>
      <c r="H37" t="s">
        <v>36</v>
      </c>
      <c r="I37" t="s">
        <v>130</v>
      </c>
      <c r="J37" t="s">
        <v>44</v>
      </c>
      <c r="K37" t="s">
        <v>31</v>
      </c>
      <c r="L37" t="s">
        <v>22</v>
      </c>
      <c r="M37" t="s">
        <v>40</v>
      </c>
      <c r="N37">
        <f>Sheet1[[#This Row],[Quantity]]*Sheet1[[#This Row],[UnitPrice]]</f>
        <v>1534.16</v>
      </c>
    </row>
    <row r="38" spans="1:14" x14ac:dyDescent="0.3">
      <c r="A38" s="1">
        <v>45643</v>
      </c>
      <c r="B38" t="s">
        <v>131</v>
      </c>
      <c r="C38" t="s">
        <v>63</v>
      </c>
      <c r="D38" t="s">
        <v>47</v>
      </c>
      <c r="E38" t="s">
        <v>67</v>
      </c>
      <c r="F38">
        <v>3</v>
      </c>
      <c r="G38">
        <v>335.3</v>
      </c>
      <c r="H38" t="s">
        <v>18</v>
      </c>
      <c r="I38" t="s">
        <v>132</v>
      </c>
      <c r="J38" t="s">
        <v>38</v>
      </c>
      <c r="K38" t="s">
        <v>31</v>
      </c>
      <c r="L38" t="s">
        <v>22</v>
      </c>
      <c r="M38" t="s">
        <v>84</v>
      </c>
      <c r="N38">
        <f>Sheet1[[#This Row],[Quantity]]*Sheet1[[#This Row],[UnitPrice]]</f>
        <v>1005.9000000000001</v>
      </c>
    </row>
    <row r="39" spans="1:14" x14ac:dyDescent="0.3">
      <c r="A39" s="1">
        <v>45592</v>
      </c>
      <c r="B39" t="s">
        <v>133</v>
      </c>
      <c r="C39" t="s">
        <v>90</v>
      </c>
      <c r="D39" t="s">
        <v>47</v>
      </c>
      <c r="E39" t="s">
        <v>17</v>
      </c>
      <c r="F39">
        <v>9</v>
      </c>
      <c r="G39">
        <v>270.32</v>
      </c>
      <c r="H39" t="s">
        <v>18</v>
      </c>
      <c r="I39" t="s">
        <v>134</v>
      </c>
      <c r="J39" t="s">
        <v>30</v>
      </c>
      <c r="K39" t="s">
        <v>31</v>
      </c>
      <c r="L39" t="s">
        <v>39</v>
      </c>
      <c r="M39" t="s">
        <v>61</v>
      </c>
      <c r="N39">
        <f>Sheet1[[#This Row],[Quantity]]*Sheet1[[#This Row],[UnitPrice]]</f>
        <v>2432.88</v>
      </c>
    </row>
    <row r="40" spans="1:14" x14ac:dyDescent="0.3">
      <c r="A40" s="1">
        <v>45785</v>
      </c>
      <c r="B40" t="s">
        <v>135</v>
      </c>
      <c r="C40" t="s">
        <v>51</v>
      </c>
      <c r="D40" t="s">
        <v>16</v>
      </c>
      <c r="E40" t="s">
        <v>52</v>
      </c>
      <c r="F40">
        <v>4</v>
      </c>
      <c r="G40">
        <v>256.29000000000002</v>
      </c>
      <c r="H40" t="s">
        <v>36</v>
      </c>
      <c r="I40" t="s">
        <v>136</v>
      </c>
      <c r="J40" t="s">
        <v>38</v>
      </c>
      <c r="K40" t="s">
        <v>21</v>
      </c>
      <c r="L40" t="s">
        <v>39</v>
      </c>
      <c r="M40" t="s">
        <v>32</v>
      </c>
      <c r="N40">
        <f>Sheet1[[#This Row],[Quantity]]*Sheet1[[#This Row],[UnitPrice]]</f>
        <v>1025.1600000000001</v>
      </c>
    </row>
    <row r="41" spans="1:14" x14ac:dyDescent="0.3">
      <c r="A41" s="1">
        <v>45513</v>
      </c>
      <c r="B41" t="s">
        <v>131</v>
      </c>
      <c r="C41" t="s">
        <v>73</v>
      </c>
      <c r="D41" t="s">
        <v>26</v>
      </c>
      <c r="E41" t="s">
        <v>35</v>
      </c>
      <c r="F41">
        <v>1</v>
      </c>
      <c r="G41">
        <v>314.48</v>
      </c>
      <c r="H41" t="s">
        <v>18</v>
      </c>
      <c r="I41" t="s">
        <v>137</v>
      </c>
      <c r="J41" t="s">
        <v>30</v>
      </c>
      <c r="K41" t="s">
        <v>31</v>
      </c>
      <c r="L41" t="s">
        <v>22</v>
      </c>
      <c r="M41" t="s">
        <v>40</v>
      </c>
      <c r="N41">
        <f>Sheet1[[#This Row],[Quantity]]*Sheet1[[#This Row],[UnitPrice]]</f>
        <v>314.48</v>
      </c>
    </row>
    <row r="42" spans="1:14" x14ac:dyDescent="0.3">
      <c r="A42" s="1">
        <v>45031</v>
      </c>
      <c r="B42" t="s">
        <v>138</v>
      </c>
      <c r="C42" t="s">
        <v>51</v>
      </c>
      <c r="D42" t="s">
        <v>16</v>
      </c>
      <c r="E42" t="s">
        <v>35</v>
      </c>
      <c r="F42">
        <v>2</v>
      </c>
      <c r="G42">
        <v>347.71</v>
      </c>
      <c r="H42" t="s">
        <v>28</v>
      </c>
      <c r="I42" t="s">
        <v>139</v>
      </c>
      <c r="J42" t="s">
        <v>44</v>
      </c>
      <c r="K42" t="s">
        <v>21</v>
      </c>
      <c r="L42" t="s">
        <v>39</v>
      </c>
      <c r="M42" t="s">
        <v>23</v>
      </c>
      <c r="N42">
        <f>Sheet1[[#This Row],[Quantity]]*Sheet1[[#This Row],[UnitPrice]]</f>
        <v>695.42</v>
      </c>
    </row>
    <row r="43" spans="1:14" x14ac:dyDescent="0.3">
      <c r="A43" s="1">
        <v>45463</v>
      </c>
      <c r="B43" t="s">
        <v>140</v>
      </c>
      <c r="C43" t="s">
        <v>78</v>
      </c>
      <c r="D43" t="s">
        <v>74</v>
      </c>
      <c r="E43" t="s">
        <v>27</v>
      </c>
      <c r="F43">
        <v>5</v>
      </c>
      <c r="G43">
        <v>63.06</v>
      </c>
      <c r="H43" t="s">
        <v>53</v>
      </c>
      <c r="I43" t="s">
        <v>141</v>
      </c>
      <c r="J43" t="s">
        <v>30</v>
      </c>
      <c r="K43" t="s">
        <v>59</v>
      </c>
      <c r="L43" t="s">
        <v>22</v>
      </c>
      <c r="M43" t="s">
        <v>32</v>
      </c>
      <c r="N43">
        <f>Sheet1[[#This Row],[Quantity]]*Sheet1[[#This Row],[UnitPrice]]</f>
        <v>315.3</v>
      </c>
    </row>
    <row r="44" spans="1:14" x14ac:dyDescent="0.3">
      <c r="A44" s="1">
        <v>45464</v>
      </c>
      <c r="B44" t="s">
        <v>142</v>
      </c>
      <c r="C44" t="s">
        <v>34</v>
      </c>
      <c r="D44" t="s">
        <v>26</v>
      </c>
      <c r="E44" t="s">
        <v>35</v>
      </c>
      <c r="F44">
        <v>4</v>
      </c>
      <c r="G44">
        <v>234.54</v>
      </c>
      <c r="H44" t="s">
        <v>68</v>
      </c>
      <c r="I44" t="s">
        <v>143</v>
      </c>
      <c r="J44" t="s">
        <v>58</v>
      </c>
      <c r="K44" t="s">
        <v>45</v>
      </c>
      <c r="L44" t="s">
        <v>39</v>
      </c>
      <c r="M44" t="s">
        <v>40</v>
      </c>
      <c r="N44">
        <f>Sheet1[[#This Row],[Quantity]]*Sheet1[[#This Row],[UnitPrice]]</f>
        <v>938.16</v>
      </c>
    </row>
    <row r="45" spans="1:14" x14ac:dyDescent="0.3">
      <c r="A45" s="1">
        <v>45319</v>
      </c>
      <c r="B45" t="s">
        <v>144</v>
      </c>
      <c r="C45" t="s">
        <v>90</v>
      </c>
      <c r="D45" t="s">
        <v>16</v>
      </c>
      <c r="E45" t="s">
        <v>27</v>
      </c>
      <c r="F45">
        <v>2</v>
      </c>
      <c r="G45">
        <v>43.42</v>
      </c>
      <c r="H45" t="s">
        <v>53</v>
      </c>
      <c r="I45" t="s">
        <v>145</v>
      </c>
      <c r="J45" t="s">
        <v>58</v>
      </c>
      <c r="K45" t="s">
        <v>45</v>
      </c>
      <c r="L45" t="s">
        <v>22</v>
      </c>
      <c r="M45" t="s">
        <v>61</v>
      </c>
      <c r="N45">
        <f>Sheet1[[#This Row],[Quantity]]*Sheet1[[#This Row],[UnitPrice]]</f>
        <v>86.84</v>
      </c>
    </row>
    <row r="46" spans="1:14" x14ac:dyDescent="0.3">
      <c r="A46" s="1">
        <v>45294</v>
      </c>
      <c r="B46" t="s">
        <v>146</v>
      </c>
      <c r="C46" t="s">
        <v>101</v>
      </c>
      <c r="D46" t="s">
        <v>47</v>
      </c>
      <c r="E46" t="s">
        <v>67</v>
      </c>
      <c r="F46">
        <v>10</v>
      </c>
      <c r="G46">
        <v>137.22999999999999</v>
      </c>
      <c r="H46" t="s">
        <v>18</v>
      </c>
      <c r="I46" t="s">
        <v>147</v>
      </c>
      <c r="J46" t="s">
        <v>20</v>
      </c>
      <c r="K46" t="s">
        <v>59</v>
      </c>
      <c r="L46" t="s">
        <v>22</v>
      </c>
      <c r="M46" t="s">
        <v>76</v>
      </c>
      <c r="N46">
        <f>Sheet1[[#This Row],[Quantity]]*Sheet1[[#This Row],[UnitPrice]]</f>
        <v>1372.3</v>
      </c>
    </row>
    <row r="47" spans="1:14" x14ac:dyDescent="0.3">
      <c r="A47" s="1">
        <v>45443</v>
      </c>
      <c r="B47" t="s">
        <v>148</v>
      </c>
      <c r="C47" t="s">
        <v>56</v>
      </c>
      <c r="D47" t="s">
        <v>16</v>
      </c>
      <c r="E47" t="s">
        <v>64</v>
      </c>
      <c r="F47">
        <v>7</v>
      </c>
      <c r="G47">
        <v>124.76</v>
      </c>
      <c r="H47" t="s">
        <v>18</v>
      </c>
      <c r="I47" t="s">
        <v>149</v>
      </c>
      <c r="J47" t="s">
        <v>20</v>
      </c>
      <c r="K47" t="s">
        <v>59</v>
      </c>
      <c r="L47" t="s">
        <v>39</v>
      </c>
      <c r="M47" t="s">
        <v>40</v>
      </c>
      <c r="N47">
        <f>Sheet1[[#This Row],[Quantity]]*Sheet1[[#This Row],[UnitPrice]]</f>
        <v>873.32</v>
      </c>
    </row>
    <row r="48" spans="1:14" x14ac:dyDescent="0.3">
      <c r="A48" s="1">
        <v>45761</v>
      </c>
      <c r="B48" t="s">
        <v>150</v>
      </c>
      <c r="C48" t="s">
        <v>90</v>
      </c>
      <c r="D48" t="s">
        <v>16</v>
      </c>
      <c r="E48" t="s">
        <v>17</v>
      </c>
      <c r="F48">
        <v>3</v>
      </c>
      <c r="G48">
        <v>88.91</v>
      </c>
      <c r="H48" t="s">
        <v>28</v>
      </c>
      <c r="I48" t="s">
        <v>151</v>
      </c>
      <c r="J48" t="s">
        <v>30</v>
      </c>
      <c r="K48" t="s">
        <v>45</v>
      </c>
      <c r="L48" t="s">
        <v>39</v>
      </c>
      <c r="M48" t="s">
        <v>49</v>
      </c>
      <c r="N48">
        <f>Sheet1[[#This Row],[Quantity]]*Sheet1[[#This Row],[UnitPrice]]</f>
        <v>266.73</v>
      </c>
    </row>
    <row r="49" spans="1:14" x14ac:dyDescent="0.3">
      <c r="A49" s="1">
        <v>45776</v>
      </c>
      <c r="B49" t="s">
        <v>152</v>
      </c>
      <c r="C49" t="s">
        <v>34</v>
      </c>
      <c r="D49" t="s">
        <v>47</v>
      </c>
      <c r="E49" t="s">
        <v>67</v>
      </c>
      <c r="F49">
        <v>4</v>
      </c>
      <c r="G49">
        <v>206.84</v>
      </c>
      <c r="H49" t="s">
        <v>28</v>
      </c>
      <c r="I49" t="s">
        <v>153</v>
      </c>
      <c r="J49" t="s">
        <v>58</v>
      </c>
      <c r="K49" t="s">
        <v>45</v>
      </c>
      <c r="L49" t="s">
        <v>60</v>
      </c>
      <c r="M49" t="s">
        <v>84</v>
      </c>
      <c r="N49">
        <f>Sheet1[[#This Row],[Quantity]]*Sheet1[[#This Row],[UnitPrice]]</f>
        <v>827.36</v>
      </c>
    </row>
    <row r="50" spans="1:14" x14ac:dyDescent="0.3">
      <c r="A50" s="1">
        <v>45359</v>
      </c>
      <c r="B50" t="s">
        <v>154</v>
      </c>
      <c r="C50" t="s">
        <v>51</v>
      </c>
      <c r="D50" t="s">
        <v>74</v>
      </c>
      <c r="E50" t="s">
        <v>27</v>
      </c>
      <c r="F50">
        <v>10</v>
      </c>
      <c r="G50">
        <v>20.98</v>
      </c>
      <c r="H50" t="s">
        <v>53</v>
      </c>
      <c r="I50" t="s">
        <v>155</v>
      </c>
      <c r="J50" t="s">
        <v>58</v>
      </c>
      <c r="K50" t="s">
        <v>31</v>
      </c>
      <c r="L50" t="s">
        <v>39</v>
      </c>
      <c r="M50" t="s">
        <v>40</v>
      </c>
      <c r="N50">
        <f>Sheet1[[#This Row],[Quantity]]*Sheet1[[#This Row],[UnitPrice]]</f>
        <v>209.8</v>
      </c>
    </row>
    <row r="51" spans="1:14" x14ac:dyDescent="0.3">
      <c r="A51" s="1">
        <v>45264</v>
      </c>
      <c r="B51" t="s">
        <v>156</v>
      </c>
      <c r="C51" t="s">
        <v>63</v>
      </c>
      <c r="D51" t="s">
        <v>74</v>
      </c>
      <c r="E51" t="s">
        <v>27</v>
      </c>
      <c r="F51">
        <v>3</v>
      </c>
      <c r="G51">
        <v>40.090000000000003</v>
      </c>
      <c r="H51" t="s">
        <v>68</v>
      </c>
      <c r="I51" t="s">
        <v>157</v>
      </c>
      <c r="J51" t="s">
        <v>44</v>
      </c>
      <c r="K51" t="s">
        <v>59</v>
      </c>
      <c r="L51" t="s">
        <v>39</v>
      </c>
      <c r="M51" t="s">
        <v>49</v>
      </c>
      <c r="N51">
        <f>Sheet1[[#This Row],[Quantity]]*Sheet1[[#This Row],[UnitPrice]]</f>
        <v>120.27000000000001</v>
      </c>
    </row>
    <row r="52" spans="1:14" x14ac:dyDescent="0.3">
      <c r="A52" s="1">
        <v>45618</v>
      </c>
      <c r="B52" t="s">
        <v>158</v>
      </c>
      <c r="C52" t="s">
        <v>25</v>
      </c>
      <c r="D52" t="s">
        <v>16</v>
      </c>
      <c r="E52" t="s">
        <v>27</v>
      </c>
      <c r="F52">
        <v>2</v>
      </c>
      <c r="G52">
        <v>42.49</v>
      </c>
      <c r="H52" t="s">
        <v>53</v>
      </c>
      <c r="I52" t="s">
        <v>159</v>
      </c>
      <c r="J52" t="s">
        <v>30</v>
      </c>
      <c r="K52" t="s">
        <v>21</v>
      </c>
      <c r="L52" t="s">
        <v>22</v>
      </c>
      <c r="M52" t="s">
        <v>40</v>
      </c>
      <c r="N52">
        <f>Sheet1[[#This Row],[Quantity]]*Sheet1[[#This Row],[UnitPrice]]</f>
        <v>84.98</v>
      </c>
    </row>
    <row r="53" spans="1:14" x14ac:dyDescent="0.3">
      <c r="A53" s="1">
        <v>45371</v>
      </c>
      <c r="B53" t="s">
        <v>160</v>
      </c>
      <c r="C53" t="s">
        <v>51</v>
      </c>
      <c r="D53" t="s">
        <v>26</v>
      </c>
      <c r="E53" t="s">
        <v>64</v>
      </c>
      <c r="F53">
        <v>9</v>
      </c>
      <c r="G53">
        <v>49.99</v>
      </c>
      <c r="H53" t="s">
        <v>36</v>
      </c>
      <c r="I53" t="s">
        <v>161</v>
      </c>
      <c r="J53" t="s">
        <v>58</v>
      </c>
      <c r="K53" t="s">
        <v>21</v>
      </c>
      <c r="L53" t="s">
        <v>22</v>
      </c>
      <c r="M53" t="s">
        <v>76</v>
      </c>
      <c r="N53">
        <f>Sheet1[[#This Row],[Quantity]]*Sheet1[[#This Row],[UnitPrice]]</f>
        <v>449.91</v>
      </c>
    </row>
    <row r="54" spans="1:14" x14ac:dyDescent="0.3">
      <c r="A54" s="1">
        <v>44984</v>
      </c>
      <c r="B54" t="s">
        <v>162</v>
      </c>
      <c r="C54" t="s">
        <v>25</v>
      </c>
      <c r="D54" t="s">
        <v>26</v>
      </c>
      <c r="E54" t="s">
        <v>67</v>
      </c>
      <c r="F54">
        <v>3</v>
      </c>
      <c r="G54">
        <v>67.02</v>
      </c>
      <c r="H54" t="s">
        <v>18</v>
      </c>
      <c r="I54" t="s">
        <v>163</v>
      </c>
      <c r="J54" t="s">
        <v>20</v>
      </c>
      <c r="K54" t="s">
        <v>21</v>
      </c>
      <c r="L54" t="s">
        <v>22</v>
      </c>
      <c r="M54" t="s">
        <v>49</v>
      </c>
      <c r="N54">
        <f>Sheet1[[#This Row],[Quantity]]*Sheet1[[#This Row],[UnitPrice]]</f>
        <v>201.06</v>
      </c>
    </row>
    <row r="55" spans="1:14" x14ac:dyDescent="0.3">
      <c r="A55" s="1">
        <v>45238</v>
      </c>
      <c r="B55" t="s">
        <v>164</v>
      </c>
      <c r="C55" t="s">
        <v>34</v>
      </c>
      <c r="D55" t="s">
        <v>74</v>
      </c>
      <c r="E55" t="s">
        <v>52</v>
      </c>
      <c r="F55">
        <v>4</v>
      </c>
      <c r="G55">
        <v>8.4700000000000006</v>
      </c>
      <c r="H55" t="s">
        <v>18</v>
      </c>
      <c r="I55" t="s">
        <v>165</v>
      </c>
      <c r="J55" t="s">
        <v>20</v>
      </c>
      <c r="K55" t="s">
        <v>31</v>
      </c>
      <c r="L55" t="s">
        <v>39</v>
      </c>
      <c r="M55" t="s">
        <v>76</v>
      </c>
      <c r="N55">
        <f>Sheet1[[#This Row],[Quantity]]*Sheet1[[#This Row],[UnitPrice]]</f>
        <v>33.880000000000003</v>
      </c>
    </row>
    <row r="56" spans="1:14" x14ac:dyDescent="0.3">
      <c r="A56" s="1">
        <v>45682</v>
      </c>
      <c r="B56" t="s">
        <v>113</v>
      </c>
      <c r="C56" t="s">
        <v>63</v>
      </c>
      <c r="D56" t="s">
        <v>74</v>
      </c>
      <c r="E56" t="s">
        <v>67</v>
      </c>
      <c r="F56">
        <v>3</v>
      </c>
      <c r="G56">
        <v>303.35000000000002</v>
      </c>
      <c r="H56" t="s">
        <v>36</v>
      </c>
      <c r="I56" t="s">
        <v>166</v>
      </c>
      <c r="J56" t="s">
        <v>44</v>
      </c>
      <c r="K56" t="s">
        <v>21</v>
      </c>
      <c r="L56" t="s">
        <v>39</v>
      </c>
      <c r="M56" t="s">
        <v>23</v>
      </c>
      <c r="N56">
        <f>Sheet1[[#This Row],[Quantity]]*Sheet1[[#This Row],[UnitPrice]]</f>
        <v>910.05000000000007</v>
      </c>
    </row>
    <row r="57" spans="1:14" x14ac:dyDescent="0.3">
      <c r="A57" s="1">
        <v>45061</v>
      </c>
      <c r="B57" t="s">
        <v>167</v>
      </c>
      <c r="C57" t="s">
        <v>78</v>
      </c>
      <c r="D57" t="s">
        <v>26</v>
      </c>
      <c r="E57" t="s">
        <v>35</v>
      </c>
      <c r="F57">
        <v>7</v>
      </c>
      <c r="G57">
        <v>101.59</v>
      </c>
      <c r="H57" t="s">
        <v>68</v>
      </c>
      <c r="I57" t="s">
        <v>168</v>
      </c>
      <c r="J57" t="s">
        <v>20</v>
      </c>
      <c r="K57" t="s">
        <v>45</v>
      </c>
      <c r="L57" t="s">
        <v>22</v>
      </c>
      <c r="M57" t="s">
        <v>49</v>
      </c>
      <c r="N57">
        <f>Sheet1[[#This Row],[Quantity]]*Sheet1[[#This Row],[UnitPrice]]</f>
        <v>711.13</v>
      </c>
    </row>
    <row r="58" spans="1:14" x14ac:dyDescent="0.3">
      <c r="A58" s="1">
        <v>45423</v>
      </c>
      <c r="B58" t="s">
        <v>169</v>
      </c>
      <c r="C58" t="s">
        <v>101</v>
      </c>
      <c r="D58" t="s">
        <v>74</v>
      </c>
      <c r="E58" t="s">
        <v>64</v>
      </c>
      <c r="F58">
        <v>1</v>
      </c>
      <c r="G58">
        <v>263.81</v>
      </c>
      <c r="H58" t="s">
        <v>18</v>
      </c>
      <c r="I58" t="s">
        <v>170</v>
      </c>
      <c r="J58" t="s">
        <v>30</v>
      </c>
      <c r="K58" t="s">
        <v>21</v>
      </c>
      <c r="L58" t="s">
        <v>39</v>
      </c>
      <c r="M58" t="s">
        <v>23</v>
      </c>
      <c r="N58">
        <f>Sheet1[[#This Row],[Quantity]]*Sheet1[[#This Row],[UnitPrice]]</f>
        <v>263.81</v>
      </c>
    </row>
    <row r="59" spans="1:14" x14ac:dyDescent="0.3">
      <c r="A59" s="1">
        <v>45661</v>
      </c>
      <c r="B59" t="s">
        <v>133</v>
      </c>
      <c r="C59" t="s">
        <v>101</v>
      </c>
      <c r="D59" t="s">
        <v>47</v>
      </c>
      <c r="E59" t="s">
        <v>52</v>
      </c>
      <c r="F59">
        <v>6</v>
      </c>
      <c r="G59">
        <v>63.78</v>
      </c>
      <c r="H59" t="s">
        <v>28</v>
      </c>
      <c r="I59" t="s">
        <v>171</v>
      </c>
      <c r="J59" t="s">
        <v>20</v>
      </c>
      <c r="K59" t="s">
        <v>59</v>
      </c>
      <c r="L59" t="s">
        <v>39</v>
      </c>
      <c r="M59" t="s">
        <v>23</v>
      </c>
      <c r="N59">
        <f>Sheet1[[#This Row],[Quantity]]*Sheet1[[#This Row],[UnitPrice]]</f>
        <v>382.68</v>
      </c>
    </row>
    <row r="60" spans="1:14" x14ac:dyDescent="0.3">
      <c r="A60" s="1">
        <v>45635</v>
      </c>
      <c r="B60" t="s">
        <v>172</v>
      </c>
      <c r="C60" t="s">
        <v>73</v>
      </c>
      <c r="D60" t="s">
        <v>74</v>
      </c>
      <c r="E60" t="s">
        <v>67</v>
      </c>
      <c r="F60">
        <v>7</v>
      </c>
      <c r="G60">
        <v>294.17</v>
      </c>
      <c r="H60" t="s">
        <v>36</v>
      </c>
      <c r="I60" t="s">
        <v>173</v>
      </c>
      <c r="J60" t="s">
        <v>58</v>
      </c>
      <c r="K60" t="s">
        <v>21</v>
      </c>
      <c r="L60" t="s">
        <v>39</v>
      </c>
      <c r="M60" t="s">
        <v>49</v>
      </c>
      <c r="N60">
        <f>Sheet1[[#This Row],[Quantity]]*Sheet1[[#This Row],[UnitPrice]]</f>
        <v>2059.19</v>
      </c>
    </row>
    <row r="61" spans="1:14" x14ac:dyDescent="0.3">
      <c r="A61" s="1">
        <v>45211</v>
      </c>
      <c r="B61" t="s">
        <v>174</v>
      </c>
      <c r="C61" t="s">
        <v>101</v>
      </c>
      <c r="D61" t="s">
        <v>74</v>
      </c>
      <c r="E61" t="s">
        <v>64</v>
      </c>
      <c r="F61">
        <v>6</v>
      </c>
      <c r="G61">
        <v>338.25</v>
      </c>
      <c r="H61" t="s">
        <v>36</v>
      </c>
      <c r="I61" t="s">
        <v>175</v>
      </c>
      <c r="J61" t="s">
        <v>30</v>
      </c>
      <c r="K61" t="s">
        <v>21</v>
      </c>
      <c r="L61" t="s">
        <v>22</v>
      </c>
      <c r="M61" t="s">
        <v>32</v>
      </c>
      <c r="N61">
        <f>Sheet1[[#This Row],[Quantity]]*Sheet1[[#This Row],[UnitPrice]]</f>
        <v>2029.5</v>
      </c>
    </row>
    <row r="62" spans="1:14" x14ac:dyDescent="0.3">
      <c r="A62" s="1">
        <v>45713</v>
      </c>
      <c r="B62" t="s">
        <v>176</v>
      </c>
      <c r="C62" t="s">
        <v>101</v>
      </c>
      <c r="D62" t="s">
        <v>74</v>
      </c>
      <c r="E62" t="s">
        <v>17</v>
      </c>
      <c r="F62">
        <v>8</v>
      </c>
      <c r="G62">
        <v>286.5</v>
      </c>
      <c r="H62" t="s">
        <v>36</v>
      </c>
      <c r="I62" t="s">
        <v>177</v>
      </c>
      <c r="J62" t="s">
        <v>30</v>
      </c>
      <c r="K62" t="s">
        <v>45</v>
      </c>
      <c r="L62" t="s">
        <v>22</v>
      </c>
      <c r="M62" t="s">
        <v>84</v>
      </c>
      <c r="N62">
        <f>Sheet1[[#This Row],[Quantity]]*Sheet1[[#This Row],[UnitPrice]]</f>
        <v>2292</v>
      </c>
    </row>
    <row r="63" spans="1:14" x14ac:dyDescent="0.3">
      <c r="A63" s="1">
        <v>45172</v>
      </c>
      <c r="B63" t="s">
        <v>178</v>
      </c>
      <c r="C63" t="s">
        <v>15</v>
      </c>
      <c r="D63" t="s">
        <v>74</v>
      </c>
      <c r="E63" t="s">
        <v>52</v>
      </c>
      <c r="F63">
        <v>7</v>
      </c>
      <c r="G63">
        <v>221.11</v>
      </c>
      <c r="H63" t="s">
        <v>18</v>
      </c>
      <c r="I63" t="s">
        <v>179</v>
      </c>
      <c r="J63" t="s">
        <v>58</v>
      </c>
      <c r="K63" t="s">
        <v>31</v>
      </c>
      <c r="L63" t="s">
        <v>39</v>
      </c>
      <c r="M63" t="s">
        <v>61</v>
      </c>
      <c r="N63">
        <f>Sheet1[[#This Row],[Quantity]]*Sheet1[[#This Row],[UnitPrice]]</f>
        <v>1547.77</v>
      </c>
    </row>
    <row r="64" spans="1:14" x14ac:dyDescent="0.3">
      <c r="A64" s="1">
        <v>45112</v>
      </c>
      <c r="B64" t="s">
        <v>180</v>
      </c>
      <c r="C64" t="s">
        <v>78</v>
      </c>
      <c r="D64" t="s">
        <v>16</v>
      </c>
      <c r="E64" t="s">
        <v>27</v>
      </c>
      <c r="F64">
        <v>2</v>
      </c>
      <c r="G64">
        <v>367.88</v>
      </c>
      <c r="H64" t="s">
        <v>53</v>
      </c>
      <c r="I64" t="s">
        <v>181</v>
      </c>
      <c r="J64" t="s">
        <v>20</v>
      </c>
      <c r="K64" t="s">
        <v>31</v>
      </c>
      <c r="L64" t="s">
        <v>39</v>
      </c>
      <c r="M64" t="s">
        <v>76</v>
      </c>
      <c r="N64">
        <f>Sheet1[[#This Row],[Quantity]]*Sheet1[[#This Row],[UnitPrice]]</f>
        <v>735.76</v>
      </c>
    </row>
    <row r="65" spans="1:14" x14ac:dyDescent="0.3">
      <c r="A65" s="1">
        <v>45238</v>
      </c>
      <c r="B65" t="s">
        <v>182</v>
      </c>
      <c r="C65" t="s">
        <v>34</v>
      </c>
      <c r="D65" t="s">
        <v>16</v>
      </c>
      <c r="E65" t="s">
        <v>35</v>
      </c>
      <c r="F65">
        <v>7</v>
      </c>
      <c r="G65">
        <v>388.02</v>
      </c>
      <c r="H65" t="s">
        <v>68</v>
      </c>
      <c r="I65" t="s">
        <v>183</v>
      </c>
      <c r="J65" t="s">
        <v>58</v>
      </c>
      <c r="K65" t="s">
        <v>45</v>
      </c>
      <c r="L65" t="s">
        <v>22</v>
      </c>
      <c r="M65" t="s">
        <v>76</v>
      </c>
      <c r="N65">
        <f>Sheet1[[#This Row],[Quantity]]*Sheet1[[#This Row],[UnitPrice]]</f>
        <v>2716.14</v>
      </c>
    </row>
    <row r="66" spans="1:14" x14ac:dyDescent="0.3">
      <c r="A66" s="1">
        <v>45245</v>
      </c>
      <c r="B66" t="s">
        <v>184</v>
      </c>
      <c r="C66" t="s">
        <v>56</v>
      </c>
      <c r="D66" t="s">
        <v>16</v>
      </c>
      <c r="E66" t="s">
        <v>35</v>
      </c>
      <c r="F66">
        <v>5</v>
      </c>
      <c r="G66">
        <v>121.92</v>
      </c>
      <c r="H66" t="s">
        <v>28</v>
      </c>
      <c r="I66" t="s">
        <v>185</v>
      </c>
      <c r="J66" t="s">
        <v>58</v>
      </c>
      <c r="K66" t="s">
        <v>45</v>
      </c>
      <c r="L66" t="s">
        <v>39</v>
      </c>
      <c r="M66" t="s">
        <v>76</v>
      </c>
      <c r="N66">
        <f>Sheet1[[#This Row],[Quantity]]*Sheet1[[#This Row],[UnitPrice]]</f>
        <v>609.6</v>
      </c>
    </row>
    <row r="67" spans="1:14" x14ac:dyDescent="0.3">
      <c r="A67" s="1">
        <v>45162</v>
      </c>
      <c r="B67" t="s">
        <v>186</v>
      </c>
      <c r="C67" t="s">
        <v>73</v>
      </c>
      <c r="D67" t="s">
        <v>16</v>
      </c>
      <c r="E67" t="s">
        <v>27</v>
      </c>
      <c r="F67">
        <v>10</v>
      </c>
      <c r="G67">
        <v>306.37</v>
      </c>
      <c r="H67" t="s">
        <v>53</v>
      </c>
      <c r="I67" t="s">
        <v>187</v>
      </c>
      <c r="J67" t="s">
        <v>44</v>
      </c>
      <c r="K67" t="s">
        <v>21</v>
      </c>
      <c r="L67" t="s">
        <v>39</v>
      </c>
      <c r="M67" t="s">
        <v>32</v>
      </c>
      <c r="N67">
        <f>Sheet1[[#This Row],[Quantity]]*Sheet1[[#This Row],[UnitPrice]]</f>
        <v>3063.7</v>
      </c>
    </row>
    <row r="68" spans="1:14" x14ac:dyDescent="0.3">
      <c r="A68" s="1">
        <v>44957</v>
      </c>
      <c r="B68" t="s">
        <v>188</v>
      </c>
      <c r="C68" t="s">
        <v>25</v>
      </c>
      <c r="D68" t="s">
        <v>16</v>
      </c>
      <c r="E68" t="s">
        <v>67</v>
      </c>
      <c r="F68">
        <v>10</v>
      </c>
      <c r="G68">
        <v>241.6</v>
      </c>
      <c r="H68" t="s">
        <v>36</v>
      </c>
      <c r="I68" t="s">
        <v>189</v>
      </c>
      <c r="J68" t="s">
        <v>20</v>
      </c>
      <c r="K68" t="s">
        <v>59</v>
      </c>
      <c r="L68" t="s">
        <v>22</v>
      </c>
      <c r="M68" t="s">
        <v>84</v>
      </c>
      <c r="N68">
        <f>Sheet1[[#This Row],[Quantity]]*Sheet1[[#This Row],[UnitPrice]]</f>
        <v>2416</v>
      </c>
    </row>
    <row r="69" spans="1:14" x14ac:dyDescent="0.3">
      <c r="A69" s="1">
        <v>45236</v>
      </c>
      <c r="B69" t="s">
        <v>190</v>
      </c>
      <c r="C69" t="s">
        <v>25</v>
      </c>
      <c r="D69" t="s">
        <v>26</v>
      </c>
      <c r="E69" t="s">
        <v>52</v>
      </c>
      <c r="F69">
        <v>8</v>
      </c>
      <c r="G69">
        <v>354.29</v>
      </c>
      <c r="H69" t="s">
        <v>18</v>
      </c>
      <c r="I69" t="s">
        <v>191</v>
      </c>
      <c r="J69" t="s">
        <v>44</v>
      </c>
      <c r="K69" t="s">
        <v>21</v>
      </c>
      <c r="L69" t="s">
        <v>39</v>
      </c>
      <c r="M69" t="s">
        <v>49</v>
      </c>
      <c r="N69">
        <f>Sheet1[[#This Row],[Quantity]]*Sheet1[[#This Row],[UnitPrice]]</f>
        <v>2834.32</v>
      </c>
    </row>
    <row r="70" spans="1:14" x14ac:dyDescent="0.3">
      <c r="A70" s="1">
        <v>45001</v>
      </c>
      <c r="B70" t="s">
        <v>192</v>
      </c>
      <c r="C70" t="s">
        <v>56</v>
      </c>
      <c r="D70" t="s">
        <v>74</v>
      </c>
      <c r="E70" t="s">
        <v>17</v>
      </c>
      <c r="F70">
        <v>4</v>
      </c>
      <c r="G70">
        <v>133.01</v>
      </c>
      <c r="H70" t="s">
        <v>36</v>
      </c>
      <c r="I70" t="s">
        <v>193</v>
      </c>
      <c r="J70" t="s">
        <v>44</v>
      </c>
      <c r="K70" t="s">
        <v>31</v>
      </c>
      <c r="L70" t="s">
        <v>60</v>
      </c>
      <c r="M70" t="s">
        <v>32</v>
      </c>
      <c r="N70">
        <f>Sheet1[[#This Row],[Quantity]]*Sheet1[[#This Row],[UnitPrice]]</f>
        <v>532.04</v>
      </c>
    </row>
    <row r="71" spans="1:14" x14ac:dyDescent="0.3">
      <c r="A71" s="1">
        <v>45720</v>
      </c>
      <c r="B71" t="s">
        <v>194</v>
      </c>
      <c r="C71" t="s">
        <v>63</v>
      </c>
      <c r="D71" t="s">
        <v>16</v>
      </c>
      <c r="E71" t="s">
        <v>67</v>
      </c>
      <c r="F71">
        <v>1</v>
      </c>
      <c r="G71">
        <v>72.55</v>
      </c>
      <c r="H71" t="s">
        <v>18</v>
      </c>
      <c r="I71" t="s">
        <v>195</v>
      </c>
      <c r="J71" t="s">
        <v>44</v>
      </c>
      <c r="K71" t="s">
        <v>45</v>
      </c>
      <c r="L71" t="s">
        <v>39</v>
      </c>
      <c r="M71" t="s">
        <v>84</v>
      </c>
      <c r="N71">
        <f>Sheet1[[#This Row],[Quantity]]*Sheet1[[#This Row],[UnitPrice]]</f>
        <v>72.55</v>
      </c>
    </row>
    <row r="72" spans="1:14" x14ac:dyDescent="0.3">
      <c r="A72" s="1">
        <v>45036</v>
      </c>
      <c r="B72" t="s">
        <v>196</v>
      </c>
      <c r="C72" t="s">
        <v>78</v>
      </c>
      <c r="D72" t="s">
        <v>16</v>
      </c>
      <c r="E72" t="s">
        <v>52</v>
      </c>
      <c r="F72">
        <v>8</v>
      </c>
      <c r="G72">
        <v>200.64</v>
      </c>
      <c r="H72" t="s">
        <v>36</v>
      </c>
      <c r="I72" t="s">
        <v>197</v>
      </c>
      <c r="J72" t="s">
        <v>30</v>
      </c>
      <c r="K72" t="s">
        <v>31</v>
      </c>
      <c r="L72" t="s">
        <v>60</v>
      </c>
      <c r="M72" t="s">
        <v>32</v>
      </c>
      <c r="N72">
        <f>Sheet1[[#This Row],[Quantity]]*Sheet1[[#This Row],[UnitPrice]]</f>
        <v>1605.12</v>
      </c>
    </row>
    <row r="73" spans="1:14" x14ac:dyDescent="0.3">
      <c r="A73" s="1">
        <v>45062</v>
      </c>
      <c r="B73" t="s">
        <v>198</v>
      </c>
      <c r="C73" t="s">
        <v>34</v>
      </c>
      <c r="D73" t="s">
        <v>16</v>
      </c>
      <c r="E73" t="s">
        <v>67</v>
      </c>
      <c r="F73">
        <v>5</v>
      </c>
      <c r="G73">
        <v>297.20999999999998</v>
      </c>
      <c r="H73" t="s">
        <v>36</v>
      </c>
      <c r="I73" t="s">
        <v>199</v>
      </c>
      <c r="J73" t="s">
        <v>44</v>
      </c>
      <c r="K73" t="s">
        <v>21</v>
      </c>
      <c r="L73" t="s">
        <v>39</v>
      </c>
      <c r="M73" t="s">
        <v>84</v>
      </c>
      <c r="N73">
        <f>Sheet1[[#This Row],[Quantity]]*Sheet1[[#This Row],[UnitPrice]]</f>
        <v>1486.05</v>
      </c>
    </row>
    <row r="74" spans="1:14" x14ac:dyDescent="0.3">
      <c r="A74" s="1">
        <v>45299</v>
      </c>
      <c r="B74" t="s">
        <v>200</v>
      </c>
      <c r="C74" t="s">
        <v>63</v>
      </c>
      <c r="D74" t="s">
        <v>74</v>
      </c>
      <c r="E74" t="s">
        <v>64</v>
      </c>
      <c r="F74">
        <v>2</v>
      </c>
      <c r="G74">
        <v>171.3</v>
      </c>
      <c r="H74" t="s">
        <v>53</v>
      </c>
      <c r="I74" t="s">
        <v>201</v>
      </c>
      <c r="J74" t="s">
        <v>58</v>
      </c>
      <c r="K74" t="s">
        <v>45</v>
      </c>
      <c r="L74" t="s">
        <v>22</v>
      </c>
      <c r="M74" t="s">
        <v>49</v>
      </c>
      <c r="N74">
        <f>Sheet1[[#This Row],[Quantity]]*Sheet1[[#This Row],[UnitPrice]]</f>
        <v>342.6</v>
      </c>
    </row>
    <row r="75" spans="1:14" x14ac:dyDescent="0.3">
      <c r="A75" s="1">
        <v>44955</v>
      </c>
      <c r="B75" t="s">
        <v>202</v>
      </c>
      <c r="C75" t="s">
        <v>78</v>
      </c>
      <c r="D75" t="s">
        <v>74</v>
      </c>
      <c r="E75" t="s">
        <v>67</v>
      </c>
      <c r="F75">
        <v>9</v>
      </c>
      <c r="G75">
        <v>158.37</v>
      </c>
      <c r="H75" t="s">
        <v>68</v>
      </c>
      <c r="I75" t="s">
        <v>203</v>
      </c>
      <c r="J75" t="s">
        <v>30</v>
      </c>
      <c r="K75" t="s">
        <v>59</v>
      </c>
      <c r="L75" t="s">
        <v>22</v>
      </c>
      <c r="M75" t="s">
        <v>61</v>
      </c>
      <c r="N75">
        <f>Sheet1[[#This Row],[Quantity]]*Sheet1[[#This Row],[UnitPrice]]</f>
        <v>1425.33</v>
      </c>
    </row>
    <row r="76" spans="1:14" x14ac:dyDescent="0.3">
      <c r="A76" s="1">
        <v>45500</v>
      </c>
      <c r="B76" t="s">
        <v>204</v>
      </c>
      <c r="C76" t="s">
        <v>63</v>
      </c>
      <c r="D76" t="s">
        <v>74</v>
      </c>
      <c r="E76" t="s">
        <v>42</v>
      </c>
      <c r="F76">
        <v>6</v>
      </c>
      <c r="G76">
        <v>98.03</v>
      </c>
      <c r="H76" t="s">
        <v>28</v>
      </c>
      <c r="I76" t="s">
        <v>205</v>
      </c>
      <c r="J76" t="s">
        <v>44</v>
      </c>
      <c r="K76" t="s">
        <v>21</v>
      </c>
      <c r="L76" t="s">
        <v>39</v>
      </c>
      <c r="M76" t="s">
        <v>23</v>
      </c>
      <c r="N76">
        <f>Sheet1[[#This Row],[Quantity]]*Sheet1[[#This Row],[UnitPrice]]</f>
        <v>588.18000000000006</v>
      </c>
    </row>
    <row r="77" spans="1:14" x14ac:dyDescent="0.3">
      <c r="A77" s="1">
        <v>44937</v>
      </c>
      <c r="B77" t="s">
        <v>206</v>
      </c>
      <c r="C77" t="s">
        <v>56</v>
      </c>
      <c r="D77" t="s">
        <v>74</v>
      </c>
      <c r="E77" t="s">
        <v>17</v>
      </c>
      <c r="F77">
        <v>7</v>
      </c>
      <c r="G77">
        <v>47.84</v>
      </c>
      <c r="H77" t="s">
        <v>68</v>
      </c>
      <c r="I77" t="s">
        <v>207</v>
      </c>
      <c r="J77" t="s">
        <v>58</v>
      </c>
      <c r="K77" t="s">
        <v>45</v>
      </c>
      <c r="L77" t="s">
        <v>39</v>
      </c>
      <c r="M77" t="s">
        <v>76</v>
      </c>
      <c r="N77">
        <f>Sheet1[[#This Row],[Quantity]]*Sheet1[[#This Row],[UnitPrice]]</f>
        <v>334.88</v>
      </c>
    </row>
    <row r="78" spans="1:14" x14ac:dyDescent="0.3">
      <c r="A78" s="1">
        <v>45603</v>
      </c>
      <c r="B78" t="s">
        <v>208</v>
      </c>
      <c r="C78" t="s">
        <v>90</v>
      </c>
      <c r="D78" t="s">
        <v>74</v>
      </c>
      <c r="E78" t="s">
        <v>27</v>
      </c>
      <c r="F78">
        <v>7</v>
      </c>
      <c r="G78">
        <v>361.31</v>
      </c>
      <c r="H78" t="s">
        <v>36</v>
      </c>
      <c r="I78" t="s">
        <v>209</v>
      </c>
      <c r="J78" t="s">
        <v>58</v>
      </c>
      <c r="K78" t="s">
        <v>45</v>
      </c>
      <c r="L78" t="s">
        <v>60</v>
      </c>
      <c r="M78" t="s">
        <v>32</v>
      </c>
      <c r="N78">
        <f>Sheet1[[#This Row],[Quantity]]*Sheet1[[#This Row],[UnitPrice]]</f>
        <v>2529.17</v>
      </c>
    </row>
    <row r="79" spans="1:14" x14ac:dyDescent="0.3">
      <c r="A79" s="1">
        <v>45825</v>
      </c>
      <c r="B79" t="s">
        <v>210</v>
      </c>
      <c r="C79" t="s">
        <v>34</v>
      </c>
      <c r="D79" t="s">
        <v>74</v>
      </c>
      <c r="E79" t="s">
        <v>35</v>
      </c>
      <c r="F79">
        <v>4</v>
      </c>
      <c r="G79">
        <v>346.87</v>
      </c>
      <c r="H79" t="s">
        <v>68</v>
      </c>
      <c r="I79" t="s">
        <v>211</v>
      </c>
      <c r="J79" t="s">
        <v>38</v>
      </c>
      <c r="K79" t="s">
        <v>31</v>
      </c>
      <c r="L79" t="s">
        <v>22</v>
      </c>
      <c r="M79" t="s">
        <v>84</v>
      </c>
      <c r="N79">
        <f>Sheet1[[#This Row],[Quantity]]*Sheet1[[#This Row],[UnitPrice]]</f>
        <v>1387.48</v>
      </c>
    </row>
    <row r="80" spans="1:14" x14ac:dyDescent="0.3">
      <c r="A80" s="1">
        <v>45573</v>
      </c>
      <c r="B80" t="s">
        <v>212</v>
      </c>
      <c r="C80" t="s">
        <v>25</v>
      </c>
      <c r="D80" t="s">
        <v>16</v>
      </c>
      <c r="E80" t="s">
        <v>42</v>
      </c>
      <c r="F80">
        <v>3</v>
      </c>
      <c r="G80">
        <v>140.31</v>
      </c>
      <c r="H80" t="s">
        <v>18</v>
      </c>
      <c r="I80" t="s">
        <v>213</v>
      </c>
      <c r="J80" t="s">
        <v>58</v>
      </c>
      <c r="K80" t="s">
        <v>21</v>
      </c>
      <c r="L80" t="s">
        <v>60</v>
      </c>
      <c r="M80" t="s">
        <v>84</v>
      </c>
      <c r="N80">
        <f>Sheet1[[#This Row],[Quantity]]*Sheet1[[#This Row],[UnitPrice]]</f>
        <v>420.93</v>
      </c>
    </row>
    <row r="81" spans="1:14" x14ac:dyDescent="0.3">
      <c r="A81" s="1">
        <v>45825</v>
      </c>
      <c r="B81" t="s">
        <v>214</v>
      </c>
      <c r="C81" t="s">
        <v>34</v>
      </c>
      <c r="D81" t="s">
        <v>16</v>
      </c>
      <c r="E81" t="s">
        <v>64</v>
      </c>
      <c r="F81">
        <v>4</v>
      </c>
      <c r="G81">
        <v>209.05</v>
      </c>
      <c r="H81" t="s">
        <v>68</v>
      </c>
      <c r="I81" t="s">
        <v>215</v>
      </c>
      <c r="J81" t="s">
        <v>20</v>
      </c>
      <c r="K81" t="s">
        <v>21</v>
      </c>
      <c r="L81" t="s">
        <v>39</v>
      </c>
      <c r="M81" t="s">
        <v>84</v>
      </c>
      <c r="N81">
        <f>Sheet1[[#This Row],[Quantity]]*Sheet1[[#This Row],[UnitPrice]]</f>
        <v>836.2</v>
      </c>
    </row>
    <row r="82" spans="1:14" x14ac:dyDescent="0.3">
      <c r="A82" s="1">
        <v>45066</v>
      </c>
      <c r="B82" t="s">
        <v>216</v>
      </c>
      <c r="C82" t="s">
        <v>73</v>
      </c>
      <c r="D82" t="s">
        <v>16</v>
      </c>
      <c r="E82" t="s">
        <v>67</v>
      </c>
      <c r="F82">
        <v>9</v>
      </c>
      <c r="G82">
        <v>173.09</v>
      </c>
      <c r="H82" t="s">
        <v>53</v>
      </c>
      <c r="I82" t="s">
        <v>217</v>
      </c>
      <c r="J82" t="s">
        <v>30</v>
      </c>
      <c r="K82" t="s">
        <v>31</v>
      </c>
      <c r="L82" t="s">
        <v>39</v>
      </c>
      <c r="M82" t="s">
        <v>23</v>
      </c>
      <c r="N82">
        <f>Sheet1[[#This Row],[Quantity]]*Sheet1[[#This Row],[UnitPrice]]</f>
        <v>1557.81</v>
      </c>
    </row>
    <row r="83" spans="1:14" x14ac:dyDescent="0.3">
      <c r="A83" s="1">
        <v>45128</v>
      </c>
      <c r="B83" t="s">
        <v>218</v>
      </c>
      <c r="C83" t="s">
        <v>51</v>
      </c>
      <c r="D83" t="s">
        <v>74</v>
      </c>
      <c r="E83" t="s">
        <v>42</v>
      </c>
      <c r="F83">
        <v>7</v>
      </c>
      <c r="G83">
        <v>67.36</v>
      </c>
      <c r="H83" t="s">
        <v>53</v>
      </c>
      <c r="I83" t="s">
        <v>219</v>
      </c>
      <c r="J83" t="s">
        <v>44</v>
      </c>
      <c r="K83" t="s">
        <v>59</v>
      </c>
      <c r="L83" t="s">
        <v>39</v>
      </c>
      <c r="M83" t="s">
        <v>40</v>
      </c>
      <c r="N83">
        <f>Sheet1[[#This Row],[Quantity]]*Sheet1[[#This Row],[UnitPrice]]</f>
        <v>471.52</v>
      </c>
    </row>
    <row r="84" spans="1:14" x14ac:dyDescent="0.3">
      <c r="A84" s="1">
        <v>45460</v>
      </c>
      <c r="B84" t="s">
        <v>220</v>
      </c>
      <c r="C84" t="s">
        <v>78</v>
      </c>
      <c r="D84" t="s">
        <v>16</v>
      </c>
      <c r="E84" t="s">
        <v>27</v>
      </c>
      <c r="F84">
        <v>5</v>
      </c>
      <c r="G84">
        <v>319.05</v>
      </c>
      <c r="H84" t="s">
        <v>68</v>
      </c>
      <c r="I84" t="s">
        <v>221</v>
      </c>
      <c r="J84" t="s">
        <v>30</v>
      </c>
      <c r="K84" t="s">
        <v>45</v>
      </c>
      <c r="L84" t="s">
        <v>22</v>
      </c>
      <c r="M84" t="s">
        <v>49</v>
      </c>
      <c r="N84">
        <f>Sheet1[[#This Row],[Quantity]]*Sheet1[[#This Row],[UnitPrice]]</f>
        <v>1595.25</v>
      </c>
    </row>
    <row r="85" spans="1:14" x14ac:dyDescent="0.3">
      <c r="A85" s="1">
        <v>45092</v>
      </c>
      <c r="B85" t="s">
        <v>100</v>
      </c>
      <c r="C85" t="s">
        <v>90</v>
      </c>
      <c r="D85" t="s">
        <v>16</v>
      </c>
      <c r="E85" t="s">
        <v>52</v>
      </c>
      <c r="F85">
        <v>6</v>
      </c>
      <c r="G85">
        <v>7.32</v>
      </c>
      <c r="H85" t="s">
        <v>36</v>
      </c>
      <c r="I85" t="s">
        <v>222</v>
      </c>
      <c r="J85" t="s">
        <v>38</v>
      </c>
      <c r="K85" t="s">
        <v>31</v>
      </c>
      <c r="L85" t="s">
        <v>22</v>
      </c>
      <c r="M85" t="s">
        <v>32</v>
      </c>
      <c r="N85">
        <f>Sheet1[[#This Row],[Quantity]]*Sheet1[[#This Row],[UnitPrice]]</f>
        <v>43.92</v>
      </c>
    </row>
    <row r="86" spans="1:14" x14ac:dyDescent="0.3">
      <c r="A86" s="1">
        <v>45517</v>
      </c>
      <c r="B86" t="s">
        <v>223</v>
      </c>
      <c r="C86" t="s">
        <v>101</v>
      </c>
      <c r="D86" t="s">
        <v>26</v>
      </c>
      <c r="E86" t="s">
        <v>64</v>
      </c>
      <c r="F86">
        <v>2</v>
      </c>
      <c r="G86">
        <v>26.32</v>
      </c>
      <c r="H86" t="s">
        <v>18</v>
      </c>
      <c r="I86" t="s">
        <v>224</v>
      </c>
      <c r="J86" t="s">
        <v>58</v>
      </c>
      <c r="K86" t="s">
        <v>31</v>
      </c>
      <c r="L86" t="s">
        <v>60</v>
      </c>
      <c r="M86" t="s">
        <v>84</v>
      </c>
      <c r="N86">
        <f>Sheet1[[#This Row],[Quantity]]*Sheet1[[#This Row],[UnitPrice]]</f>
        <v>52.64</v>
      </c>
    </row>
    <row r="87" spans="1:14" x14ac:dyDescent="0.3">
      <c r="A87" s="1">
        <v>45332</v>
      </c>
      <c r="B87" t="s">
        <v>225</v>
      </c>
      <c r="C87" t="s">
        <v>51</v>
      </c>
      <c r="D87" t="s">
        <v>47</v>
      </c>
      <c r="E87" t="s">
        <v>67</v>
      </c>
      <c r="F87">
        <v>1</v>
      </c>
      <c r="G87">
        <v>61.14</v>
      </c>
      <c r="H87" t="s">
        <v>18</v>
      </c>
      <c r="I87" t="s">
        <v>226</v>
      </c>
      <c r="J87" t="s">
        <v>30</v>
      </c>
      <c r="K87" t="s">
        <v>21</v>
      </c>
      <c r="L87" t="s">
        <v>60</v>
      </c>
      <c r="M87" t="s">
        <v>23</v>
      </c>
      <c r="N87">
        <f>Sheet1[[#This Row],[Quantity]]*Sheet1[[#This Row],[UnitPrice]]</f>
        <v>61.14</v>
      </c>
    </row>
    <row r="88" spans="1:14" x14ac:dyDescent="0.3">
      <c r="A88" s="1">
        <v>45590</v>
      </c>
      <c r="B88" t="s">
        <v>227</v>
      </c>
      <c r="C88" t="s">
        <v>101</v>
      </c>
      <c r="D88" t="s">
        <v>16</v>
      </c>
      <c r="E88" t="s">
        <v>35</v>
      </c>
      <c r="F88">
        <v>4</v>
      </c>
      <c r="G88">
        <v>350.33</v>
      </c>
      <c r="H88" t="s">
        <v>28</v>
      </c>
      <c r="I88" t="s">
        <v>228</v>
      </c>
      <c r="J88" t="s">
        <v>38</v>
      </c>
      <c r="K88" t="s">
        <v>31</v>
      </c>
      <c r="L88" t="s">
        <v>60</v>
      </c>
      <c r="M88" t="s">
        <v>40</v>
      </c>
      <c r="N88">
        <f>Sheet1[[#This Row],[Quantity]]*Sheet1[[#This Row],[UnitPrice]]</f>
        <v>1401.32</v>
      </c>
    </row>
    <row r="89" spans="1:14" x14ac:dyDescent="0.3">
      <c r="A89" s="1">
        <v>44996</v>
      </c>
      <c r="B89" t="s">
        <v>229</v>
      </c>
      <c r="C89" t="s">
        <v>90</v>
      </c>
      <c r="D89" t="s">
        <v>26</v>
      </c>
      <c r="E89" t="s">
        <v>42</v>
      </c>
      <c r="F89">
        <v>6</v>
      </c>
      <c r="G89">
        <v>202.73</v>
      </c>
      <c r="H89" t="s">
        <v>68</v>
      </c>
      <c r="I89" t="s">
        <v>230</v>
      </c>
      <c r="J89" t="s">
        <v>20</v>
      </c>
      <c r="K89" t="s">
        <v>59</v>
      </c>
      <c r="L89" t="s">
        <v>39</v>
      </c>
      <c r="M89" t="s">
        <v>23</v>
      </c>
      <c r="N89">
        <f>Sheet1[[#This Row],[Quantity]]*Sheet1[[#This Row],[UnitPrice]]</f>
        <v>1216.3799999999999</v>
      </c>
    </row>
    <row r="90" spans="1:14" x14ac:dyDescent="0.3">
      <c r="A90" s="1">
        <v>45769</v>
      </c>
      <c r="B90" t="s">
        <v>231</v>
      </c>
      <c r="C90" t="s">
        <v>51</v>
      </c>
      <c r="D90" t="s">
        <v>47</v>
      </c>
      <c r="E90" t="s">
        <v>17</v>
      </c>
      <c r="F90">
        <v>3</v>
      </c>
      <c r="G90">
        <v>153.96</v>
      </c>
      <c r="H90" t="s">
        <v>68</v>
      </c>
      <c r="I90" t="s">
        <v>232</v>
      </c>
      <c r="J90" t="s">
        <v>58</v>
      </c>
      <c r="K90" t="s">
        <v>59</v>
      </c>
      <c r="L90" t="s">
        <v>60</v>
      </c>
      <c r="M90" t="s">
        <v>84</v>
      </c>
      <c r="N90">
        <f>Sheet1[[#This Row],[Quantity]]*Sheet1[[#This Row],[UnitPrice]]</f>
        <v>461.88</v>
      </c>
    </row>
    <row r="91" spans="1:14" x14ac:dyDescent="0.3">
      <c r="A91" s="1">
        <v>45603</v>
      </c>
      <c r="B91" t="s">
        <v>233</v>
      </c>
      <c r="C91" t="s">
        <v>78</v>
      </c>
      <c r="D91" t="s">
        <v>16</v>
      </c>
      <c r="E91" t="s">
        <v>67</v>
      </c>
      <c r="F91">
        <v>6</v>
      </c>
      <c r="G91">
        <v>309.7</v>
      </c>
      <c r="H91" t="s">
        <v>53</v>
      </c>
      <c r="I91" t="s">
        <v>234</v>
      </c>
      <c r="J91" t="s">
        <v>44</v>
      </c>
      <c r="K91" t="s">
        <v>45</v>
      </c>
      <c r="L91" t="s">
        <v>39</v>
      </c>
      <c r="M91" t="s">
        <v>32</v>
      </c>
      <c r="N91">
        <f>Sheet1[[#This Row],[Quantity]]*Sheet1[[#This Row],[UnitPrice]]</f>
        <v>1858.1999999999998</v>
      </c>
    </row>
    <row r="92" spans="1:14" x14ac:dyDescent="0.3">
      <c r="A92" s="1">
        <v>45093</v>
      </c>
      <c r="B92" t="s">
        <v>235</v>
      </c>
      <c r="C92" t="s">
        <v>73</v>
      </c>
      <c r="D92" t="s">
        <v>74</v>
      </c>
      <c r="E92" t="s">
        <v>35</v>
      </c>
      <c r="F92">
        <v>7</v>
      </c>
      <c r="G92">
        <v>107.49</v>
      </c>
      <c r="H92" t="s">
        <v>53</v>
      </c>
      <c r="I92" t="s">
        <v>236</v>
      </c>
      <c r="J92" t="s">
        <v>20</v>
      </c>
      <c r="K92" t="s">
        <v>21</v>
      </c>
      <c r="L92" t="s">
        <v>39</v>
      </c>
      <c r="M92" t="s">
        <v>40</v>
      </c>
      <c r="N92">
        <f>Sheet1[[#This Row],[Quantity]]*Sheet1[[#This Row],[UnitPrice]]</f>
        <v>752.43</v>
      </c>
    </row>
    <row r="93" spans="1:14" x14ac:dyDescent="0.3">
      <c r="A93" s="1">
        <v>45496</v>
      </c>
      <c r="B93" t="s">
        <v>237</v>
      </c>
      <c r="C93" t="s">
        <v>101</v>
      </c>
      <c r="D93" t="s">
        <v>74</v>
      </c>
      <c r="E93" t="s">
        <v>52</v>
      </c>
      <c r="F93">
        <v>3</v>
      </c>
      <c r="G93">
        <v>294.7</v>
      </c>
      <c r="H93" t="s">
        <v>68</v>
      </c>
      <c r="I93" t="s">
        <v>238</v>
      </c>
      <c r="J93" t="s">
        <v>38</v>
      </c>
      <c r="K93" t="s">
        <v>45</v>
      </c>
      <c r="L93" t="s">
        <v>22</v>
      </c>
      <c r="M93" t="s">
        <v>84</v>
      </c>
      <c r="N93">
        <f>Sheet1[[#This Row],[Quantity]]*Sheet1[[#This Row],[UnitPrice]]</f>
        <v>884.09999999999991</v>
      </c>
    </row>
    <row r="94" spans="1:14" x14ac:dyDescent="0.3">
      <c r="A94" s="1">
        <v>45601</v>
      </c>
      <c r="B94" t="s">
        <v>239</v>
      </c>
      <c r="C94" t="s">
        <v>101</v>
      </c>
      <c r="D94" t="s">
        <v>16</v>
      </c>
      <c r="E94" t="s">
        <v>52</v>
      </c>
      <c r="F94">
        <v>7</v>
      </c>
      <c r="G94">
        <v>354.08</v>
      </c>
      <c r="H94" t="s">
        <v>18</v>
      </c>
      <c r="I94" t="s">
        <v>240</v>
      </c>
      <c r="J94" t="s">
        <v>20</v>
      </c>
      <c r="K94" t="s">
        <v>45</v>
      </c>
      <c r="L94" t="s">
        <v>39</v>
      </c>
      <c r="M94" t="s">
        <v>84</v>
      </c>
      <c r="N94">
        <f>Sheet1[[#This Row],[Quantity]]*Sheet1[[#This Row],[UnitPrice]]</f>
        <v>2478.56</v>
      </c>
    </row>
    <row r="95" spans="1:14" x14ac:dyDescent="0.3">
      <c r="A95" s="1">
        <v>45336</v>
      </c>
      <c r="B95" t="s">
        <v>127</v>
      </c>
      <c r="C95" t="s">
        <v>51</v>
      </c>
      <c r="D95" t="s">
        <v>16</v>
      </c>
      <c r="E95" t="s">
        <v>52</v>
      </c>
      <c r="F95">
        <v>3</v>
      </c>
      <c r="G95">
        <v>267.22000000000003</v>
      </c>
      <c r="H95" t="s">
        <v>68</v>
      </c>
      <c r="I95" t="s">
        <v>241</v>
      </c>
      <c r="J95" t="s">
        <v>44</v>
      </c>
      <c r="K95" t="s">
        <v>21</v>
      </c>
      <c r="L95" t="s">
        <v>39</v>
      </c>
      <c r="M95" t="s">
        <v>76</v>
      </c>
      <c r="N95">
        <f>Sheet1[[#This Row],[Quantity]]*Sheet1[[#This Row],[UnitPrice]]</f>
        <v>801.66000000000008</v>
      </c>
    </row>
    <row r="96" spans="1:14" x14ac:dyDescent="0.3">
      <c r="A96" s="1">
        <v>45797</v>
      </c>
      <c r="B96" t="s">
        <v>242</v>
      </c>
      <c r="C96" t="s">
        <v>63</v>
      </c>
      <c r="D96" t="s">
        <v>16</v>
      </c>
      <c r="E96" t="s">
        <v>27</v>
      </c>
      <c r="F96">
        <v>7</v>
      </c>
      <c r="G96">
        <v>190.84</v>
      </c>
      <c r="H96" t="s">
        <v>18</v>
      </c>
      <c r="I96" t="s">
        <v>243</v>
      </c>
      <c r="J96" t="s">
        <v>30</v>
      </c>
      <c r="K96" t="s">
        <v>31</v>
      </c>
      <c r="L96" t="s">
        <v>39</v>
      </c>
      <c r="M96" t="s">
        <v>84</v>
      </c>
      <c r="N96">
        <f>Sheet1[[#This Row],[Quantity]]*Sheet1[[#This Row],[UnitPrice]]</f>
        <v>1335.88</v>
      </c>
    </row>
    <row r="97" spans="1:14" x14ac:dyDescent="0.3">
      <c r="A97" s="1">
        <v>45828</v>
      </c>
      <c r="B97" t="s">
        <v>244</v>
      </c>
      <c r="C97" t="s">
        <v>73</v>
      </c>
      <c r="D97" t="s">
        <v>16</v>
      </c>
      <c r="E97" t="s">
        <v>35</v>
      </c>
      <c r="F97">
        <v>5</v>
      </c>
      <c r="G97">
        <v>238.89</v>
      </c>
      <c r="H97" t="s">
        <v>28</v>
      </c>
      <c r="I97" t="s">
        <v>245</v>
      </c>
      <c r="J97" t="s">
        <v>20</v>
      </c>
      <c r="K97" t="s">
        <v>45</v>
      </c>
      <c r="L97" t="s">
        <v>22</v>
      </c>
      <c r="M97" t="s">
        <v>40</v>
      </c>
      <c r="N97">
        <f>Sheet1[[#This Row],[Quantity]]*Sheet1[[#This Row],[UnitPrice]]</f>
        <v>1194.4499999999998</v>
      </c>
    </row>
    <row r="98" spans="1:14" x14ac:dyDescent="0.3">
      <c r="A98" s="1">
        <v>45342</v>
      </c>
      <c r="B98" t="s">
        <v>246</v>
      </c>
      <c r="C98" t="s">
        <v>78</v>
      </c>
      <c r="D98" t="s">
        <v>74</v>
      </c>
      <c r="E98" t="s">
        <v>17</v>
      </c>
      <c r="F98">
        <v>2</v>
      </c>
      <c r="G98">
        <v>45.28</v>
      </c>
      <c r="H98" t="s">
        <v>53</v>
      </c>
      <c r="I98" t="s">
        <v>247</v>
      </c>
      <c r="J98" t="s">
        <v>44</v>
      </c>
      <c r="K98" t="s">
        <v>21</v>
      </c>
      <c r="L98" t="s">
        <v>39</v>
      </c>
      <c r="M98" t="s">
        <v>84</v>
      </c>
      <c r="N98">
        <f>Sheet1[[#This Row],[Quantity]]*Sheet1[[#This Row],[UnitPrice]]</f>
        <v>90.56</v>
      </c>
    </row>
    <row r="99" spans="1:14" x14ac:dyDescent="0.3">
      <c r="A99" s="1">
        <v>44974</v>
      </c>
      <c r="B99" t="s">
        <v>248</v>
      </c>
      <c r="C99" t="s">
        <v>56</v>
      </c>
      <c r="D99" t="s">
        <v>74</v>
      </c>
      <c r="E99" t="s">
        <v>27</v>
      </c>
      <c r="F99">
        <v>6</v>
      </c>
      <c r="G99">
        <v>139.32</v>
      </c>
      <c r="H99" t="s">
        <v>68</v>
      </c>
      <c r="I99" t="s">
        <v>249</v>
      </c>
      <c r="J99" t="s">
        <v>44</v>
      </c>
      <c r="K99" t="s">
        <v>31</v>
      </c>
      <c r="L99" t="s">
        <v>22</v>
      </c>
      <c r="M99" t="s">
        <v>40</v>
      </c>
      <c r="N99">
        <f>Sheet1[[#This Row],[Quantity]]*Sheet1[[#This Row],[UnitPrice]]</f>
        <v>835.92</v>
      </c>
    </row>
    <row r="100" spans="1:14" x14ac:dyDescent="0.3">
      <c r="A100" s="1">
        <v>45475</v>
      </c>
      <c r="B100" t="s">
        <v>250</v>
      </c>
      <c r="C100" t="s">
        <v>73</v>
      </c>
      <c r="D100" t="s">
        <v>16</v>
      </c>
      <c r="E100" t="s">
        <v>52</v>
      </c>
      <c r="F100">
        <v>7</v>
      </c>
      <c r="G100">
        <v>359.29</v>
      </c>
      <c r="H100" t="s">
        <v>18</v>
      </c>
      <c r="I100" t="s">
        <v>251</v>
      </c>
      <c r="J100" t="s">
        <v>30</v>
      </c>
      <c r="K100" t="s">
        <v>45</v>
      </c>
      <c r="L100" t="s">
        <v>60</v>
      </c>
      <c r="M100" t="s">
        <v>84</v>
      </c>
      <c r="N100">
        <f>Sheet1[[#This Row],[Quantity]]*Sheet1[[#This Row],[UnitPrice]]</f>
        <v>2515.0300000000002</v>
      </c>
    </row>
    <row r="101" spans="1:14" x14ac:dyDescent="0.3">
      <c r="A101" s="1">
        <v>45492</v>
      </c>
      <c r="B101" t="s">
        <v>252</v>
      </c>
      <c r="C101" t="s">
        <v>56</v>
      </c>
      <c r="D101" t="s">
        <v>26</v>
      </c>
      <c r="E101" t="s">
        <v>42</v>
      </c>
      <c r="F101">
        <v>1</v>
      </c>
      <c r="G101">
        <v>160.26</v>
      </c>
      <c r="H101" t="s">
        <v>28</v>
      </c>
      <c r="I101" t="s">
        <v>253</v>
      </c>
      <c r="J101" t="s">
        <v>20</v>
      </c>
      <c r="K101" t="s">
        <v>59</v>
      </c>
      <c r="L101" t="s">
        <v>22</v>
      </c>
      <c r="M101" t="s">
        <v>40</v>
      </c>
      <c r="N101">
        <f>Sheet1[[#This Row],[Quantity]]*Sheet1[[#This Row],[UnitPrice]]</f>
        <v>160.26</v>
      </c>
    </row>
    <row r="102" spans="1:14" x14ac:dyDescent="0.3">
      <c r="A102" s="1">
        <v>45371</v>
      </c>
      <c r="B102" t="s">
        <v>254</v>
      </c>
      <c r="C102" t="s">
        <v>34</v>
      </c>
      <c r="D102" t="s">
        <v>16</v>
      </c>
      <c r="E102" t="s">
        <v>52</v>
      </c>
      <c r="F102">
        <v>9</v>
      </c>
      <c r="G102">
        <v>195.91</v>
      </c>
      <c r="H102" t="s">
        <v>68</v>
      </c>
      <c r="I102" t="s">
        <v>255</v>
      </c>
      <c r="J102" t="s">
        <v>30</v>
      </c>
      <c r="K102" t="s">
        <v>31</v>
      </c>
      <c r="L102" t="s">
        <v>22</v>
      </c>
      <c r="M102" t="s">
        <v>76</v>
      </c>
      <c r="N102">
        <f>Sheet1[[#This Row],[Quantity]]*Sheet1[[#This Row],[UnitPrice]]</f>
        <v>1763.19</v>
      </c>
    </row>
    <row r="103" spans="1:14" x14ac:dyDescent="0.3">
      <c r="A103" s="1">
        <v>45505</v>
      </c>
      <c r="B103" t="s">
        <v>256</v>
      </c>
      <c r="C103" t="s">
        <v>56</v>
      </c>
      <c r="D103" t="s">
        <v>47</v>
      </c>
      <c r="E103" t="s">
        <v>67</v>
      </c>
      <c r="F103">
        <v>2</v>
      </c>
      <c r="G103">
        <v>273.39999999999998</v>
      </c>
      <c r="H103" t="s">
        <v>36</v>
      </c>
      <c r="I103" t="s">
        <v>257</v>
      </c>
      <c r="J103" t="s">
        <v>44</v>
      </c>
      <c r="K103" t="s">
        <v>31</v>
      </c>
      <c r="L103" t="s">
        <v>60</v>
      </c>
      <c r="M103" t="s">
        <v>32</v>
      </c>
      <c r="N103">
        <f>Sheet1[[#This Row],[Quantity]]*Sheet1[[#This Row],[UnitPrice]]</f>
        <v>546.79999999999995</v>
      </c>
    </row>
    <row r="104" spans="1:14" x14ac:dyDescent="0.3">
      <c r="A104" s="1">
        <v>45418</v>
      </c>
      <c r="B104" t="s">
        <v>142</v>
      </c>
      <c r="C104" t="s">
        <v>15</v>
      </c>
      <c r="D104" t="s">
        <v>47</v>
      </c>
      <c r="E104" t="s">
        <v>35</v>
      </c>
      <c r="F104">
        <v>5</v>
      </c>
      <c r="G104">
        <v>78.56</v>
      </c>
      <c r="H104" t="s">
        <v>36</v>
      </c>
      <c r="I104" t="s">
        <v>258</v>
      </c>
      <c r="J104" t="s">
        <v>58</v>
      </c>
      <c r="K104" t="s">
        <v>31</v>
      </c>
      <c r="L104" t="s">
        <v>39</v>
      </c>
      <c r="M104" t="s">
        <v>49</v>
      </c>
      <c r="N104">
        <f>Sheet1[[#This Row],[Quantity]]*Sheet1[[#This Row],[UnitPrice]]</f>
        <v>392.8</v>
      </c>
    </row>
    <row r="105" spans="1:14" x14ac:dyDescent="0.3">
      <c r="A105" s="1">
        <v>45499</v>
      </c>
      <c r="B105" t="s">
        <v>259</v>
      </c>
      <c r="C105" t="s">
        <v>25</v>
      </c>
      <c r="D105" t="s">
        <v>16</v>
      </c>
      <c r="E105" t="s">
        <v>64</v>
      </c>
      <c r="F105">
        <v>2</v>
      </c>
      <c r="G105">
        <v>82.84</v>
      </c>
      <c r="H105" t="s">
        <v>28</v>
      </c>
      <c r="I105" t="s">
        <v>260</v>
      </c>
      <c r="J105" t="s">
        <v>30</v>
      </c>
      <c r="K105" t="s">
        <v>45</v>
      </c>
      <c r="L105" t="s">
        <v>60</v>
      </c>
      <c r="M105" t="s">
        <v>40</v>
      </c>
      <c r="N105">
        <f>Sheet1[[#This Row],[Quantity]]*Sheet1[[#This Row],[UnitPrice]]</f>
        <v>165.68</v>
      </c>
    </row>
    <row r="106" spans="1:14" x14ac:dyDescent="0.3">
      <c r="A106" s="1">
        <v>45650</v>
      </c>
      <c r="B106" t="s">
        <v>261</v>
      </c>
      <c r="C106" t="s">
        <v>90</v>
      </c>
      <c r="D106" t="s">
        <v>26</v>
      </c>
      <c r="E106" t="s">
        <v>67</v>
      </c>
      <c r="F106">
        <v>10</v>
      </c>
      <c r="G106">
        <v>211.91</v>
      </c>
      <c r="H106" t="s">
        <v>68</v>
      </c>
      <c r="I106" t="s">
        <v>262</v>
      </c>
      <c r="J106" t="s">
        <v>58</v>
      </c>
      <c r="K106" t="s">
        <v>21</v>
      </c>
      <c r="L106" t="s">
        <v>22</v>
      </c>
      <c r="M106" t="s">
        <v>84</v>
      </c>
      <c r="N106">
        <f>Sheet1[[#This Row],[Quantity]]*Sheet1[[#This Row],[UnitPrice]]</f>
        <v>2119.1</v>
      </c>
    </row>
    <row r="107" spans="1:14" x14ac:dyDescent="0.3">
      <c r="A107" s="1">
        <v>45596</v>
      </c>
      <c r="B107" t="s">
        <v>263</v>
      </c>
      <c r="C107" t="s">
        <v>73</v>
      </c>
      <c r="D107" t="s">
        <v>16</v>
      </c>
      <c r="E107" t="s">
        <v>67</v>
      </c>
      <c r="F107">
        <v>2</v>
      </c>
      <c r="G107">
        <v>327.69</v>
      </c>
      <c r="H107" t="s">
        <v>18</v>
      </c>
      <c r="I107" t="s">
        <v>264</v>
      </c>
      <c r="J107" t="s">
        <v>30</v>
      </c>
      <c r="K107" t="s">
        <v>21</v>
      </c>
      <c r="L107" t="s">
        <v>60</v>
      </c>
      <c r="M107" t="s">
        <v>32</v>
      </c>
      <c r="N107">
        <f>Sheet1[[#This Row],[Quantity]]*Sheet1[[#This Row],[UnitPrice]]</f>
        <v>655.38</v>
      </c>
    </row>
    <row r="108" spans="1:14" x14ac:dyDescent="0.3">
      <c r="A108" s="1">
        <v>45656</v>
      </c>
      <c r="B108" t="s">
        <v>265</v>
      </c>
      <c r="C108" t="s">
        <v>51</v>
      </c>
      <c r="D108" t="s">
        <v>74</v>
      </c>
      <c r="E108" t="s">
        <v>52</v>
      </c>
      <c r="F108">
        <v>4</v>
      </c>
      <c r="G108">
        <v>335.41</v>
      </c>
      <c r="H108" t="s">
        <v>36</v>
      </c>
      <c r="I108" t="s">
        <v>266</v>
      </c>
      <c r="J108" t="s">
        <v>44</v>
      </c>
      <c r="K108" t="s">
        <v>21</v>
      </c>
      <c r="L108" t="s">
        <v>60</v>
      </c>
      <c r="M108" t="s">
        <v>49</v>
      </c>
      <c r="N108">
        <f>Sheet1[[#This Row],[Quantity]]*Sheet1[[#This Row],[UnitPrice]]</f>
        <v>1341.64</v>
      </c>
    </row>
    <row r="109" spans="1:14" x14ac:dyDescent="0.3">
      <c r="A109" s="1">
        <v>45689</v>
      </c>
      <c r="B109" t="s">
        <v>267</v>
      </c>
      <c r="C109" t="s">
        <v>34</v>
      </c>
      <c r="D109" t="s">
        <v>47</v>
      </c>
      <c r="E109" t="s">
        <v>27</v>
      </c>
      <c r="F109">
        <v>9</v>
      </c>
      <c r="G109">
        <v>131.76</v>
      </c>
      <c r="H109" t="s">
        <v>53</v>
      </c>
      <c r="I109" t="s">
        <v>268</v>
      </c>
      <c r="J109" t="s">
        <v>38</v>
      </c>
      <c r="K109" t="s">
        <v>59</v>
      </c>
      <c r="L109" t="s">
        <v>39</v>
      </c>
      <c r="M109" t="s">
        <v>23</v>
      </c>
      <c r="N109">
        <f>Sheet1[[#This Row],[Quantity]]*Sheet1[[#This Row],[UnitPrice]]</f>
        <v>1185.8399999999999</v>
      </c>
    </row>
    <row r="110" spans="1:14" x14ac:dyDescent="0.3">
      <c r="A110" s="1">
        <v>45777</v>
      </c>
      <c r="B110" t="s">
        <v>269</v>
      </c>
      <c r="C110" t="s">
        <v>101</v>
      </c>
      <c r="D110" t="s">
        <v>16</v>
      </c>
      <c r="E110" t="s">
        <v>52</v>
      </c>
      <c r="F110">
        <v>1</v>
      </c>
      <c r="G110">
        <v>215.47</v>
      </c>
      <c r="H110" t="s">
        <v>18</v>
      </c>
      <c r="I110" t="s">
        <v>270</v>
      </c>
      <c r="J110" t="s">
        <v>38</v>
      </c>
      <c r="K110" t="s">
        <v>45</v>
      </c>
      <c r="L110" t="s">
        <v>39</v>
      </c>
      <c r="M110" t="s">
        <v>76</v>
      </c>
      <c r="N110">
        <f>Sheet1[[#This Row],[Quantity]]*Sheet1[[#This Row],[UnitPrice]]</f>
        <v>215.47</v>
      </c>
    </row>
    <row r="111" spans="1:14" x14ac:dyDescent="0.3">
      <c r="A111" s="1">
        <v>45752</v>
      </c>
      <c r="B111" t="s">
        <v>271</v>
      </c>
      <c r="C111" t="s">
        <v>101</v>
      </c>
      <c r="D111" t="s">
        <v>16</v>
      </c>
      <c r="E111" t="s">
        <v>27</v>
      </c>
      <c r="F111">
        <v>6</v>
      </c>
      <c r="G111">
        <v>194.66</v>
      </c>
      <c r="H111" t="s">
        <v>53</v>
      </c>
      <c r="I111" t="s">
        <v>272</v>
      </c>
      <c r="J111" t="s">
        <v>58</v>
      </c>
      <c r="K111" t="s">
        <v>59</v>
      </c>
      <c r="L111" t="s">
        <v>22</v>
      </c>
      <c r="M111" t="s">
        <v>23</v>
      </c>
      <c r="N111">
        <f>Sheet1[[#This Row],[Quantity]]*Sheet1[[#This Row],[UnitPrice]]</f>
        <v>1167.96</v>
      </c>
    </row>
    <row r="112" spans="1:14" x14ac:dyDescent="0.3">
      <c r="A112" s="1">
        <v>45317</v>
      </c>
      <c r="B112" t="s">
        <v>273</v>
      </c>
      <c r="C112" t="s">
        <v>73</v>
      </c>
      <c r="D112" t="s">
        <v>74</v>
      </c>
      <c r="E112" t="s">
        <v>35</v>
      </c>
      <c r="F112">
        <v>1</v>
      </c>
      <c r="G112">
        <v>308.26</v>
      </c>
      <c r="H112" t="s">
        <v>28</v>
      </c>
      <c r="I112" t="s">
        <v>274</v>
      </c>
      <c r="J112" t="s">
        <v>58</v>
      </c>
      <c r="K112" t="s">
        <v>59</v>
      </c>
      <c r="L112" t="s">
        <v>60</v>
      </c>
      <c r="M112" t="s">
        <v>40</v>
      </c>
      <c r="N112">
        <f>Sheet1[[#This Row],[Quantity]]*Sheet1[[#This Row],[UnitPrice]]</f>
        <v>308.26</v>
      </c>
    </row>
    <row r="113" spans="1:14" x14ac:dyDescent="0.3">
      <c r="A113" s="1">
        <v>45522</v>
      </c>
      <c r="B113" t="s">
        <v>275</v>
      </c>
      <c r="C113" t="s">
        <v>73</v>
      </c>
      <c r="D113" t="s">
        <v>26</v>
      </c>
      <c r="E113" t="s">
        <v>67</v>
      </c>
      <c r="F113">
        <v>8</v>
      </c>
      <c r="G113">
        <v>104.13</v>
      </c>
      <c r="H113" t="s">
        <v>36</v>
      </c>
      <c r="I113" t="s">
        <v>276</v>
      </c>
      <c r="J113" t="s">
        <v>30</v>
      </c>
      <c r="K113" t="s">
        <v>31</v>
      </c>
      <c r="L113" t="s">
        <v>22</v>
      </c>
      <c r="M113" t="s">
        <v>61</v>
      </c>
      <c r="N113">
        <f>Sheet1[[#This Row],[Quantity]]*Sheet1[[#This Row],[UnitPrice]]</f>
        <v>833.04</v>
      </c>
    </row>
    <row r="114" spans="1:14" x14ac:dyDescent="0.3">
      <c r="A114" s="1">
        <v>45821</v>
      </c>
      <c r="B114" t="s">
        <v>277</v>
      </c>
      <c r="C114" t="s">
        <v>34</v>
      </c>
      <c r="D114" t="s">
        <v>16</v>
      </c>
      <c r="E114" t="s">
        <v>67</v>
      </c>
      <c r="F114">
        <v>7</v>
      </c>
      <c r="G114">
        <v>398.83</v>
      </c>
      <c r="H114" t="s">
        <v>36</v>
      </c>
      <c r="I114" t="s">
        <v>278</v>
      </c>
      <c r="J114" t="s">
        <v>58</v>
      </c>
      <c r="K114" t="s">
        <v>45</v>
      </c>
      <c r="L114" t="s">
        <v>60</v>
      </c>
      <c r="M114" t="s">
        <v>40</v>
      </c>
      <c r="N114">
        <f>Sheet1[[#This Row],[Quantity]]*Sheet1[[#This Row],[UnitPrice]]</f>
        <v>2791.81</v>
      </c>
    </row>
    <row r="115" spans="1:14" x14ac:dyDescent="0.3">
      <c r="A115" s="1">
        <v>45461</v>
      </c>
      <c r="B115" t="s">
        <v>279</v>
      </c>
      <c r="C115" t="s">
        <v>34</v>
      </c>
      <c r="D115" t="s">
        <v>26</v>
      </c>
      <c r="E115" t="s">
        <v>67</v>
      </c>
      <c r="F115">
        <v>7</v>
      </c>
      <c r="G115">
        <v>52.68</v>
      </c>
      <c r="H115" t="s">
        <v>18</v>
      </c>
      <c r="I115" t="s">
        <v>280</v>
      </c>
      <c r="J115" t="s">
        <v>20</v>
      </c>
      <c r="K115" t="s">
        <v>59</v>
      </c>
      <c r="L115" t="s">
        <v>39</v>
      </c>
      <c r="M115" t="s">
        <v>84</v>
      </c>
      <c r="N115">
        <f>Sheet1[[#This Row],[Quantity]]*Sheet1[[#This Row],[UnitPrice]]</f>
        <v>368.76</v>
      </c>
    </row>
    <row r="116" spans="1:14" x14ac:dyDescent="0.3">
      <c r="A116" s="1">
        <v>44979</v>
      </c>
      <c r="B116" t="s">
        <v>281</v>
      </c>
      <c r="C116" t="s">
        <v>101</v>
      </c>
      <c r="D116" t="s">
        <v>26</v>
      </c>
      <c r="E116" t="s">
        <v>52</v>
      </c>
      <c r="F116">
        <v>8</v>
      </c>
      <c r="G116">
        <v>82.48</v>
      </c>
      <c r="H116" t="s">
        <v>28</v>
      </c>
      <c r="I116" t="s">
        <v>282</v>
      </c>
      <c r="J116" t="s">
        <v>58</v>
      </c>
      <c r="K116" t="s">
        <v>59</v>
      </c>
      <c r="L116" t="s">
        <v>60</v>
      </c>
      <c r="M116" t="s">
        <v>76</v>
      </c>
      <c r="N116">
        <f>Sheet1[[#This Row],[Quantity]]*Sheet1[[#This Row],[UnitPrice]]</f>
        <v>659.84</v>
      </c>
    </row>
    <row r="117" spans="1:14" x14ac:dyDescent="0.3">
      <c r="A117" s="1">
        <v>45414</v>
      </c>
      <c r="B117" t="s">
        <v>283</v>
      </c>
      <c r="C117" t="s">
        <v>56</v>
      </c>
      <c r="D117" t="s">
        <v>74</v>
      </c>
      <c r="E117" t="s">
        <v>67</v>
      </c>
      <c r="F117">
        <v>10</v>
      </c>
      <c r="G117">
        <v>346.62</v>
      </c>
      <c r="H117" t="s">
        <v>28</v>
      </c>
      <c r="I117" t="s">
        <v>284</v>
      </c>
      <c r="J117" t="s">
        <v>44</v>
      </c>
      <c r="K117" t="s">
        <v>45</v>
      </c>
      <c r="L117" t="s">
        <v>39</v>
      </c>
      <c r="M117" t="s">
        <v>32</v>
      </c>
      <c r="N117">
        <f>Sheet1[[#This Row],[Quantity]]*Sheet1[[#This Row],[UnitPrice]]</f>
        <v>3466.2</v>
      </c>
    </row>
    <row r="118" spans="1:14" x14ac:dyDescent="0.3">
      <c r="A118" s="1">
        <v>45681</v>
      </c>
      <c r="B118" t="s">
        <v>285</v>
      </c>
      <c r="C118" t="s">
        <v>25</v>
      </c>
      <c r="D118" t="s">
        <v>16</v>
      </c>
      <c r="E118" t="s">
        <v>17</v>
      </c>
      <c r="F118">
        <v>9</v>
      </c>
      <c r="G118">
        <v>302.23</v>
      </c>
      <c r="H118" t="s">
        <v>68</v>
      </c>
      <c r="I118" t="s">
        <v>286</v>
      </c>
      <c r="J118" t="s">
        <v>44</v>
      </c>
      <c r="K118" t="s">
        <v>45</v>
      </c>
      <c r="L118" t="s">
        <v>39</v>
      </c>
      <c r="M118" t="s">
        <v>40</v>
      </c>
      <c r="N118">
        <f>Sheet1[[#This Row],[Quantity]]*Sheet1[[#This Row],[UnitPrice]]</f>
        <v>2720.07</v>
      </c>
    </row>
    <row r="119" spans="1:14" x14ac:dyDescent="0.3">
      <c r="A119" s="1">
        <v>45176</v>
      </c>
      <c r="B119" t="s">
        <v>33</v>
      </c>
      <c r="C119" t="s">
        <v>34</v>
      </c>
      <c r="D119" t="s">
        <v>16</v>
      </c>
      <c r="E119" t="s">
        <v>42</v>
      </c>
      <c r="F119">
        <v>10</v>
      </c>
      <c r="G119">
        <v>355.74</v>
      </c>
      <c r="H119" t="s">
        <v>53</v>
      </c>
      <c r="I119" t="s">
        <v>287</v>
      </c>
      <c r="J119" t="s">
        <v>38</v>
      </c>
      <c r="K119" t="s">
        <v>31</v>
      </c>
      <c r="L119" t="s">
        <v>39</v>
      </c>
      <c r="M119" t="s">
        <v>32</v>
      </c>
      <c r="N119">
        <f>Sheet1[[#This Row],[Quantity]]*Sheet1[[#This Row],[UnitPrice]]</f>
        <v>3557.4</v>
      </c>
    </row>
    <row r="120" spans="1:14" x14ac:dyDescent="0.3">
      <c r="A120" s="1">
        <v>45324</v>
      </c>
      <c r="B120" t="s">
        <v>288</v>
      </c>
      <c r="C120" t="s">
        <v>51</v>
      </c>
      <c r="D120" t="s">
        <v>16</v>
      </c>
      <c r="E120" t="s">
        <v>17</v>
      </c>
      <c r="F120">
        <v>4</v>
      </c>
      <c r="G120">
        <v>329.07</v>
      </c>
      <c r="H120" t="s">
        <v>68</v>
      </c>
      <c r="I120" t="s">
        <v>289</v>
      </c>
      <c r="J120" t="s">
        <v>38</v>
      </c>
      <c r="K120" t="s">
        <v>21</v>
      </c>
      <c r="L120" t="s">
        <v>22</v>
      </c>
      <c r="M120" t="s">
        <v>40</v>
      </c>
      <c r="N120">
        <f>Sheet1[[#This Row],[Quantity]]*Sheet1[[#This Row],[UnitPrice]]</f>
        <v>1316.28</v>
      </c>
    </row>
    <row r="121" spans="1:14" x14ac:dyDescent="0.3">
      <c r="A121" s="1">
        <v>45372</v>
      </c>
      <c r="B121" t="s">
        <v>290</v>
      </c>
      <c r="C121" t="s">
        <v>73</v>
      </c>
      <c r="D121" t="s">
        <v>47</v>
      </c>
      <c r="E121" t="s">
        <v>27</v>
      </c>
      <c r="F121">
        <v>4</v>
      </c>
      <c r="G121">
        <v>217.89</v>
      </c>
      <c r="H121" t="s">
        <v>68</v>
      </c>
      <c r="I121" t="s">
        <v>291</v>
      </c>
      <c r="J121" t="s">
        <v>58</v>
      </c>
      <c r="K121" t="s">
        <v>31</v>
      </c>
      <c r="L121" t="s">
        <v>60</v>
      </c>
      <c r="M121" t="s">
        <v>32</v>
      </c>
      <c r="N121">
        <f>Sheet1[[#This Row],[Quantity]]*Sheet1[[#This Row],[UnitPrice]]</f>
        <v>871.56</v>
      </c>
    </row>
    <row r="122" spans="1:14" x14ac:dyDescent="0.3">
      <c r="A122" s="1">
        <v>45266</v>
      </c>
      <c r="B122" t="s">
        <v>292</v>
      </c>
      <c r="C122" t="s">
        <v>101</v>
      </c>
      <c r="D122" t="s">
        <v>47</v>
      </c>
      <c r="E122" t="s">
        <v>67</v>
      </c>
      <c r="F122">
        <v>10</v>
      </c>
      <c r="G122">
        <v>35.68</v>
      </c>
      <c r="H122" t="s">
        <v>36</v>
      </c>
      <c r="I122" t="s">
        <v>293</v>
      </c>
      <c r="J122" t="s">
        <v>20</v>
      </c>
      <c r="K122" t="s">
        <v>21</v>
      </c>
      <c r="L122" t="s">
        <v>60</v>
      </c>
      <c r="M122" t="s">
        <v>76</v>
      </c>
      <c r="N122">
        <f>Sheet1[[#This Row],[Quantity]]*Sheet1[[#This Row],[UnitPrice]]</f>
        <v>356.8</v>
      </c>
    </row>
    <row r="123" spans="1:14" x14ac:dyDescent="0.3">
      <c r="A123" s="1">
        <v>45049</v>
      </c>
      <c r="B123" t="s">
        <v>294</v>
      </c>
      <c r="C123" t="s">
        <v>78</v>
      </c>
      <c r="D123" t="s">
        <v>74</v>
      </c>
      <c r="E123" t="s">
        <v>27</v>
      </c>
      <c r="F123">
        <v>10</v>
      </c>
      <c r="G123">
        <v>363.63</v>
      </c>
      <c r="H123" t="s">
        <v>68</v>
      </c>
      <c r="I123" t="s">
        <v>295</v>
      </c>
      <c r="J123" t="s">
        <v>44</v>
      </c>
      <c r="K123" t="s">
        <v>59</v>
      </c>
      <c r="L123" t="s">
        <v>39</v>
      </c>
      <c r="M123" t="s">
        <v>76</v>
      </c>
      <c r="N123">
        <f>Sheet1[[#This Row],[Quantity]]*Sheet1[[#This Row],[UnitPrice]]</f>
        <v>3636.3</v>
      </c>
    </row>
    <row r="124" spans="1:14" x14ac:dyDescent="0.3">
      <c r="A124" s="1">
        <v>45299</v>
      </c>
      <c r="B124" t="s">
        <v>296</v>
      </c>
      <c r="C124" t="s">
        <v>34</v>
      </c>
      <c r="D124" t="s">
        <v>74</v>
      </c>
      <c r="E124" t="s">
        <v>64</v>
      </c>
      <c r="F124">
        <v>8</v>
      </c>
      <c r="G124">
        <v>157.94</v>
      </c>
      <c r="H124" t="s">
        <v>18</v>
      </c>
      <c r="I124" t="s">
        <v>297</v>
      </c>
      <c r="J124" t="s">
        <v>38</v>
      </c>
      <c r="K124" t="s">
        <v>59</v>
      </c>
      <c r="L124" t="s">
        <v>39</v>
      </c>
      <c r="M124" t="s">
        <v>49</v>
      </c>
      <c r="N124">
        <f>Sheet1[[#This Row],[Quantity]]*Sheet1[[#This Row],[UnitPrice]]</f>
        <v>1263.52</v>
      </c>
    </row>
    <row r="125" spans="1:14" x14ac:dyDescent="0.3">
      <c r="A125" s="1">
        <v>45349</v>
      </c>
      <c r="B125" t="s">
        <v>298</v>
      </c>
      <c r="C125" t="s">
        <v>73</v>
      </c>
      <c r="D125" t="s">
        <v>47</v>
      </c>
      <c r="E125" t="s">
        <v>52</v>
      </c>
      <c r="F125">
        <v>10</v>
      </c>
      <c r="G125">
        <v>314.01</v>
      </c>
      <c r="H125" t="s">
        <v>68</v>
      </c>
      <c r="I125" t="s">
        <v>299</v>
      </c>
      <c r="J125" t="s">
        <v>38</v>
      </c>
      <c r="K125" t="s">
        <v>45</v>
      </c>
      <c r="L125" t="s">
        <v>22</v>
      </c>
      <c r="M125" t="s">
        <v>84</v>
      </c>
      <c r="N125">
        <f>Sheet1[[#This Row],[Quantity]]*Sheet1[[#This Row],[UnitPrice]]</f>
        <v>3140.1</v>
      </c>
    </row>
    <row r="126" spans="1:14" x14ac:dyDescent="0.3">
      <c r="A126" s="1">
        <v>45008</v>
      </c>
      <c r="B126" t="s">
        <v>300</v>
      </c>
      <c r="C126" t="s">
        <v>73</v>
      </c>
      <c r="D126" t="s">
        <v>74</v>
      </c>
      <c r="E126" t="s">
        <v>67</v>
      </c>
      <c r="F126">
        <v>4</v>
      </c>
      <c r="G126">
        <v>199.4</v>
      </c>
      <c r="H126" t="s">
        <v>18</v>
      </c>
      <c r="I126" t="s">
        <v>301</v>
      </c>
      <c r="J126" t="s">
        <v>30</v>
      </c>
      <c r="K126" t="s">
        <v>31</v>
      </c>
      <c r="L126" t="s">
        <v>39</v>
      </c>
      <c r="M126" t="s">
        <v>32</v>
      </c>
      <c r="N126">
        <f>Sheet1[[#This Row],[Quantity]]*Sheet1[[#This Row],[UnitPrice]]</f>
        <v>797.6</v>
      </c>
    </row>
    <row r="127" spans="1:14" x14ac:dyDescent="0.3">
      <c r="A127" s="1">
        <v>45429</v>
      </c>
      <c r="B127" t="s">
        <v>302</v>
      </c>
      <c r="C127" t="s">
        <v>78</v>
      </c>
      <c r="D127" t="s">
        <v>47</v>
      </c>
      <c r="E127" t="s">
        <v>52</v>
      </c>
      <c r="F127">
        <v>10</v>
      </c>
      <c r="G127">
        <v>254.52</v>
      </c>
      <c r="H127" t="s">
        <v>28</v>
      </c>
      <c r="I127" t="s">
        <v>303</v>
      </c>
      <c r="J127" t="s">
        <v>38</v>
      </c>
      <c r="K127" t="s">
        <v>21</v>
      </c>
      <c r="L127" t="s">
        <v>22</v>
      </c>
      <c r="M127" t="s">
        <v>40</v>
      </c>
      <c r="N127">
        <f>Sheet1[[#This Row],[Quantity]]*Sheet1[[#This Row],[UnitPrice]]</f>
        <v>2545.2000000000003</v>
      </c>
    </row>
    <row r="128" spans="1:14" x14ac:dyDescent="0.3">
      <c r="A128" s="1">
        <v>45420</v>
      </c>
      <c r="B128" t="s">
        <v>304</v>
      </c>
      <c r="C128" t="s">
        <v>25</v>
      </c>
      <c r="D128" t="s">
        <v>47</v>
      </c>
      <c r="E128" t="s">
        <v>42</v>
      </c>
      <c r="F128">
        <v>5</v>
      </c>
      <c r="G128">
        <v>377.06</v>
      </c>
      <c r="H128" t="s">
        <v>28</v>
      </c>
      <c r="I128" t="s">
        <v>305</v>
      </c>
      <c r="J128" t="s">
        <v>20</v>
      </c>
      <c r="K128" t="s">
        <v>45</v>
      </c>
      <c r="L128" t="s">
        <v>39</v>
      </c>
      <c r="M128" t="s">
        <v>76</v>
      </c>
      <c r="N128">
        <f>Sheet1[[#This Row],[Quantity]]*Sheet1[[#This Row],[UnitPrice]]</f>
        <v>1885.3</v>
      </c>
    </row>
    <row r="129" spans="1:14" x14ac:dyDescent="0.3">
      <c r="A129" s="1">
        <v>45339</v>
      </c>
      <c r="B129" t="s">
        <v>306</v>
      </c>
      <c r="C129" t="s">
        <v>90</v>
      </c>
      <c r="D129" t="s">
        <v>16</v>
      </c>
      <c r="E129" t="s">
        <v>17</v>
      </c>
      <c r="F129">
        <v>3</v>
      </c>
      <c r="G129">
        <v>40.24</v>
      </c>
      <c r="H129" t="s">
        <v>36</v>
      </c>
      <c r="I129" t="s">
        <v>307</v>
      </c>
      <c r="J129" t="s">
        <v>20</v>
      </c>
      <c r="K129" t="s">
        <v>59</v>
      </c>
      <c r="L129" t="s">
        <v>22</v>
      </c>
      <c r="M129" t="s">
        <v>23</v>
      </c>
      <c r="N129">
        <f>Sheet1[[#This Row],[Quantity]]*Sheet1[[#This Row],[UnitPrice]]</f>
        <v>120.72</v>
      </c>
    </row>
    <row r="130" spans="1:14" x14ac:dyDescent="0.3">
      <c r="A130" s="1">
        <v>45074</v>
      </c>
      <c r="B130" t="s">
        <v>308</v>
      </c>
      <c r="C130" t="s">
        <v>73</v>
      </c>
      <c r="D130" t="s">
        <v>74</v>
      </c>
      <c r="E130" t="s">
        <v>27</v>
      </c>
      <c r="F130">
        <v>1</v>
      </c>
      <c r="G130">
        <v>347.26</v>
      </c>
      <c r="H130" t="s">
        <v>68</v>
      </c>
      <c r="I130" t="s">
        <v>309</v>
      </c>
      <c r="J130" t="s">
        <v>44</v>
      </c>
      <c r="K130" t="s">
        <v>59</v>
      </c>
      <c r="L130" t="s">
        <v>22</v>
      </c>
      <c r="M130" t="s">
        <v>61</v>
      </c>
      <c r="N130">
        <f>Sheet1[[#This Row],[Quantity]]*Sheet1[[#This Row],[UnitPrice]]</f>
        <v>347.26</v>
      </c>
    </row>
    <row r="131" spans="1:14" x14ac:dyDescent="0.3">
      <c r="A131" s="1">
        <v>45227</v>
      </c>
      <c r="B131" t="s">
        <v>55</v>
      </c>
      <c r="C131" t="s">
        <v>73</v>
      </c>
      <c r="D131" t="s">
        <v>16</v>
      </c>
      <c r="E131" t="s">
        <v>17</v>
      </c>
      <c r="F131">
        <v>2</v>
      </c>
      <c r="G131">
        <v>229.45</v>
      </c>
      <c r="H131" t="s">
        <v>18</v>
      </c>
      <c r="I131" t="s">
        <v>310</v>
      </c>
      <c r="J131" t="s">
        <v>30</v>
      </c>
      <c r="K131" t="s">
        <v>59</v>
      </c>
      <c r="L131" t="s">
        <v>60</v>
      </c>
      <c r="M131" t="s">
        <v>23</v>
      </c>
      <c r="N131">
        <f>Sheet1[[#This Row],[Quantity]]*Sheet1[[#This Row],[UnitPrice]]</f>
        <v>458.9</v>
      </c>
    </row>
    <row r="132" spans="1:14" x14ac:dyDescent="0.3">
      <c r="A132" s="1">
        <v>45405</v>
      </c>
      <c r="B132" t="s">
        <v>311</v>
      </c>
      <c r="C132" t="s">
        <v>25</v>
      </c>
      <c r="D132" t="s">
        <v>16</v>
      </c>
      <c r="E132" t="s">
        <v>52</v>
      </c>
      <c r="F132">
        <v>1</v>
      </c>
      <c r="G132">
        <v>31.5</v>
      </c>
      <c r="H132" t="s">
        <v>36</v>
      </c>
      <c r="I132" t="s">
        <v>312</v>
      </c>
      <c r="J132" t="s">
        <v>20</v>
      </c>
      <c r="K132" t="s">
        <v>59</v>
      </c>
      <c r="L132" t="s">
        <v>22</v>
      </c>
      <c r="M132" t="s">
        <v>84</v>
      </c>
      <c r="N132">
        <f>Sheet1[[#This Row],[Quantity]]*Sheet1[[#This Row],[UnitPrice]]</f>
        <v>31.5</v>
      </c>
    </row>
    <row r="133" spans="1:14" x14ac:dyDescent="0.3">
      <c r="A133" s="1">
        <v>45536</v>
      </c>
      <c r="B133" t="s">
        <v>313</v>
      </c>
      <c r="C133" t="s">
        <v>34</v>
      </c>
      <c r="D133" t="s">
        <v>74</v>
      </c>
      <c r="E133" t="s">
        <v>67</v>
      </c>
      <c r="F133">
        <v>2</v>
      </c>
      <c r="G133">
        <v>120</v>
      </c>
      <c r="H133" t="s">
        <v>68</v>
      </c>
      <c r="I133" t="s">
        <v>314</v>
      </c>
      <c r="J133" t="s">
        <v>30</v>
      </c>
      <c r="K133" t="s">
        <v>45</v>
      </c>
      <c r="L133" t="s">
        <v>22</v>
      </c>
      <c r="M133" t="s">
        <v>61</v>
      </c>
      <c r="N133">
        <f>Sheet1[[#This Row],[Quantity]]*Sheet1[[#This Row],[UnitPrice]]</f>
        <v>240</v>
      </c>
    </row>
    <row r="134" spans="1:14" x14ac:dyDescent="0.3">
      <c r="A134" s="1">
        <v>45006</v>
      </c>
      <c r="B134" t="s">
        <v>315</v>
      </c>
      <c r="C134" t="s">
        <v>15</v>
      </c>
      <c r="D134" t="s">
        <v>26</v>
      </c>
      <c r="E134" t="s">
        <v>42</v>
      </c>
      <c r="F134">
        <v>7</v>
      </c>
      <c r="G134">
        <v>126.69</v>
      </c>
      <c r="H134" t="s">
        <v>68</v>
      </c>
      <c r="I134" t="s">
        <v>316</v>
      </c>
      <c r="J134" t="s">
        <v>38</v>
      </c>
      <c r="K134" t="s">
        <v>59</v>
      </c>
      <c r="L134" t="s">
        <v>22</v>
      </c>
      <c r="M134" t="s">
        <v>84</v>
      </c>
      <c r="N134">
        <f>Sheet1[[#This Row],[Quantity]]*Sheet1[[#This Row],[UnitPrice]]</f>
        <v>886.82999999999993</v>
      </c>
    </row>
    <row r="135" spans="1:14" x14ac:dyDescent="0.3">
      <c r="A135" s="1">
        <v>45708</v>
      </c>
      <c r="B135" t="s">
        <v>317</v>
      </c>
      <c r="C135" t="s">
        <v>25</v>
      </c>
      <c r="D135" t="s">
        <v>26</v>
      </c>
      <c r="E135" t="s">
        <v>27</v>
      </c>
      <c r="F135">
        <v>6</v>
      </c>
      <c r="G135">
        <v>221.43</v>
      </c>
      <c r="H135" t="s">
        <v>53</v>
      </c>
      <c r="I135" t="s">
        <v>318</v>
      </c>
      <c r="J135" t="s">
        <v>44</v>
      </c>
      <c r="K135" t="s">
        <v>45</v>
      </c>
      <c r="L135" t="s">
        <v>22</v>
      </c>
      <c r="M135" t="s">
        <v>32</v>
      </c>
      <c r="N135">
        <f>Sheet1[[#This Row],[Quantity]]*Sheet1[[#This Row],[UnitPrice]]</f>
        <v>1328.58</v>
      </c>
    </row>
    <row r="136" spans="1:14" x14ac:dyDescent="0.3">
      <c r="A136" s="1">
        <v>45807</v>
      </c>
      <c r="B136" t="s">
        <v>319</v>
      </c>
      <c r="C136" t="s">
        <v>73</v>
      </c>
      <c r="D136" t="s">
        <v>16</v>
      </c>
      <c r="E136" t="s">
        <v>42</v>
      </c>
      <c r="F136">
        <v>8</v>
      </c>
      <c r="G136">
        <v>357.5</v>
      </c>
      <c r="H136" t="s">
        <v>53</v>
      </c>
      <c r="I136" t="s">
        <v>320</v>
      </c>
      <c r="J136" t="s">
        <v>30</v>
      </c>
      <c r="K136" t="s">
        <v>45</v>
      </c>
      <c r="L136" t="s">
        <v>39</v>
      </c>
      <c r="M136" t="s">
        <v>40</v>
      </c>
      <c r="N136">
        <f>Sheet1[[#This Row],[Quantity]]*Sheet1[[#This Row],[UnitPrice]]</f>
        <v>2860</v>
      </c>
    </row>
    <row r="137" spans="1:14" x14ac:dyDescent="0.3">
      <c r="A137" s="1">
        <v>45110</v>
      </c>
      <c r="B137" t="s">
        <v>321</v>
      </c>
      <c r="C137" t="s">
        <v>25</v>
      </c>
      <c r="D137" t="s">
        <v>26</v>
      </c>
      <c r="E137" t="s">
        <v>42</v>
      </c>
      <c r="F137">
        <v>1</v>
      </c>
      <c r="G137">
        <v>256.49</v>
      </c>
      <c r="H137" t="s">
        <v>36</v>
      </c>
      <c r="I137" t="s">
        <v>322</v>
      </c>
      <c r="J137" t="s">
        <v>44</v>
      </c>
      <c r="K137" t="s">
        <v>59</v>
      </c>
      <c r="L137" t="s">
        <v>22</v>
      </c>
      <c r="M137" t="s">
        <v>49</v>
      </c>
      <c r="N137">
        <f>Sheet1[[#This Row],[Quantity]]*Sheet1[[#This Row],[UnitPrice]]</f>
        <v>256.49</v>
      </c>
    </row>
    <row r="138" spans="1:14" x14ac:dyDescent="0.3">
      <c r="A138" s="1">
        <v>45065</v>
      </c>
      <c r="B138" t="s">
        <v>323</v>
      </c>
      <c r="C138" t="s">
        <v>15</v>
      </c>
      <c r="D138" t="s">
        <v>47</v>
      </c>
      <c r="E138" t="s">
        <v>52</v>
      </c>
      <c r="F138">
        <v>2</v>
      </c>
      <c r="G138">
        <v>303.64999999999998</v>
      </c>
      <c r="H138" t="s">
        <v>53</v>
      </c>
      <c r="I138" t="s">
        <v>324</v>
      </c>
      <c r="J138" t="s">
        <v>30</v>
      </c>
      <c r="K138" t="s">
        <v>31</v>
      </c>
      <c r="L138" t="s">
        <v>22</v>
      </c>
      <c r="M138" t="s">
        <v>40</v>
      </c>
      <c r="N138">
        <f>Sheet1[[#This Row],[Quantity]]*Sheet1[[#This Row],[UnitPrice]]</f>
        <v>607.29999999999995</v>
      </c>
    </row>
    <row r="139" spans="1:14" x14ac:dyDescent="0.3">
      <c r="A139" s="1">
        <v>44947</v>
      </c>
      <c r="B139" t="s">
        <v>325</v>
      </c>
      <c r="C139" t="s">
        <v>56</v>
      </c>
      <c r="D139" t="s">
        <v>47</v>
      </c>
      <c r="E139" t="s">
        <v>35</v>
      </c>
      <c r="F139">
        <v>7</v>
      </c>
      <c r="G139">
        <v>254.89</v>
      </c>
      <c r="H139" t="s">
        <v>28</v>
      </c>
      <c r="I139" t="s">
        <v>326</v>
      </c>
      <c r="J139" t="s">
        <v>20</v>
      </c>
      <c r="K139" t="s">
        <v>21</v>
      </c>
      <c r="L139" t="s">
        <v>22</v>
      </c>
      <c r="M139" t="s">
        <v>23</v>
      </c>
      <c r="N139">
        <f>Sheet1[[#This Row],[Quantity]]*Sheet1[[#This Row],[UnitPrice]]</f>
        <v>1784.23</v>
      </c>
    </row>
    <row r="140" spans="1:14" x14ac:dyDescent="0.3">
      <c r="A140" s="1">
        <v>44956</v>
      </c>
      <c r="B140" t="s">
        <v>327</v>
      </c>
      <c r="C140" t="s">
        <v>63</v>
      </c>
      <c r="D140" t="s">
        <v>74</v>
      </c>
      <c r="E140" t="s">
        <v>64</v>
      </c>
      <c r="F140">
        <v>9</v>
      </c>
      <c r="G140">
        <v>102.38</v>
      </c>
      <c r="H140" t="s">
        <v>18</v>
      </c>
      <c r="I140" t="s">
        <v>328</v>
      </c>
      <c r="J140" t="s">
        <v>38</v>
      </c>
      <c r="K140" t="s">
        <v>59</v>
      </c>
      <c r="L140" t="s">
        <v>22</v>
      </c>
      <c r="M140" t="s">
        <v>49</v>
      </c>
      <c r="N140">
        <f>Sheet1[[#This Row],[Quantity]]*Sheet1[[#This Row],[UnitPrice]]</f>
        <v>921.42</v>
      </c>
    </row>
    <row r="141" spans="1:14" x14ac:dyDescent="0.3">
      <c r="A141" s="1">
        <v>45332</v>
      </c>
      <c r="B141" t="s">
        <v>329</v>
      </c>
      <c r="C141" t="s">
        <v>78</v>
      </c>
      <c r="D141" t="s">
        <v>16</v>
      </c>
      <c r="E141" t="s">
        <v>35</v>
      </c>
      <c r="F141">
        <v>10</v>
      </c>
      <c r="G141">
        <v>380.63</v>
      </c>
      <c r="H141" t="s">
        <v>28</v>
      </c>
      <c r="I141" t="s">
        <v>330</v>
      </c>
      <c r="J141" t="s">
        <v>58</v>
      </c>
      <c r="K141" t="s">
        <v>21</v>
      </c>
      <c r="L141" t="s">
        <v>60</v>
      </c>
      <c r="M141" t="s">
        <v>23</v>
      </c>
      <c r="N141">
        <f>Sheet1[[#This Row],[Quantity]]*Sheet1[[#This Row],[UnitPrice]]</f>
        <v>3806.3</v>
      </c>
    </row>
    <row r="142" spans="1:14" x14ac:dyDescent="0.3">
      <c r="A142" s="1">
        <v>45347</v>
      </c>
      <c r="B142" t="s">
        <v>331</v>
      </c>
      <c r="C142" t="s">
        <v>63</v>
      </c>
      <c r="D142" t="s">
        <v>26</v>
      </c>
      <c r="E142" t="s">
        <v>42</v>
      </c>
      <c r="F142">
        <v>5</v>
      </c>
      <c r="G142">
        <v>252.42</v>
      </c>
      <c r="H142" t="s">
        <v>53</v>
      </c>
      <c r="I142" t="s">
        <v>332</v>
      </c>
      <c r="J142" t="s">
        <v>44</v>
      </c>
      <c r="K142" t="s">
        <v>59</v>
      </c>
      <c r="L142" t="s">
        <v>22</v>
      </c>
      <c r="M142" t="s">
        <v>61</v>
      </c>
      <c r="N142">
        <f>Sheet1[[#This Row],[Quantity]]*Sheet1[[#This Row],[UnitPrice]]</f>
        <v>1262.0999999999999</v>
      </c>
    </row>
    <row r="143" spans="1:14" x14ac:dyDescent="0.3">
      <c r="A143" s="1">
        <v>45487</v>
      </c>
      <c r="B143" t="s">
        <v>333</v>
      </c>
      <c r="C143" t="s">
        <v>15</v>
      </c>
      <c r="D143" t="s">
        <v>16</v>
      </c>
      <c r="E143" t="s">
        <v>64</v>
      </c>
      <c r="F143">
        <v>3</v>
      </c>
      <c r="G143">
        <v>207.33</v>
      </c>
      <c r="H143" t="s">
        <v>18</v>
      </c>
      <c r="I143" t="s">
        <v>334</v>
      </c>
      <c r="J143" t="s">
        <v>30</v>
      </c>
      <c r="K143" t="s">
        <v>31</v>
      </c>
      <c r="L143" t="s">
        <v>39</v>
      </c>
      <c r="M143" t="s">
        <v>61</v>
      </c>
      <c r="N143">
        <f>Sheet1[[#This Row],[Quantity]]*Sheet1[[#This Row],[UnitPrice]]</f>
        <v>621.99</v>
      </c>
    </row>
    <row r="144" spans="1:14" x14ac:dyDescent="0.3">
      <c r="A144" s="1">
        <v>45367</v>
      </c>
      <c r="B144" t="s">
        <v>335</v>
      </c>
      <c r="C144" t="s">
        <v>15</v>
      </c>
      <c r="D144" t="s">
        <v>26</v>
      </c>
      <c r="E144" t="s">
        <v>67</v>
      </c>
      <c r="F144">
        <v>3</v>
      </c>
      <c r="G144">
        <v>269.43</v>
      </c>
      <c r="H144" t="s">
        <v>28</v>
      </c>
      <c r="I144" t="s">
        <v>336</v>
      </c>
      <c r="J144" t="s">
        <v>38</v>
      </c>
      <c r="K144" t="s">
        <v>45</v>
      </c>
      <c r="L144" t="s">
        <v>22</v>
      </c>
      <c r="M144" t="s">
        <v>23</v>
      </c>
      <c r="N144">
        <f>Sheet1[[#This Row],[Quantity]]*Sheet1[[#This Row],[UnitPrice]]</f>
        <v>808.29</v>
      </c>
    </row>
    <row r="145" spans="1:14" x14ac:dyDescent="0.3">
      <c r="A145" s="1">
        <v>45642</v>
      </c>
      <c r="B145" t="s">
        <v>220</v>
      </c>
      <c r="C145" t="s">
        <v>90</v>
      </c>
      <c r="D145" t="s">
        <v>47</v>
      </c>
      <c r="E145" t="s">
        <v>17</v>
      </c>
      <c r="F145">
        <v>1</v>
      </c>
      <c r="G145">
        <v>366.47</v>
      </c>
      <c r="H145" t="s">
        <v>68</v>
      </c>
      <c r="I145" t="s">
        <v>337</v>
      </c>
      <c r="J145" t="s">
        <v>58</v>
      </c>
      <c r="K145" t="s">
        <v>59</v>
      </c>
      <c r="L145" t="s">
        <v>22</v>
      </c>
      <c r="M145" t="s">
        <v>49</v>
      </c>
      <c r="N145">
        <f>Sheet1[[#This Row],[Quantity]]*Sheet1[[#This Row],[UnitPrice]]</f>
        <v>366.47</v>
      </c>
    </row>
    <row r="146" spans="1:14" x14ac:dyDescent="0.3">
      <c r="A146" s="1">
        <v>45360</v>
      </c>
      <c r="B146" t="s">
        <v>338</v>
      </c>
      <c r="C146" t="s">
        <v>78</v>
      </c>
      <c r="D146" t="s">
        <v>74</v>
      </c>
      <c r="E146" t="s">
        <v>64</v>
      </c>
      <c r="F146">
        <v>3</v>
      </c>
      <c r="G146">
        <v>180.96</v>
      </c>
      <c r="H146" t="s">
        <v>28</v>
      </c>
      <c r="I146" t="s">
        <v>339</v>
      </c>
      <c r="J146" t="s">
        <v>20</v>
      </c>
      <c r="K146" t="s">
        <v>21</v>
      </c>
      <c r="L146" t="s">
        <v>60</v>
      </c>
      <c r="M146" t="s">
        <v>23</v>
      </c>
      <c r="N146">
        <f>Sheet1[[#This Row],[Quantity]]*Sheet1[[#This Row],[UnitPrice]]</f>
        <v>542.88</v>
      </c>
    </row>
    <row r="147" spans="1:14" x14ac:dyDescent="0.3">
      <c r="A147" s="1">
        <v>45290</v>
      </c>
      <c r="B147" t="s">
        <v>340</v>
      </c>
      <c r="C147" t="s">
        <v>78</v>
      </c>
      <c r="D147" t="s">
        <v>47</v>
      </c>
      <c r="E147" t="s">
        <v>67</v>
      </c>
      <c r="F147">
        <v>4</v>
      </c>
      <c r="G147">
        <v>67.39</v>
      </c>
      <c r="H147" t="s">
        <v>36</v>
      </c>
      <c r="I147" t="s">
        <v>341</v>
      </c>
      <c r="J147" t="s">
        <v>44</v>
      </c>
      <c r="K147" t="s">
        <v>21</v>
      </c>
      <c r="L147" t="s">
        <v>60</v>
      </c>
      <c r="M147" t="s">
        <v>23</v>
      </c>
      <c r="N147">
        <f>Sheet1[[#This Row],[Quantity]]*Sheet1[[#This Row],[UnitPrice]]</f>
        <v>269.56</v>
      </c>
    </row>
    <row r="148" spans="1:14" x14ac:dyDescent="0.3">
      <c r="A148" s="1">
        <v>45606</v>
      </c>
      <c r="B148" t="s">
        <v>342</v>
      </c>
      <c r="C148" t="s">
        <v>25</v>
      </c>
      <c r="D148" t="s">
        <v>47</v>
      </c>
      <c r="E148" t="s">
        <v>52</v>
      </c>
      <c r="F148">
        <v>4</v>
      </c>
      <c r="G148">
        <v>312.88</v>
      </c>
      <c r="H148" t="s">
        <v>68</v>
      </c>
      <c r="I148" t="s">
        <v>343</v>
      </c>
      <c r="J148" t="s">
        <v>44</v>
      </c>
      <c r="K148" t="s">
        <v>31</v>
      </c>
      <c r="L148" t="s">
        <v>22</v>
      </c>
      <c r="M148" t="s">
        <v>61</v>
      </c>
      <c r="N148">
        <f>Sheet1[[#This Row],[Quantity]]*Sheet1[[#This Row],[UnitPrice]]</f>
        <v>1251.52</v>
      </c>
    </row>
    <row r="149" spans="1:14" x14ac:dyDescent="0.3">
      <c r="A149" s="1">
        <v>45107</v>
      </c>
      <c r="B149" t="s">
        <v>344</v>
      </c>
      <c r="C149" t="s">
        <v>63</v>
      </c>
      <c r="D149" t="s">
        <v>16</v>
      </c>
      <c r="E149" t="s">
        <v>27</v>
      </c>
      <c r="F149">
        <v>10</v>
      </c>
      <c r="G149">
        <v>312.51</v>
      </c>
      <c r="H149" t="s">
        <v>18</v>
      </c>
      <c r="I149" t="s">
        <v>345</v>
      </c>
      <c r="J149" t="s">
        <v>44</v>
      </c>
      <c r="K149" t="s">
        <v>21</v>
      </c>
      <c r="L149" t="s">
        <v>39</v>
      </c>
      <c r="M149" t="s">
        <v>40</v>
      </c>
      <c r="N149">
        <f>Sheet1[[#This Row],[Quantity]]*Sheet1[[#This Row],[UnitPrice]]</f>
        <v>3125.1</v>
      </c>
    </row>
    <row r="150" spans="1:14" x14ac:dyDescent="0.3">
      <c r="A150" s="1">
        <v>45041</v>
      </c>
      <c r="B150" t="s">
        <v>346</v>
      </c>
      <c r="C150" t="s">
        <v>56</v>
      </c>
      <c r="D150" t="s">
        <v>47</v>
      </c>
      <c r="E150" t="s">
        <v>35</v>
      </c>
      <c r="F150">
        <v>6</v>
      </c>
      <c r="G150">
        <v>67.61</v>
      </c>
      <c r="H150" t="s">
        <v>36</v>
      </c>
      <c r="I150" t="s">
        <v>347</v>
      </c>
      <c r="J150" t="s">
        <v>20</v>
      </c>
      <c r="K150" t="s">
        <v>45</v>
      </c>
      <c r="L150" t="s">
        <v>39</v>
      </c>
      <c r="M150" t="s">
        <v>84</v>
      </c>
      <c r="N150">
        <f>Sheet1[[#This Row],[Quantity]]*Sheet1[[#This Row],[UnitPrice]]</f>
        <v>405.65999999999997</v>
      </c>
    </row>
    <row r="151" spans="1:14" x14ac:dyDescent="0.3">
      <c r="A151" s="1">
        <v>45341</v>
      </c>
      <c r="B151" t="s">
        <v>348</v>
      </c>
      <c r="C151" t="s">
        <v>73</v>
      </c>
      <c r="D151" t="s">
        <v>16</v>
      </c>
      <c r="E151" t="s">
        <v>52</v>
      </c>
      <c r="F151">
        <v>6</v>
      </c>
      <c r="G151">
        <v>58.92</v>
      </c>
      <c r="H151" t="s">
        <v>28</v>
      </c>
      <c r="I151" t="s">
        <v>349</v>
      </c>
      <c r="J151" t="s">
        <v>38</v>
      </c>
      <c r="K151" t="s">
        <v>21</v>
      </c>
      <c r="L151" t="s">
        <v>22</v>
      </c>
      <c r="M151" t="s">
        <v>49</v>
      </c>
      <c r="N151">
        <f>Sheet1[[#This Row],[Quantity]]*Sheet1[[#This Row],[UnitPrice]]</f>
        <v>353.52</v>
      </c>
    </row>
    <row r="152" spans="1:14" x14ac:dyDescent="0.3">
      <c r="A152" s="1">
        <v>45624</v>
      </c>
      <c r="B152" t="s">
        <v>89</v>
      </c>
      <c r="C152" t="s">
        <v>25</v>
      </c>
      <c r="D152" t="s">
        <v>16</v>
      </c>
      <c r="E152" t="s">
        <v>52</v>
      </c>
      <c r="F152">
        <v>7</v>
      </c>
      <c r="G152">
        <v>230.74</v>
      </c>
      <c r="H152" t="s">
        <v>18</v>
      </c>
      <c r="I152" t="s">
        <v>350</v>
      </c>
      <c r="J152" t="s">
        <v>38</v>
      </c>
      <c r="K152" t="s">
        <v>45</v>
      </c>
      <c r="L152" t="s">
        <v>60</v>
      </c>
      <c r="M152" t="s">
        <v>32</v>
      </c>
      <c r="N152">
        <f>Sheet1[[#This Row],[Quantity]]*Sheet1[[#This Row],[UnitPrice]]</f>
        <v>1615.18</v>
      </c>
    </row>
    <row r="153" spans="1:14" x14ac:dyDescent="0.3">
      <c r="A153" s="1">
        <v>45515</v>
      </c>
      <c r="B153" t="s">
        <v>351</v>
      </c>
      <c r="C153" t="s">
        <v>101</v>
      </c>
      <c r="D153" t="s">
        <v>74</v>
      </c>
      <c r="E153" t="s">
        <v>64</v>
      </c>
      <c r="F153">
        <v>10</v>
      </c>
      <c r="G153">
        <v>19.489999999999998</v>
      </c>
      <c r="H153" t="s">
        <v>68</v>
      </c>
      <c r="I153" t="s">
        <v>352</v>
      </c>
      <c r="J153" t="s">
        <v>38</v>
      </c>
      <c r="K153" t="s">
        <v>21</v>
      </c>
      <c r="L153" t="s">
        <v>60</v>
      </c>
      <c r="M153" t="s">
        <v>61</v>
      </c>
      <c r="N153">
        <f>Sheet1[[#This Row],[Quantity]]*Sheet1[[#This Row],[UnitPrice]]</f>
        <v>194.89999999999998</v>
      </c>
    </row>
    <row r="154" spans="1:14" x14ac:dyDescent="0.3">
      <c r="A154" s="1">
        <v>45208</v>
      </c>
      <c r="B154" t="s">
        <v>98</v>
      </c>
      <c r="C154" t="s">
        <v>63</v>
      </c>
      <c r="D154" t="s">
        <v>16</v>
      </c>
      <c r="E154" t="s">
        <v>35</v>
      </c>
      <c r="F154">
        <v>2</v>
      </c>
      <c r="G154">
        <v>373.03</v>
      </c>
      <c r="H154" t="s">
        <v>36</v>
      </c>
      <c r="I154" t="s">
        <v>353</v>
      </c>
      <c r="J154" t="s">
        <v>58</v>
      </c>
      <c r="K154" t="s">
        <v>45</v>
      </c>
      <c r="L154" t="s">
        <v>60</v>
      </c>
      <c r="M154" t="s">
        <v>49</v>
      </c>
      <c r="N154">
        <f>Sheet1[[#This Row],[Quantity]]*Sheet1[[#This Row],[UnitPrice]]</f>
        <v>746.06</v>
      </c>
    </row>
    <row r="155" spans="1:14" x14ac:dyDescent="0.3">
      <c r="A155" s="1">
        <v>45327</v>
      </c>
      <c r="B155" t="s">
        <v>140</v>
      </c>
      <c r="C155" t="s">
        <v>51</v>
      </c>
      <c r="D155" t="s">
        <v>74</v>
      </c>
      <c r="E155" t="s">
        <v>52</v>
      </c>
      <c r="F155">
        <v>6</v>
      </c>
      <c r="G155">
        <v>338.2</v>
      </c>
      <c r="H155" t="s">
        <v>28</v>
      </c>
      <c r="I155" t="s">
        <v>354</v>
      </c>
      <c r="J155" t="s">
        <v>58</v>
      </c>
      <c r="K155" t="s">
        <v>21</v>
      </c>
      <c r="L155" t="s">
        <v>22</v>
      </c>
      <c r="M155" t="s">
        <v>49</v>
      </c>
      <c r="N155">
        <f>Sheet1[[#This Row],[Quantity]]*Sheet1[[#This Row],[UnitPrice]]</f>
        <v>2029.1999999999998</v>
      </c>
    </row>
    <row r="156" spans="1:14" x14ac:dyDescent="0.3">
      <c r="A156" s="1">
        <v>45613</v>
      </c>
      <c r="B156" t="s">
        <v>355</v>
      </c>
      <c r="C156" t="s">
        <v>51</v>
      </c>
      <c r="D156" t="s">
        <v>74</v>
      </c>
      <c r="E156" t="s">
        <v>64</v>
      </c>
      <c r="F156">
        <v>1</v>
      </c>
      <c r="G156">
        <v>8.0500000000000007</v>
      </c>
      <c r="H156" t="s">
        <v>18</v>
      </c>
      <c r="I156" t="s">
        <v>356</v>
      </c>
      <c r="J156" t="s">
        <v>38</v>
      </c>
      <c r="K156" t="s">
        <v>45</v>
      </c>
      <c r="L156" t="s">
        <v>22</v>
      </c>
      <c r="M156" t="s">
        <v>61</v>
      </c>
      <c r="N156">
        <f>Sheet1[[#This Row],[Quantity]]*Sheet1[[#This Row],[UnitPrice]]</f>
        <v>8.0500000000000007</v>
      </c>
    </row>
    <row r="157" spans="1:14" x14ac:dyDescent="0.3">
      <c r="A157" s="1">
        <v>45261</v>
      </c>
      <c r="B157" t="s">
        <v>357</v>
      </c>
      <c r="C157" t="s">
        <v>15</v>
      </c>
      <c r="D157" t="s">
        <v>16</v>
      </c>
      <c r="E157" t="s">
        <v>35</v>
      </c>
      <c r="F157">
        <v>4</v>
      </c>
      <c r="G157">
        <v>310.75</v>
      </c>
      <c r="H157" t="s">
        <v>18</v>
      </c>
      <c r="I157" t="s">
        <v>358</v>
      </c>
      <c r="J157" t="s">
        <v>30</v>
      </c>
      <c r="K157" t="s">
        <v>59</v>
      </c>
      <c r="L157" t="s">
        <v>60</v>
      </c>
      <c r="M157" t="s">
        <v>40</v>
      </c>
      <c r="N157">
        <f>Sheet1[[#This Row],[Quantity]]*Sheet1[[#This Row],[UnitPrice]]</f>
        <v>1243</v>
      </c>
    </row>
    <row r="158" spans="1:14" x14ac:dyDescent="0.3">
      <c r="A158" s="1">
        <v>45394</v>
      </c>
      <c r="B158" t="s">
        <v>359</v>
      </c>
      <c r="C158" t="s">
        <v>78</v>
      </c>
      <c r="D158" t="s">
        <v>47</v>
      </c>
      <c r="E158" t="s">
        <v>67</v>
      </c>
      <c r="F158">
        <v>3</v>
      </c>
      <c r="G158">
        <v>76.92</v>
      </c>
      <c r="H158" t="s">
        <v>18</v>
      </c>
      <c r="I158" t="s">
        <v>360</v>
      </c>
      <c r="J158" t="s">
        <v>20</v>
      </c>
      <c r="K158" t="s">
        <v>59</v>
      </c>
      <c r="L158" t="s">
        <v>39</v>
      </c>
      <c r="M158" t="s">
        <v>40</v>
      </c>
      <c r="N158">
        <f>Sheet1[[#This Row],[Quantity]]*Sheet1[[#This Row],[UnitPrice]]</f>
        <v>230.76</v>
      </c>
    </row>
    <row r="159" spans="1:14" x14ac:dyDescent="0.3">
      <c r="A159" s="1">
        <v>45504</v>
      </c>
      <c r="B159" t="s">
        <v>361</v>
      </c>
      <c r="C159" t="s">
        <v>34</v>
      </c>
      <c r="D159" t="s">
        <v>74</v>
      </c>
      <c r="E159" t="s">
        <v>67</v>
      </c>
      <c r="F159">
        <v>10</v>
      </c>
      <c r="G159">
        <v>33.46</v>
      </c>
      <c r="H159" t="s">
        <v>28</v>
      </c>
      <c r="I159" t="s">
        <v>362</v>
      </c>
      <c r="J159" t="s">
        <v>20</v>
      </c>
      <c r="K159" t="s">
        <v>45</v>
      </c>
      <c r="L159" t="s">
        <v>39</v>
      </c>
      <c r="M159" t="s">
        <v>76</v>
      </c>
      <c r="N159">
        <f>Sheet1[[#This Row],[Quantity]]*Sheet1[[#This Row],[UnitPrice]]</f>
        <v>334.6</v>
      </c>
    </row>
    <row r="160" spans="1:14" x14ac:dyDescent="0.3">
      <c r="A160" s="1">
        <v>45816</v>
      </c>
      <c r="B160" t="s">
        <v>363</v>
      </c>
      <c r="C160" t="s">
        <v>101</v>
      </c>
      <c r="D160" t="s">
        <v>26</v>
      </c>
      <c r="E160" t="s">
        <v>27</v>
      </c>
      <c r="F160">
        <v>10</v>
      </c>
      <c r="G160">
        <v>27.94</v>
      </c>
      <c r="H160" t="s">
        <v>53</v>
      </c>
      <c r="I160" t="s">
        <v>364</v>
      </c>
      <c r="J160" t="s">
        <v>30</v>
      </c>
      <c r="K160" t="s">
        <v>31</v>
      </c>
      <c r="L160" t="s">
        <v>60</v>
      </c>
      <c r="M160" t="s">
        <v>61</v>
      </c>
      <c r="N160">
        <f>Sheet1[[#This Row],[Quantity]]*Sheet1[[#This Row],[UnitPrice]]</f>
        <v>279.40000000000003</v>
      </c>
    </row>
    <row r="161" spans="1:14" x14ac:dyDescent="0.3">
      <c r="A161" s="1">
        <v>45021</v>
      </c>
      <c r="B161" t="s">
        <v>365</v>
      </c>
      <c r="C161" t="s">
        <v>78</v>
      </c>
      <c r="D161" t="s">
        <v>47</v>
      </c>
      <c r="E161" t="s">
        <v>64</v>
      </c>
      <c r="F161">
        <v>1</v>
      </c>
      <c r="G161">
        <v>35.840000000000003</v>
      </c>
      <c r="H161" t="s">
        <v>53</v>
      </c>
      <c r="I161" t="s">
        <v>366</v>
      </c>
      <c r="J161" t="s">
        <v>30</v>
      </c>
      <c r="K161" t="s">
        <v>21</v>
      </c>
      <c r="L161" t="s">
        <v>22</v>
      </c>
      <c r="M161" t="s">
        <v>76</v>
      </c>
      <c r="N161">
        <f>Sheet1[[#This Row],[Quantity]]*Sheet1[[#This Row],[UnitPrice]]</f>
        <v>35.840000000000003</v>
      </c>
    </row>
    <row r="162" spans="1:14" x14ac:dyDescent="0.3">
      <c r="A162" s="1">
        <v>45054</v>
      </c>
      <c r="B162" t="s">
        <v>367</v>
      </c>
      <c r="C162" t="s">
        <v>51</v>
      </c>
      <c r="D162" t="s">
        <v>26</v>
      </c>
      <c r="E162" t="s">
        <v>42</v>
      </c>
      <c r="F162">
        <v>5</v>
      </c>
      <c r="G162">
        <v>326.64999999999998</v>
      </c>
      <c r="H162" t="s">
        <v>68</v>
      </c>
      <c r="I162" t="s">
        <v>368</v>
      </c>
      <c r="J162" t="s">
        <v>58</v>
      </c>
      <c r="K162" t="s">
        <v>59</v>
      </c>
      <c r="L162" t="s">
        <v>60</v>
      </c>
      <c r="M162" t="s">
        <v>49</v>
      </c>
      <c r="N162">
        <f>Sheet1[[#This Row],[Quantity]]*Sheet1[[#This Row],[UnitPrice]]</f>
        <v>1633.25</v>
      </c>
    </row>
    <row r="163" spans="1:14" x14ac:dyDescent="0.3">
      <c r="A163" s="1">
        <v>45321</v>
      </c>
      <c r="B163" t="s">
        <v>300</v>
      </c>
      <c r="C163" t="s">
        <v>34</v>
      </c>
      <c r="D163" t="s">
        <v>26</v>
      </c>
      <c r="E163" t="s">
        <v>42</v>
      </c>
      <c r="F163">
        <v>7</v>
      </c>
      <c r="G163">
        <v>300.35000000000002</v>
      </c>
      <c r="H163" t="s">
        <v>68</v>
      </c>
      <c r="I163" t="s">
        <v>369</v>
      </c>
      <c r="J163" t="s">
        <v>44</v>
      </c>
      <c r="K163" t="s">
        <v>59</v>
      </c>
      <c r="L163" t="s">
        <v>39</v>
      </c>
      <c r="M163" t="s">
        <v>84</v>
      </c>
      <c r="N163">
        <f>Sheet1[[#This Row],[Quantity]]*Sheet1[[#This Row],[UnitPrice]]</f>
        <v>2102.4500000000003</v>
      </c>
    </row>
    <row r="164" spans="1:14" x14ac:dyDescent="0.3">
      <c r="A164" s="1">
        <v>45800</v>
      </c>
      <c r="B164" t="s">
        <v>127</v>
      </c>
      <c r="C164" t="s">
        <v>51</v>
      </c>
      <c r="D164" t="s">
        <v>74</v>
      </c>
      <c r="E164" t="s">
        <v>35</v>
      </c>
      <c r="F164">
        <v>4</v>
      </c>
      <c r="G164">
        <v>368.51</v>
      </c>
      <c r="H164" t="s">
        <v>36</v>
      </c>
      <c r="I164" t="s">
        <v>370</v>
      </c>
      <c r="J164" t="s">
        <v>20</v>
      </c>
      <c r="K164" t="s">
        <v>21</v>
      </c>
      <c r="L164" t="s">
        <v>39</v>
      </c>
      <c r="M164" t="s">
        <v>40</v>
      </c>
      <c r="N164">
        <f>Sheet1[[#This Row],[Quantity]]*Sheet1[[#This Row],[UnitPrice]]</f>
        <v>1474.04</v>
      </c>
    </row>
    <row r="165" spans="1:14" x14ac:dyDescent="0.3">
      <c r="A165" s="1">
        <v>44950</v>
      </c>
      <c r="B165" t="s">
        <v>371</v>
      </c>
      <c r="C165" t="s">
        <v>34</v>
      </c>
      <c r="D165" t="s">
        <v>16</v>
      </c>
      <c r="E165" t="s">
        <v>64</v>
      </c>
      <c r="F165">
        <v>5</v>
      </c>
      <c r="G165">
        <v>59.26</v>
      </c>
      <c r="H165" t="s">
        <v>18</v>
      </c>
      <c r="I165" t="s">
        <v>372</v>
      </c>
      <c r="J165" t="s">
        <v>38</v>
      </c>
      <c r="K165" t="s">
        <v>21</v>
      </c>
      <c r="L165" t="s">
        <v>22</v>
      </c>
      <c r="M165" t="s">
        <v>84</v>
      </c>
      <c r="N165">
        <f>Sheet1[[#This Row],[Quantity]]*Sheet1[[#This Row],[UnitPrice]]</f>
        <v>296.3</v>
      </c>
    </row>
    <row r="166" spans="1:14" x14ac:dyDescent="0.3">
      <c r="A166" s="1">
        <v>45677</v>
      </c>
      <c r="B166" t="s">
        <v>373</v>
      </c>
      <c r="C166" t="s">
        <v>90</v>
      </c>
      <c r="D166" t="s">
        <v>16</v>
      </c>
      <c r="E166" t="s">
        <v>35</v>
      </c>
      <c r="F166">
        <v>9</v>
      </c>
      <c r="G166">
        <v>55.64</v>
      </c>
      <c r="H166" t="s">
        <v>18</v>
      </c>
      <c r="I166" t="s">
        <v>374</v>
      </c>
      <c r="J166" t="s">
        <v>44</v>
      </c>
      <c r="K166" t="s">
        <v>45</v>
      </c>
      <c r="L166" t="s">
        <v>39</v>
      </c>
      <c r="M166" t="s">
        <v>49</v>
      </c>
      <c r="N166">
        <f>Sheet1[[#This Row],[Quantity]]*Sheet1[[#This Row],[UnitPrice]]</f>
        <v>500.76</v>
      </c>
    </row>
    <row r="167" spans="1:14" x14ac:dyDescent="0.3">
      <c r="A167" s="1">
        <v>44957</v>
      </c>
      <c r="B167" t="s">
        <v>375</v>
      </c>
      <c r="C167" t="s">
        <v>101</v>
      </c>
      <c r="D167" t="s">
        <v>47</v>
      </c>
      <c r="E167" t="s">
        <v>67</v>
      </c>
      <c r="F167">
        <v>6</v>
      </c>
      <c r="G167">
        <v>129.21</v>
      </c>
      <c r="H167" t="s">
        <v>68</v>
      </c>
      <c r="I167" t="s">
        <v>376</v>
      </c>
      <c r="J167" t="s">
        <v>38</v>
      </c>
      <c r="K167" t="s">
        <v>21</v>
      </c>
      <c r="L167" t="s">
        <v>39</v>
      </c>
      <c r="M167" t="s">
        <v>84</v>
      </c>
      <c r="N167">
        <f>Sheet1[[#This Row],[Quantity]]*Sheet1[[#This Row],[UnitPrice]]</f>
        <v>775.26</v>
      </c>
    </row>
    <row r="168" spans="1:14" x14ac:dyDescent="0.3">
      <c r="A168" s="1">
        <v>45509</v>
      </c>
      <c r="B168" t="s">
        <v>377</v>
      </c>
      <c r="C168" t="s">
        <v>34</v>
      </c>
      <c r="D168" t="s">
        <v>26</v>
      </c>
      <c r="E168" t="s">
        <v>67</v>
      </c>
      <c r="F168">
        <v>4</v>
      </c>
      <c r="G168">
        <v>162.22999999999999</v>
      </c>
      <c r="H168" t="s">
        <v>28</v>
      </c>
      <c r="I168" t="s">
        <v>378</v>
      </c>
      <c r="J168" t="s">
        <v>38</v>
      </c>
      <c r="K168" t="s">
        <v>21</v>
      </c>
      <c r="L168" t="s">
        <v>22</v>
      </c>
      <c r="M168" t="s">
        <v>49</v>
      </c>
      <c r="N168">
        <f>Sheet1[[#This Row],[Quantity]]*Sheet1[[#This Row],[UnitPrice]]</f>
        <v>648.91999999999996</v>
      </c>
    </row>
    <row r="169" spans="1:14" x14ac:dyDescent="0.3">
      <c r="A169" s="1">
        <v>45549</v>
      </c>
      <c r="B169" t="s">
        <v>379</v>
      </c>
      <c r="C169" t="s">
        <v>51</v>
      </c>
      <c r="D169" t="s">
        <v>47</v>
      </c>
      <c r="E169" t="s">
        <v>64</v>
      </c>
      <c r="F169">
        <v>9</v>
      </c>
      <c r="G169">
        <v>146.65</v>
      </c>
      <c r="H169" t="s">
        <v>53</v>
      </c>
      <c r="I169" t="s">
        <v>380</v>
      </c>
      <c r="J169" t="s">
        <v>58</v>
      </c>
      <c r="K169" t="s">
        <v>31</v>
      </c>
      <c r="L169" t="s">
        <v>60</v>
      </c>
      <c r="M169" t="s">
        <v>23</v>
      </c>
      <c r="N169">
        <f>Sheet1[[#This Row],[Quantity]]*Sheet1[[#This Row],[UnitPrice]]</f>
        <v>1319.8500000000001</v>
      </c>
    </row>
    <row r="170" spans="1:14" x14ac:dyDescent="0.3">
      <c r="A170" s="1">
        <v>45500</v>
      </c>
      <c r="B170" t="s">
        <v>381</v>
      </c>
      <c r="C170" t="s">
        <v>63</v>
      </c>
      <c r="D170" t="s">
        <v>26</v>
      </c>
      <c r="E170" t="s">
        <v>67</v>
      </c>
      <c r="F170">
        <v>9</v>
      </c>
      <c r="G170">
        <v>77.17</v>
      </c>
      <c r="H170" t="s">
        <v>36</v>
      </c>
      <c r="I170" t="s">
        <v>382</v>
      </c>
      <c r="J170" t="s">
        <v>44</v>
      </c>
      <c r="K170" t="s">
        <v>59</v>
      </c>
      <c r="L170" t="s">
        <v>39</v>
      </c>
      <c r="M170" t="s">
        <v>23</v>
      </c>
      <c r="N170">
        <f>Sheet1[[#This Row],[Quantity]]*Sheet1[[#This Row],[UnitPrice]]</f>
        <v>694.53</v>
      </c>
    </row>
    <row r="171" spans="1:14" x14ac:dyDescent="0.3">
      <c r="A171" s="1">
        <v>45070</v>
      </c>
      <c r="B171" t="s">
        <v>383</v>
      </c>
      <c r="C171" t="s">
        <v>101</v>
      </c>
      <c r="D171" t="s">
        <v>74</v>
      </c>
      <c r="E171" t="s">
        <v>42</v>
      </c>
      <c r="F171">
        <v>5</v>
      </c>
      <c r="G171">
        <v>216.28</v>
      </c>
      <c r="H171" t="s">
        <v>36</v>
      </c>
      <c r="I171" t="s">
        <v>384</v>
      </c>
      <c r="J171" t="s">
        <v>58</v>
      </c>
      <c r="K171" t="s">
        <v>21</v>
      </c>
      <c r="L171" t="s">
        <v>22</v>
      </c>
      <c r="M171" t="s">
        <v>76</v>
      </c>
      <c r="N171">
        <f>Sheet1[[#This Row],[Quantity]]*Sheet1[[#This Row],[UnitPrice]]</f>
        <v>1081.4000000000001</v>
      </c>
    </row>
    <row r="172" spans="1:14" x14ac:dyDescent="0.3">
      <c r="A172" s="1">
        <v>44932</v>
      </c>
      <c r="B172" t="s">
        <v>216</v>
      </c>
      <c r="C172" t="s">
        <v>78</v>
      </c>
      <c r="D172" t="s">
        <v>47</v>
      </c>
      <c r="E172" t="s">
        <v>67</v>
      </c>
      <c r="F172">
        <v>3</v>
      </c>
      <c r="G172">
        <v>395.53</v>
      </c>
      <c r="H172" t="s">
        <v>68</v>
      </c>
      <c r="I172" t="s">
        <v>385</v>
      </c>
      <c r="J172" t="s">
        <v>20</v>
      </c>
      <c r="K172" t="s">
        <v>45</v>
      </c>
      <c r="L172" t="s">
        <v>39</v>
      </c>
      <c r="M172" t="s">
        <v>40</v>
      </c>
      <c r="N172">
        <f>Sheet1[[#This Row],[Quantity]]*Sheet1[[#This Row],[UnitPrice]]</f>
        <v>1186.5899999999999</v>
      </c>
    </row>
    <row r="173" spans="1:14" x14ac:dyDescent="0.3">
      <c r="A173" s="1">
        <v>45508</v>
      </c>
      <c r="B173" t="s">
        <v>105</v>
      </c>
      <c r="C173" t="s">
        <v>78</v>
      </c>
      <c r="D173" t="s">
        <v>74</v>
      </c>
      <c r="E173" t="s">
        <v>17</v>
      </c>
      <c r="F173">
        <v>7</v>
      </c>
      <c r="G173">
        <v>30.8</v>
      </c>
      <c r="H173" t="s">
        <v>18</v>
      </c>
      <c r="I173" t="s">
        <v>386</v>
      </c>
      <c r="J173" t="s">
        <v>38</v>
      </c>
      <c r="K173" t="s">
        <v>59</v>
      </c>
      <c r="L173" t="s">
        <v>39</v>
      </c>
      <c r="M173" t="s">
        <v>61</v>
      </c>
      <c r="N173">
        <f>Sheet1[[#This Row],[Quantity]]*Sheet1[[#This Row],[UnitPrice]]</f>
        <v>215.6</v>
      </c>
    </row>
    <row r="174" spans="1:14" x14ac:dyDescent="0.3">
      <c r="A174" s="1">
        <v>45190</v>
      </c>
      <c r="B174" t="s">
        <v>387</v>
      </c>
      <c r="C174" t="s">
        <v>90</v>
      </c>
      <c r="D174" t="s">
        <v>74</v>
      </c>
      <c r="E174" t="s">
        <v>35</v>
      </c>
      <c r="F174">
        <v>5</v>
      </c>
      <c r="G174">
        <v>181.86</v>
      </c>
      <c r="H174" t="s">
        <v>28</v>
      </c>
      <c r="I174" t="s">
        <v>388</v>
      </c>
      <c r="J174" t="s">
        <v>20</v>
      </c>
      <c r="K174" t="s">
        <v>45</v>
      </c>
      <c r="L174" t="s">
        <v>39</v>
      </c>
      <c r="M174" t="s">
        <v>32</v>
      </c>
      <c r="N174">
        <f>Sheet1[[#This Row],[Quantity]]*Sheet1[[#This Row],[UnitPrice]]</f>
        <v>909.30000000000007</v>
      </c>
    </row>
    <row r="175" spans="1:14" x14ac:dyDescent="0.3">
      <c r="A175" s="1">
        <v>45417</v>
      </c>
      <c r="B175" t="s">
        <v>389</v>
      </c>
      <c r="C175" t="s">
        <v>63</v>
      </c>
      <c r="D175" t="s">
        <v>16</v>
      </c>
      <c r="E175" t="s">
        <v>42</v>
      </c>
      <c r="F175">
        <v>6</v>
      </c>
      <c r="G175">
        <v>113.53</v>
      </c>
      <c r="H175" t="s">
        <v>36</v>
      </c>
      <c r="I175" t="s">
        <v>390</v>
      </c>
      <c r="J175" t="s">
        <v>20</v>
      </c>
      <c r="K175" t="s">
        <v>31</v>
      </c>
      <c r="L175" t="s">
        <v>60</v>
      </c>
      <c r="M175" t="s">
        <v>61</v>
      </c>
      <c r="N175">
        <f>Sheet1[[#This Row],[Quantity]]*Sheet1[[#This Row],[UnitPrice]]</f>
        <v>681.18000000000006</v>
      </c>
    </row>
    <row r="176" spans="1:14" x14ac:dyDescent="0.3">
      <c r="A176" s="1">
        <v>45237</v>
      </c>
      <c r="B176" t="s">
        <v>391</v>
      </c>
      <c r="C176" t="s">
        <v>25</v>
      </c>
      <c r="D176" t="s">
        <v>26</v>
      </c>
      <c r="E176" t="s">
        <v>35</v>
      </c>
      <c r="F176">
        <v>10</v>
      </c>
      <c r="G176">
        <v>215.64</v>
      </c>
      <c r="H176" t="s">
        <v>18</v>
      </c>
      <c r="I176" t="s">
        <v>392</v>
      </c>
      <c r="J176" t="s">
        <v>30</v>
      </c>
      <c r="K176" t="s">
        <v>45</v>
      </c>
      <c r="L176" t="s">
        <v>39</v>
      </c>
      <c r="M176" t="s">
        <v>84</v>
      </c>
      <c r="N176">
        <f>Sheet1[[#This Row],[Quantity]]*Sheet1[[#This Row],[UnitPrice]]</f>
        <v>2156.3999999999996</v>
      </c>
    </row>
    <row r="177" spans="1:14" x14ac:dyDescent="0.3">
      <c r="A177" s="1">
        <v>45258</v>
      </c>
      <c r="B177" t="s">
        <v>393</v>
      </c>
      <c r="C177" t="s">
        <v>51</v>
      </c>
      <c r="D177" t="s">
        <v>26</v>
      </c>
      <c r="E177" t="s">
        <v>42</v>
      </c>
      <c r="F177">
        <v>9</v>
      </c>
      <c r="G177">
        <v>398.75</v>
      </c>
      <c r="H177" t="s">
        <v>28</v>
      </c>
      <c r="I177" t="s">
        <v>394</v>
      </c>
      <c r="J177" t="s">
        <v>20</v>
      </c>
      <c r="K177" t="s">
        <v>21</v>
      </c>
      <c r="L177" t="s">
        <v>39</v>
      </c>
      <c r="M177" t="s">
        <v>84</v>
      </c>
      <c r="N177">
        <f>Sheet1[[#This Row],[Quantity]]*Sheet1[[#This Row],[UnitPrice]]</f>
        <v>3588.75</v>
      </c>
    </row>
    <row r="178" spans="1:14" x14ac:dyDescent="0.3">
      <c r="A178" s="1">
        <v>45487</v>
      </c>
      <c r="B178" t="s">
        <v>395</v>
      </c>
      <c r="C178" t="s">
        <v>56</v>
      </c>
      <c r="D178" t="s">
        <v>74</v>
      </c>
      <c r="E178" t="s">
        <v>52</v>
      </c>
      <c r="F178">
        <v>7</v>
      </c>
      <c r="G178">
        <v>148.13999999999999</v>
      </c>
      <c r="H178" t="s">
        <v>18</v>
      </c>
      <c r="I178" t="s">
        <v>396</v>
      </c>
      <c r="J178" t="s">
        <v>38</v>
      </c>
      <c r="K178" t="s">
        <v>31</v>
      </c>
      <c r="L178" t="s">
        <v>22</v>
      </c>
      <c r="M178" t="s">
        <v>61</v>
      </c>
      <c r="N178">
        <f>Sheet1[[#This Row],[Quantity]]*Sheet1[[#This Row],[UnitPrice]]</f>
        <v>1036.98</v>
      </c>
    </row>
    <row r="179" spans="1:14" x14ac:dyDescent="0.3">
      <c r="A179" s="1">
        <v>44965</v>
      </c>
      <c r="B179" t="s">
        <v>397</v>
      </c>
      <c r="C179" t="s">
        <v>101</v>
      </c>
      <c r="D179" t="s">
        <v>26</v>
      </c>
      <c r="E179" t="s">
        <v>27</v>
      </c>
      <c r="F179">
        <v>7</v>
      </c>
      <c r="G179">
        <v>258.69</v>
      </c>
      <c r="H179" t="s">
        <v>68</v>
      </c>
      <c r="I179" t="s">
        <v>398</v>
      </c>
      <c r="J179" t="s">
        <v>30</v>
      </c>
      <c r="K179" t="s">
        <v>45</v>
      </c>
      <c r="L179" t="s">
        <v>22</v>
      </c>
      <c r="M179" t="s">
        <v>76</v>
      </c>
      <c r="N179">
        <f>Sheet1[[#This Row],[Quantity]]*Sheet1[[#This Row],[UnitPrice]]</f>
        <v>1810.83</v>
      </c>
    </row>
    <row r="180" spans="1:14" x14ac:dyDescent="0.3">
      <c r="A180" s="1">
        <v>45125</v>
      </c>
      <c r="B180" t="s">
        <v>399</v>
      </c>
      <c r="C180" t="s">
        <v>56</v>
      </c>
      <c r="D180" t="s">
        <v>74</v>
      </c>
      <c r="E180" t="s">
        <v>42</v>
      </c>
      <c r="F180">
        <v>7</v>
      </c>
      <c r="G180">
        <v>114.76</v>
      </c>
      <c r="H180" t="s">
        <v>18</v>
      </c>
      <c r="I180" t="s">
        <v>400</v>
      </c>
      <c r="J180" t="s">
        <v>20</v>
      </c>
      <c r="K180" t="s">
        <v>59</v>
      </c>
      <c r="L180" t="s">
        <v>60</v>
      </c>
      <c r="M180" t="s">
        <v>84</v>
      </c>
      <c r="N180">
        <f>Sheet1[[#This Row],[Quantity]]*Sheet1[[#This Row],[UnitPrice]]</f>
        <v>803.32</v>
      </c>
    </row>
    <row r="181" spans="1:14" x14ac:dyDescent="0.3">
      <c r="A181" s="1">
        <v>45073</v>
      </c>
      <c r="B181" t="s">
        <v>401</v>
      </c>
      <c r="C181" t="s">
        <v>51</v>
      </c>
      <c r="D181" t="s">
        <v>47</v>
      </c>
      <c r="E181" t="s">
        <v>67</v>
      </c>
      <c r="F181">
        <v>3</v>
      </c>
      <c r="G181">
        <v>58.45</v>
      </c>
      <c r="H181" t="s">
        <v>53</v>
      </c>
      <c r="I181" t="s">
        <v>402</v>
      </c>
      <c r="J181" t="s">
        <v>44</v>
      </c>
      <c r="K181" t="s">
        <v>21</v>
      </c>
      <c r="L181" t="s">
        <v>22</v>
      </c>
      <c r="M181" t="s">
        <v>23</v>
      </c>
      <c r="N181">
        <f>Sheet1[[#This Row],[Quantity]]*Sheet1[[#This Row],[UnitPrice]]</f>
        <v>175.35000000000002</v>
      </c>
    </row>
    <row r="182" spans="1:14" x14ac:dyDescent="0.3">
      <c r="A182" s="1">
        <v>45061</v>
      </c>
      <c r="B182" t="s">
        <v>403</v>
      </c>
      <c r="C182" t="s">
        <v>78</v>
      </c>
      <c r="D182" t="s">
        <v>16</v>
      </c>
      <c r="E182" t="s">
        <v>42</v>
      </c>
      <c r="F182">
        <v>10</v>
      </c>
      <c r="G182">
        <v>238.87</v>
      </c>
      <c r="H182" t="s">
        <v>18</v>
      </c>
      <c r="I182" t="s">
        <v>404</v>
      </c>
      <c r="J182" t="s">
        <v>44</v>
      </c>
      <c r="K182" t="s">
        <v>59</v>
      </c>
      <c r="L182" t="s">
        <v>39</v>
      </c>
      <c r="M182" t="s">
        <v>49</v>
      </c>
      <c r="N182">
        <f>Sheet1[[#This Row],[Quantity]]*Sheet1[[#This Row],[UnitPrice]]</f>
        <v>2388.6999999999998</v>
      </c>
    </row>
    <row r="183" spans="1:14" x14ac:dyDescent="0.3">
      <c r="A183" s="1">
        <v>45824</v>
      </c>
      <c r="B183" t="s">
        <v>164</v>
      </c>
      <c r="C183" t="s">
        <v>73</v>
      </c>
      <c r="D183" t="s">
        <v>16</v>
      </c>
      <c r="E183" t="s">
        <v>52</v>
      </c>
      <c r="F183">
        <v>9</v>
      </c>
      <c r="G183">
        <v>222.61</v>
      </c>
      <c r="H183" t="s">
        <v>36</v>
      </c>
      <c r="I183" t="s">
        <v>405</v>
      </c>
      <c r="J183" t="s">
        <v>30</v>
      </c>
      <c r="K183" t="s">
        <v>59</v>
      </c>
      <c r="L183" t="s">
        <v>39</v>
      </c>
      <c r="M183" t="s">
        <v>49</v>
      </c>
      <c r="N183">
        <f>Sheet1[[#This Row],[Quantity]]*Sheet1[[#This Row],[UnitPrice]]</f>
        <v>2003.4900000000002</v>
      </c>
    </row>
    <row r="184" spans="1:14" x14ac:dyDescent="0.3">
      <c r="A184" s="1">
        <v>45594</v>
      </c>
      <c r="B184" t="s">
        <v>406</v>
      </c>
      <c r="C184" t="s">
        <v>73</v>
      </c>
      <c r="D184" t="s">
        <v>74</v>
      </c>
      <c r="E184" t="s">
        <v>27</v>
      </c>
      <c r="F184">
        <v>6</v>
      </c>
      <c r="G184">
        <v>154.88999999999999</v>
      </c>
      <c r="H184" t="s">
        <v>18</v>
      </c>
      <c r="I184" t="s">
        <v>407</v>
      </c>
      <c r="J184" t="s">
        <v>58</v>
      </c>
      <c r="K184" t="s">
        <v>21</v>
      </c>
      <c r="L184" t="s">
        <v>60</v>
      </c>
      <c r="M184" t="s">
        <v>84</v>
      </c>
      <c r="N184">
        <f>Sheet1[[#This Row],[Quantity]]*Sheet1[[#This Row],[UnitPrice]]</f>
        <v>929.33999999999992</v>
      </c>
    </row>
    <row r="185" spans="1:14" x14ac:dyDescent="0.3">
      <c r="A185" s="1">
        <v>45296</v>
      </c>
      <c r="B185" t="s">
        <v>408</v>
      </c>
      <c r="C185" t="s">
        <v>63</v>
      </c>
      <c r="D185" t="s">
        <v>16</v>
      </c>
      <c r="E185" t="s">
        <v>35</v>
      </c>
      <c r="F185">
        <v>6</v>
      </c>
      <c r="G185">
        <v>397.85</v>
      </c>
      <c r="H185" t="s">
        <v>36</v>
      </c>
      <c r="I185" t="s">
        <v>409</v>
      </c>
      <c r="J185" t="s">
        <v>20</v>
      </c>
      <c r="K185" t="s">
        <v>31</v>
      </c>
      <c r="L185" t="s">
        <v>22</v>
      </c>
      <c r="M185" t="s">
        <v>40</v>
      </c>
      <c r="N185">
        <f>Sheet1[[#This Row],[Quantity]]*Sheet1[[#This Row],[UnitPrice]]</f>
        <v>2387.1000000000004</v>
      </c>
    </row>
    <row r="186" spans="1:14" x14ac:dyDescent="0.3">
      <c r="A186" s="1">
        <v>45021</v>
      </c>
      <c r="B186" t="s">
        <v>410</v>
      </c>
      <c r="C186" t="s">
        <v>73</v>
      </c>
      <c r="D186" t="s">
        <v>47</v>
      </c>
      <c r="E186" t="s">
        <v>17</v>
      </c>
      <c r="F186">
        <v>10</v>
      </c>
      <c r="G186">
        <v>12.93</v>
      </c>
      <c r="H186" t="s">
        <v>68</v>
      </c>
      <c r="I186" t="s">
        <v>411</v>
      </c>
      <c r="J186" t="s">
        <v>20</v>
      </c>
      <c r="K186" t="s">
        <v>21</v>
      </c>
      <c r="L186" t="s">
        <v>22</v>
      </c>
      <c r="M186" t="s">
        <v>76</v>
      </c>
      <c r="N186">
        <f>Sheet1[[#This Row],[Quantity]]*Sheet1[[#This Row],[UnitPrice]]</f>
        <v>129.30000000000001</v>
      </c>
    </row>
    <row r="187" spans="1:14" x14ac:dyDescent="0.3">
      <c r="A187" s="1">
        <v>44940</v>
      </c>
      <c r="B187" t="s">
        <v>412</v>
      </c>
      <c r="C187" t="s">
        <v>63</v>
      </c>
      <c r="D187" t="s">
        <v>74</v>
      </c>
      <c r="E187" t="s">
        <v>17</v>
      </c>
      <c r="F187">
        <v>2</v>
      </c>
      <c r="G187">
        <v>223.23</v>
      </c>
      <c r="H187" t="s">
        <v>36</v>
      </c>
      <c r="I187" t="s">
        <v>413</v>
      </c>
      <c r="J187" t="s">
        <v>38</v>
      </c>
      <c r="K187" t="s">
        <v>21</v>
      </c>
      <c r="L187" t="s">
        <v>39</v>
      </c>
      <c r="M187" t="s">
        <v>23</v>
      </c>
      <c r="N187">
        <f>Sheet1[[#This Row],[Quantity]]*Sheet1[[#This Row],[UnitPrice]]</f>
        <v>446.46</v>
      </c>
    </row>
    <row r="188" spans="1:14" x14ac:dyDescent="0.3">
      <c r="A188" s="1">
        <v>45095</v>
      </c>
      <c r="B188" t="s">
        <v>87</v>
      </c>
      <c r="C188" t="s">
        <v>15</v>
      </c>
      <c r="D188" t="s">
        <v>74</v>
      </c>
      <c r="E188" t="s">
        <v>52</v>
      </c>
      <c r="F188">
        <v>6</v>
      </c>
      <c r="G188">
        <v>218.42</v>
      </c>
      <c r="H188" t="s">
        <v>18</v>
      </c>
      <c r="I188" t="s">
        <v>414</v>
      </c>
      <c r="J188" t="s">
        <v>20</v>
      </c>
      <c r="K188" t="s">
        <v>21</v>
      </c>
      <c r="L188" t="s">
        <v>39</v>
      </c>
      <c r="M188" t="s">
        <v>61</v>
      </c>
      <c r="N188">
        <f>Sheet1[[#This Row],[Quantity]]*Sheet1[[#This Row],[UnitPrice]]</f>
        <v>1310.52</v>
      </c>
    </row>
    <row r="189" spans="1:14" x14ac:dyDescent="0.3">
      <c r="A189" s="1">
        <v>45659</v>
      </c>
      <c r="B189" t="s">
        <v>393</v>
      </c>
      <c r="C189" t="s">
        <v>78</v>
      </c>
      <c r="D189" t="s">
        <v>26</v>
      </c>
      <c r="E189" t="s">
        <v>27</v>
      </c>
      <c r="F189">
        <v>6</v>
      </c>
      <c r="G189">
        <v>250.83</v>
      </c>
      <c r="H189" t="s">
        <v>68</v>
      </c>
      <c r="I189" t="s">
        <v>415</v>
      </c>
      <c r="J189" t="s">
        <v>38</v>
      </c>
      <c r="K189" t="s">
        <v>59</v>
      </c>
      <c r="L189" t="s">
        <v>39</v>
      </c>
      <c r="M189" t="s">
        <v>32</v>
      </c>
      <c r="N189">
        <f>Sheet1[[#This Row],[Quantity]]*Sheet1[[#This Row],[UnitPrice]]</f>
        <v>1504.98</v>
      </c>
    </row>
    <row r="190" spans="1:14" x14ac:dyDescent="0.3">
      <c r="A190" s="1">
        <v>45760</v>
      </c>
      <c r="B190" t="s">
        <v>416</v>
      </c>
      <c r="C190" t="s">
        <v>15</v>
      </c>
      <c r="D190" t="s">
        <v>47</v>
      </c>
      <c r="E190" t="s">
        <v>42</v>
      </c>
      <c r="F190">
        <v>5</v>
      </c>
      <c r="G190">
        <v>207.59</v>
      </c>
      <c r="H190" t="s">
        <v>18</v>
      </c>
      <c r="I190" t="s">
        <v>417</v>
      </c>
      <c r="J190" t="s">
        <v>58</v>
      </c>
      <c r="K190" t="s">
        <v>45</v>
      </c>
      <c r="L190" t="s">
        <v>60</v>
      </c>
      <c r="M190" t="s">
        <v>61</v>
      </c>
      <c r="N190">
        <f>Sheet1[[#This Row],[Quantity]]*Sheet1[[#This Row],[UnitPrice]]</f>
        <v>1037.95</v>
      </c>
    </row>
    <row r="191" spans="1:14" x14ac:dyDescent="0.3">
      <c r="A191" s="1">
        <v>45752</v>
      </c>
      <c r="B191" t="s">
        <v>418</v>
      </c>
      <c r="C191" t="s">
        <v>90</v>
      </c>
      <c r="D191" t="s">
        <v>26</v>
      </c>
      <c r="E191" t="s">
        <v>42</v>
      </c>
      <c r="F191">
        <v>3</v>
      </c>
      <c r="G191">
        <v>79.33</v>
      </c>
      <c r="H191" t="s">
        <v>68</v>
      </c>
      <c r="I191" t="s">
        <v>419</v>
      </c>
      <c r="J191" t="s">
        <v>30</v>
      </c>
      <c r="K191" t="s">
        <v>45</v>
      </c>
      <c r="L191" t="s">
        <v>60</v>
      </c>
      <c r="M191" t="s">
        <v>23</v>
      </c>
      <c r="N191">
        <f>Sheet1[[#This Row],[Quantity]]*Sheet1[[#This Row],[UnitPrice]]</f>
        <v>237.99</v>
      </c>
    </row>
    <row r="192" spans="1:14" x14ac:dyDescent="0.3">
      <c r="A192" s="1">
        <v>45009</v>
      </c>
      <c r="B192" t="s">
        <v>420</v>
      </c>
      <c r="C192" t="s">
        <v>90</v>
      </c>
      <c r="D192" t="s">
        <v>26</v>
      </c>
      <c r="E192" t="s">
        <v>42</v>
      </c>
      <c r="F192">
        <v>6</v>
      </c>
      <c r="G192">
        <v>75.73</v>
      </c>
      <c r="H192" t="s">
        <v>18</v>
      </c>
      <c r="I192" t="s">
        <v>421</v>
      </c>
      <c r="J192" t="s">
        <v>20</v>
      </c>
      <c r="K192" t="s">
        <v>31</v>
      </c>
      <c r="L192" t="s">
        <v>60</v>
      </c>
      <c r="M192" t="s">
        <v>40</v>
      </c>
      <c r="N192">
        <f>Sheet1[[#This Row],[Quantity]]*Sheet1[[#This Row],[UnitPrice]]</f>
        <v>454.38</v>
      </c>
    </row>
    <row r="193" spans="1:14" x14ac:dyDescent="0.3">
      <c r="A193" s="1">
        <v>45504</v>
      </c>
      <c r="B193" t="s">
        <v>422</v>
      </c>
      <c r="C193" t="s">
        <v>101</v>
      </c>
      <c r="D193" t="s">
        <v>47</v>
      </c>
      <c r="E193" t="s">
        <v>64</v>
      </c>
      <c r="F193">
        <v>3</v>
      </c>
      <c r="G193">
        <v>198.77</v>
      </c>
      <c r="H193" t="s">
        <v>36</v>
      </c>
      <c r="I193" t="s">
        <v>423</v>
      </c>
      <c r="J193" t="s">
        <v>30</v>
      </c>
      <c r="K193" t="s">
        <v>59</v>
      </c>
      <c r="L193" t="s">
        <v>39</v>
      </c>
      <c r="M193" t="s">
        <v>76</v>
      </c>
      <c r="N193">
        <f>Sheet1[[#This Row],[Quantity]]*Sheet1[[#This Row],[UnitPrice]]</f>
        <v>596.31000000000006</v>
      </c>
    </row>
    <row r="194" spans="1:14" x14ac:dyDescent="0.3">
      <c r="A194" s="1">
        <v>45356</v>
      </c>
      <c r="B194" t="s">
        <v>424</v>
      </c>
      <c r="C194" t="s">
        <v>90</v>
      </c>
      <c r="D194" t="s">
        <v>74</v>
      </c>
      <c r="E194" t="s">
        <v>52</v>
      </c>
      <c r="F194">
        <v>8</v>
      </c>
      <c r="G194">
        <v>368.51</v>
      </c>
      <c r="H194" t="s">
        <v>68</v>
      </c>
      <c r="I194" t="s">
        <v>425</v>
      </c>
      <c r="J194" t="s">
        <v>30</v>
      </c>
      <c r="K194" t="s">
        <v>59</v>
      </c>
      <c r="L194" t="s">
        <v>39</v>
      </c>
      <c r="M194" t="s">
        <v>84</v>
      </c>
      <c r="N194">
        <f>Sheet1[[#This Row],[Quantity]]*Sheet1[[#This Row],[UnitPrice]]</f>
        <v>2948.08</v>
      </c>
    </row>
    <row r="195" spans="1:14" x14ac:dyDescent="0.3">
      <c r="A195" s="1">
        <v>44996</v>
      </c>
      <c r="B195" t="s">
        <v>127</v>
      </c>
      <c r="C195" t="s">
        <v>51</v>
      </c>
      <c r="D195" t="s">
        <v>74</v>
      </c>
      <c r="E195" t="s">
        <v>17</v>
      </c>
      <c r="F195">
        <v>3</v>
      </c>
      <c r="G195">
        <v>280.12</v>
      </c>
      <c r="H195" t="s">
        <v>53</v>
      </c>
      <c r="I195" t="s">
        <v>426</v>
      </c>
      <c r="J195" t="s">
        <v>58</v>
      </c>
      <c r="K195" t="s">
        <v>21</v>
      </c>
      <c r="L195" t="s">
        <v>39</v>
      </c>
      <c r="M195" t="s">
        <v>23</v>
      </c>
      <c r="N195">
        <f>Sheet1[[#This Row],[Quantity]]*Sheet1[[#This Row],[UnitPrice]]</f>
        <v>840.36</v>
      </c>
    </row>
    <row r="196" spans="1:14" x14ac:dyDescent="0.3">
      <c r="A196" s="1">
        <v>45231</v>
      </c>
      <c r="B196" t="s">
        <v>427</v>
      </c>
      <c r="C196" t="s">
        <v>34</v>
      </c>
      <c r="D196" t="s">
        <v>16</v>
      </c>
      <c r="E196" t="s">
        <v>67</v>
      </c>
      <c r="F196">
        <v>10</v>
      </c>
      <c r="G196">
        <v>258.27</v>
      </c>
      <c r="H196" t="s">
        <v>18</v>
      </c>
      <c r="I196" t="s">
        <v>428</v>
      </c>
      <c r="J196" t="s">
        <v>20</v>
      </c>
      <c r="K196" t="s">
        <v>59</v>
      </c>
      <c r="L196" t="s">
        <v>39</v>
      </c>
      <c r="M196" t="s">
        <v>76</v>
      </c>
      <c r="N196">
        <f>Sheet1[[#This Row],[Quantity]]*Sheet1[[#This Row],[UnitPrice]]</f>
        <v>2582.6999999999998</v>
      </c>
    </row>
    <row r="197" spans="1:14" x14ac:dyDescent="0.3">
      <c r="A197" s="1">
        <v>45249</v>
      </c>
      <c r="B197" t="s">
        <v>429</v>
      </c>
      <c r="C197" t="s">
        <v>56</v>
      </c>
      <c r="D197" t="s">
        <v>16</v>
      </c>
      <c r="E197" t="s">
        <v>35</v>
      </c>
      <c r="F197">
        <v>4</v>
      </c>
      <c r="G197">
        <v>208.83</v>
      </c>
      <c r="H197" t="s">
        <v>28</v>
      </c>
      <c r="I197" t="s">
        <v>430</v>
      </c>
      <c r="J197" t="s">
        <v>30</v>
      </c>
      <c r="K197" t="s">
        <v>59</v>
      </c>
      <c r="L197" t="s">
        <v>60</v>
      </c>
      <c r="M197" t="s">
        <v>61</v>
      </c>
      <c r="N197">
        <f>Sheet1[[#This Row],[Quantity]]*Sheet1[[#This Row],[UnitPrice]]</f>
        <v>835.32</v>
      </c>
    </row>
    <row r="198" spans="1:14" x14ac:dyDescent="0.3">
      <c r="A198" s="1">
        <v>45499</v>
      </c>
      <c r="B198" t="s">
        <v>431</v>
      </c>
      <c r="C198" t="s">
        <v>73</v>
      </c>
      <c r="D198" t="s">
        <v>16</v>
      </c>
      <c r="E198" t="s">
        <v>64</v>
      </c>
      <c r="F198">
        <v>7</v>
      </c>
      <c r="G198">
        <v>109.79</v>
      </c>
      <c r="H198" t="s">
        <v>36</v>
      </c>
      <c r="I198" t="s">
        <v>432</v>
      </c>
      <c r="J198" t="s">
        <v>38</v>
      </c>
      <c r="K198" t="s">
        <v>59</v>
      </c>
      <c r="L198" t="s">
        <v>22</v>
      </c>
      <c r="M198" t="s">
        <v>40</v>
      </c>
      <c r="N198">
        <f>Sheet1[[#This Row],[Quantity]]*Sheet1[[#This Row],[UnitPrice]]</f>
        <v>768.53000000000009</v>
      </c>
    </row>
    <row r="199" spans="1:14" x14ac:dyDescent="0.3">
      <c r="A199" s="1">
        <v>45370</v>
      </c>
      <c r="B199" t="s">
        <v>433</v>
      </c>
      <c r="C199" t="s">
        <v>90</v>
      </c>
      <c r="D199" t="s">
        <v>16</v>
      </c>
      <c r="E199" t="s">
        <v>42</v>
      </c>
      <c r="F199">
        <v>6</v>
      </c>
      <c r="G199">
        <v>285.26</v>
      </c>
      <c r="H199" t="s">
        <v>68</v>
      </c>
      <c r="I199" t="s">
        <v>434</v>
      </c>
      <c r="J199" t="s">
        <v>30</v>
      </c>
      <c r="K199" t="s">
        <v>31</v>
      </c>
      <c r="L199" t="s">
        <v>22</v>
      </c>
      <c r="M199" t="s">
        <v>84</v>
      </c>
      <c r="N199">
        <f>Sheet1[[#This Row],[Quantity]]*Sheet1[[#This Row],[UnitPrice]]</f>
        <v>1711.56</v>
      </c>
    </row>
    <row r="200" spans="1:14" x14ac:dyDescent="0.3">
      <c r="A200" s="1">
        <v>45069</v>
      </c>
      <c r="B200" t="s">
        <v>194</v>
      </c>
      <c r="C200" t="s">
        <v>78</v>
      </c>
      <c r="D200" t="s">
        <v>26</v>
      </c>
      <c r="E200" t="s">
        <v>42</v>
      </c>
      <c r="F200">
        <v>6</v>
      </c>
      <c r="G200">
        <v>393.87</v>
      </c>
      <c r="H200" t="s">
        <v>68</v>
      </c>
      <c r="I200" t="s">
        <v>435</v>
      </c>
      <c r="J200" t="s">
        <v>20</v>
      </c>
      <c r="K200" t="s">
        <v>31</v>
      </c>
      <c r="L200" t="s">
        <v>39</v>
      </c>
      <c r="M200" t="s">
        <v>84</v>
      </c>
      <c r="N200">
        <f>Sheet1[[#This Row],[Quantity]]*Sheet1[[#This Row],[UnitPrice]]</f>
        <v>2363.2200000000003</v>
      </c>
    </row>
    <row r="201" spans="1:14" x14ac:dyDescent="0.3">
      <c r="A201" s="1">
        <v>45539</v>
      </c>
      <c r="B201" t="s">
        <v>436</v>
      </c>
      <c r="C201" t="s">
        <v>73</v>
      </c>
      <c r="D201" t="s">
        <v>16</v>
      </c>
      <c r="E201" t="s">
        <v>35</v>
      </c>
      <c r="F201">
        <v>7</v>
      </c>
      <c r="G201">
        <v>373.31</v>
      </c>
      <c r="H201" t="s">
        <v>28</v>
      </c>
      <c r="I201" t="s">
        <v>437</v>
      </c>
      <c r="J201" t="s">
        <v>30</v>
      </c>
      <c r="K201" t="s">
        <v>59</v>
      </c>
      <c r="L201" t="s">
        <v>39</v>
      </c>
      <c r="M201" t="s">
        <v>76</v>
      </c>
      <c r="N201">
        <f>Sheet1[[#This Row],[Quantity]]*Sheet1[[#This Row],[UnitPrice]]</f>
        <v>2613.17</v>
      </c>
    </row>
    <row r="202" spans="1:14" x14ac:dyDescent="0.3">
      <c r="A202" s="1">
        <v>45102</v>
      </c>
      <c r="B202" t="s">
        <v>438</v>
      </c>
      <c r="C202" t="s">
        <v>25</v>
      </c>
      <c r="D202" t="s">
        <v>26</v>
      </c>
      <c r="E202" t="s">
        <v>35</v>
      </c>
      <c r="F202">
        <v>8</v>
      </c>
      <c r="G202">
        <v>27.43</v>
      </c>
      <c r="H202" t="s">
        <v>36</v>
      </c>
      <c r="I202" t="s">
        <v>439</v>
      </c>
      <c r="J202" t="s">
        <v>58</v>
      </c>
      <c r="K202" t="s">
        <v>21</v>
      </c>
      <c r="L202" t="s">
        <v>39</v>
      </c>
      <c r="M202" t="s">
        <v>61</v>
      </c>
      <c r="N202">
        <f>Sheet1[[#This Row],[Quantity]]*Sheet1[[#This Row],[UnitPrice]]</f>
        <v>219.44</v>
      </c>
    </row>
    <row r="203" spans="1:14" x14ac:dyDescent="0.3">
      <c r="A203" s="1">
        <v>45071</v>
      </c>
      <c r="B203" t="s">
        <v>440</v>
      </c>
      <c r="C203" t="s">
        <v>56</v>
      </c>
      <c r="D203" t="s">
        <v>47</v>
      </c>
      <c r="E203" t="s">
        <v>27</v>
      </c>
      <c r="F203">
        <v>5</v>
      </c>
      <c r="G203">
        <v>320.56</v>
      </c>
      <c r="H203" t="s">
        <v>53</v>
      </c>
      <c r="I203" t="s">
        <v>441</v>
      </c>
      <c r="J203" t="s">
        <v>58</v>
      </c>
      <c r="K203" t="s">
        <v>59</v>
      </c>
      <c r="L203" t="s">
        <v>39</v>
      </c>
      <c r="M203" t="s">
        <v>32</v>
      </c>
      <c r="N203">
        <f>Sheet1[[#This Row],[Quantity]]*Sheet1[[#This Row],[UnitPrice]]</f>
        <v>1602.8</v>
      </c>
    </row>
    <row r="204" spans="1:14" x14ac:dyDescent="0.3">
      <c r="A204" s="1">
        <v>45032</v>
      </c>
      <c r="B204" t="s">
        <v>442</v>
      </c>
      <c r="C204" t="s">
        <v>101</v>
      </c>
      <c r="D204" t="s">
        <v>26</v>
      </c>
      <c r="E204" t="s">
        <v>67</v>
      </c>
      <c r="F204">
        <v>8</v>
      </c>
      <c r="G204">
        <v>347.37</v>
      </c>
      <c r="H204" t="s">
        <v>18</v>
      </c>
      <c r="I204" t="s">
        <v>443</v>
      </c>
      <c r="J204" t="s">
        <v>44</v>
      </c>
      <c r="K204" t="s">
        <v>59</v>
      </c>
      <c r="L204" t="s">
        <v>22</v>
      </c>
      <c r="M204" t="s">
        <v>61</v>
      </c>
      <c r="N204">
        <f>Sheet1[[#This Row],[Quantity]]*Sheet1[[#This Row],[UnitPrice]]</f>
        <v>2778.96</v>
      </c>
    </row>
    <row r="205" spans="1:14" x14ac:dyDescent="0.3">
      <c r="A205" s="1">
        <v>44977</v>
      </c>
      <c r="B205" t="s">
        <v>444</v>
      </c>
      <c r="C205" t="s">
        <v>51</v>
      </c>
      <c r="D205" t="s">
        <v>26</v>
      </c>
      <c r="E205" t="s">
        <v>42</v>
      </c>
      <c r="F205">
        <v>6</v>
      </c>
      <c r="G205">
        <v>201.85</v>
      </c>
      <c r="H205" t="s">
        <v>28</v>
      </c>
      <c r="I205" t="s">
        <v>445</v>
      </c>
      <c r="J205" t="s">
        <v>58</v>
      </c>
      <c r="K205" t="s">
        <v>45</v>
      </c>
      <c r="L205" t="s">
        <v>22</v>
      </c>
      <c r="M205" t="s">
        <v>49</v>
      </c>
      <c r="N205">
        <f>Sheet1[[#This Row],[Quantity]]*Sheet1[[#This Row],[UnitPrice]]</f>
        <v>1211.0999999999999</v>
      </c>
    </row>
    <row r="206" spans="1:14" x14ac:dyDescent="0.3">
      <c r="A206" s="1">
        <v>45732</v>
      </c>
      <c r="B206" t="s">
        <v>446</v>
      </c>
      <c r="C206" t="s">
        <v>101</v>
      </c>
      <c r="D206" t="s">
        <v>47</v>
      </c>
      <c r="E206" t="s">
        <v>17</v>
      </c>
      <c r="F206">
        <v>8</v>
      </c>
      <c r="G206">
        <v>28.73</v>
      </c>
      <c r="H206" t="s">
        <v>36</v>
      </c>
      <c r="I206" t="s">
        <v>447</v>
      </c>
      <c r="J206" t="s">
        <v>44</v>
      </c>
      <c r="K206" t="s">
        <v>31</v>
      </c>
      <c r="L206" t="s">
        <v>22</v>
      </c>
      <c r="M206" t="s">
        <v>61</v>
      </c>
      <c r="N206">
        <f>Sheet1[[#This Row],[Quantity]]*Sheet1[[#This Row],[UnitPrice]]</f>
        <v>229.84</v>
      </c>
    </row>
    <row r="207" spans="1:14" x14ac:dyDescent="0.3">
      <c r="A207" s="1">
        <v>44959</v>
      </c>
      <c r="B207" t="s">
        <v>448</v>
      </c>
      <c r="C207" t="s">
        <v>73</v>
      </c>
      <c r="D207" t="s">
        <v>74</v>
      </c>
      <c r="E207" t="s">
        <v>27</v>
      </c>
      <c r="F207">
        <v>2</v>
      </c>
      <c r="G207">
        <v>195.86</v>
      </c>
      <c r="H207" t="s">
        <v>53</v>
      </c>
      <c r="I207" t="s">
        <v>449</v>
      </c>
      <c r="J207" t="s">
        <v>30</v>
      </c>
      <c r="K207" t="s">
        <v>45</v>
      </c>
      <c r="L207" t="s">
        <v>39</v>
      </c>
      <c r="M207" t="s">
        <v>32</v>
      </c>
      <c r="N207">
        <f>Sheet1[[#This Row],[Quantity]]*Sheet1[[#This Row],[UnitPrice]]</f>
        <v>391.72</v>
      </c>
    </row>
    <row r="208" spans="1:14" x14ac:dyDescent="0.3">
      <c r="A208" s="1">
        <v>45438</v>
      </c>
      <c r="B208" t="s">
        <v>450</v>
      </c>
      <c r="C208" t="s">
        <v>78</v>
      </c>
      <c r="D208" t="s">
        <v>47</v>
      </c>
      <c r="E208" t="s">
        <v>64</v>
      </c>
      <c r="F208">
        <v>9</v>
      </c>
      <c r="G208">
        <v>362.87</v>
      </c>
      <c r="H208" t="s">
        <v>36</v>
      </c>
      <c r="I208" t="s">
        <v>451</v>
      </c>
      <c r="J208" t="s">
        <v>30</v>
      </c>
      <c r="K208" t="s">
        <v>59</v>
      </c>
      <c r="L208" t="s">
        <v>39</v>
      </c>
      <c r="M208" t="s">
        <v>61</v>
      </c>
      <c r="N208">
        <f>Sheet1[[#This Row],[Quantity]]*Sheet1[[#This Row],[UnitPrice]]</f>
        <v>3265.83</v>
      </c>
    </row>
    <row r="209" spans="1:14" x14ac:dyDescent="0.3">
      <c r="A209" s="1">
        <v>45374</v>
      </c>
      <c r="B209" t="s">
        <v>452</v>
      </c>
      <c r="C209" t="s">
        <v>51</v>
      </c>
      <c r="D209" t="s">
        <v>26</v>
      </c>
      <c r="E209" t="s">
        <v>27</v>
      </c>
      <c r="F209">
        <v>9</v>
      </c>
      <c r="G209">
        <v>80.34</v>
      </c>
      <c r="H209" t="s">
        <v>36</v>
      </c>
      <c r="I209" t="s">
        <v>453</v>
      </c>
      <c r="J209" t="s">
        <v>20</v>
      </c>
      <c r="K209" t="s">
        <v>59</v>
      </c>
      <c r="L209" t="s">
        <v>39</v>
      </c>
      <c r="M209" t="s">
        <v>23</v>
      </c>
      <c r="N209">
        <f>Sheet1[[#This Row],[Quantity]]*Sheet1[[#This Row],[UnitPrice]]</f>
        <v>723.06000000000006</v>
      </c>
    </row>
    <row r="210" spans="1:14" x14ac:dyDescent="0.3">
      <c r="A210" s="1">
        <v>45017</v>
      </c>
      <c r="B210" t="s">
        <v>454</v>
      </c>
      <c r="C210" t="s">
        <v>51</v>
      </c>
      <c r="D210" t="s">
        <v>16</v>
      </c>
      <c r="E210" t="s">
        <v>42</v>
      </c>
      <c r="F210">
        <v>5</v>
      </c>
      <c r="G210">
        <v>363.82</v>
      </c>
      <c r="H210" t="s">
        <v>53</v>
      </c>
      <c r="I210" t="s">
        <v>455</v>
      </c>
      <c r="J210" t="s">
        <v>58</v>
      </c>
      <c r="K210" t="s">
        <v>21</v>
      </c>
      <c r="L210" t="s">
        <v>39</v>
      </c>
      <c r="M210" t="s">
        <v>23</v>
      </c>
      <c r="N210">
        <f>Sheet1[[#This Row],[Quantity]]*Sheet1[[#This Row],[UnitPrice]]</f>
        <v>1819.1</v>
      </c>
    </row>
    <row r="211" spans="1:14" x14ac:dyDescent="0.3">
      <c r="A211" s="1">
        <v>45520</v>
      </c>
      <c r="B211" t="s">
        <v>456</v>
      </c>
      <c r="C211" t="s">
        <v>56</v>
      </c>
      <c r="D211" t="s">
        <v>26</v>
      </c>
      <c r="E211" t="s">
        <v>52</v>
      </c>
      <c r="F211">
        <v>9</v>
      </c>
      <c r="G211">
        <v>33.81</v>
      </c>
      <c r="H211" t="s">
        <v>36</v>
      </c>
      <c r="I211" t="s">
        <v>457</v>
      </c>
      <c r="J211" t="s">
        <v>20</v>
      </c>
      <c r="K211" t="s">
        <v>45</v>
      </c>
      <c r="L211" t="s">
        <v>39</v>
      </c>
      <c r="M211" t="s">
        <v>40</v>
      </c>
      <c r="N211">
        <f>Sheet1[[#This Row],[Quantity]]*Sheet1[[#This Row],[UnitPrice]]</f>
        <v>304.29000000000002</v>
      </c>
    </row>
    <row r="212" spans="1:14" x14ac:dyDescent="0.3">
      <c r="A212" s="1">
        <v>45585</v>
      </c>
      <c r="B212" t="s">
        <v>105</v>
      </c>
      <c r="C212" t="s">
        <v>63</v>
      </c>
      <c r="D212" t="s">
        <v>47</v>
      </c>
      <c r="E212" t="s">
        <v>52</v>
      </c>
      <c r="F212">
        <v>1</v>
      </c>
      <c r="G212">
        <v>72.67</v>
      </c>
      <c r="H212" t="s">
        <v>68</v>
      </c>
      <c r="I212" t="s">
        <v>458</v>
      </c>
      <c r="J212" t="s">
        <v>58</v>
      </c>
      <c r="K212" t="s">
        <v>59</v>
      </c>
      <c r="L212" t="s">
        <v>39</v>
      </c>
      <c r="M212" t="s">
        <v>61</v>
      </c>
      <c r="N212">
        <f>Sheet1[[#This Row],[Quantity]]*Sheet1[[#This Row],[UnitPrice]]</f>
        <v>72.67</v>
      </c>
    </row>
    <row r="213" spans="1:14" x14ac:dyDescent="0.3">
      <c r="A213" s="1">
        <v>44965</v>
      </c>
      <c r="B213" t="s">
        <v>459</v>
      </c>
      <c r="C213" t="s">
        <v>15</v>
      </c>
      <c r="D213" t="s">
        <v>74</v>
      </c>
      <c r="E213" t="s">
        <v>67</v>
      </c>
      <c r="F213">
        <v>3</v>
      </c>
      <c r="G213">
        <v>94.42</v>
      </c>
      <c r="H213" t="s">
        <v>53</v>
      </c>
      <c r="I213" t="s">
        <v>460</v>
      </c>
      <c r="J213" t="s">
        <v>20</v>
      </c>
      <c r="K213" t="s">
        <v>45</v>
      </c>
      <c r="L213" t="s">
        <v>22</v>
      </c>
      <c r="M213" t="s">
        <v>76</v>
      </c>
      <c r="N213">
        <f>Sheet1[[#This Row],[Quantity]]*Sheet1[[#This Row],[UnitPrice]]</f>
        <v>283.26</v>
      </c>
    </row>
    <row r="214" spans="1:14" x14ac:dyDescent="0.3">
      <c r="A214" s="1">
        <v>45242</v>
      </c>
      <c r="B214" t="s">
        <v>461</v>
      </c>
      <c r="C214" t="s">
        <v>34</v>
      </c>
      <c r="D214" t="s">
        <v>74</v>
      </c>
      <c r="E214" t="s">
        <v>27</v>
      </c>
      <c r="F214">
        <v>5</v>
      </c>
      <c r="G214">
        <v>337.42</v>
      </c>
      <c r="H214" t="s">
        <v>53</v>
      </c>
      <c r="I214" t="s">
        <v>462</v>
      </c>
      <c r="J214" t="s">
        <v>38</v>
      </c>
      <c r="K214" t="s">
        <v>45</v>
      </c>
      <c r="L214" t="s">
        <v>60</v>
      </c>
      <c r="M214" t="s">
        <v>61</v>
      </c>
      <c r="N214">
        <f>Sheet1[[#This Row],[Quantity]]*Sheet1[[#This Row],[UnitPrice]]</f>
        <v>1687.1000000000001</v>
      </c>
    </row>
    <row r="215" spans="1:14" x14ac:dyDescent="0.3">
      <c r="A215" s="1">
        <v>45631</v>
      </c>
      <c r="B215" t="s">
        <v>463</v>
      </c>
      <c r="C215" t="s">
        <v>51</v>
      </c>
      <c r="D215" t="s">
        <v>74</v>
      </c>
      <c r="E215" t="s">
        <v>17</v>
      </c>
      <c r="F215">
        <v>10</v>
      </c>
      <c r="G215">
        <v>382.99</v>
      </c>
      <c r="H215" t="s">
        <v>68</v>
      </c>
      <c r="I215" t="s">
        <v>464</v>
      </c>
      <c r="J215" t="s">
        <v>44</v>
      </c>
      <c r="K215" t="s">
        <v>45</v>
      </c>
      <c r="L215" t="s">
        <v>22</v>
      </c>
      <c r="M215" t="s">
        <v>32</v>
      </c>
      <c r="N215">
        <f>Sheet1[[#This Row],[Quantity]]*Sheet1[[#This Row],[UnitPrice]]</f>
        <v>3829.9</v>
      </c>
    </row>
    <row r="216" spans="1:14" x14ac:dyDescent="0.3">
      <c r="A216" s="1">
        <v>45627</v>
      </c>
      <c r="B216" t="s">
        <v>465</v>
      </c>
      <c r="C216" t="s">
        <v>90</v>
      </c>
      <c r="D216" t="s">
        <v>26</v>
      </c>
      <c r="E216" t="s">
        <v>64</v>
      </c>
      <c r="F216">
        <v>4</v>
      </c>
      <c r="G216">
        <v>42.85</v>
      </c>
      <c r="H216" t="s">
        <v>68</v>
      </c>
      <c r="I216" t="s">
        <v>466</v>
      </c>
      <c r="J216" t="s">
        <v>38</v>
      </c>
      <c r="K216" t="s">
        <v>21</v>
      </c>
      <c r="L216" t="s">
        <v>39</v>
      </c>
      <c r="M216" t="s">
        <v>61</v>
      </c>
      <c r="N216">
        <f>Sheet1[[#This Row],[Quantity]]*Sheet1[[#This Row],[UnitPrice]]</f>
        <v>171.4</v>
      </c>
    </row>
    <row r="217" spans="1:14" x14ac:dyDescent="0.3">
      <c r="A217" s="1">
        <v>45091</v>
      </c>
      <c r="B217" t="s">
        <v>467</v>
      </c>
      <c r="C217" t="s">
        <v>56</v>
      </c>
      <c r="D217" t="s">
        <v>16</v>
      </c>
      <c r="E217" t="s">
        <v>52</v>
      </c>
      <c r="F217">
        <v>10</v>
      </c>
      <c r="G217">
        <v>210.94</v>
      </c>
      <c r="H217" t="s">
        <v>36</v>
      </c>
      <c r="I217" t="s">
        <v>468</v>
      </c>
      <c r="J217" t="s">
        <v>38</v>
      </c>
      <c r="K217" t="s">
        <v>21</v>
      </c>
      <c r="L217" t="s">
        <v>22</v>
      </c>
      <c r="M217" t="s">
        <v>76</v>
      </c>
      <c r="N217">
        <f>Sheet1[[#This Row],[Quantity]]*Sheet1[[#This Row],[UnitPrice]]</f>
        <v>2109.4</v>
      </c>
    </row>
    <row r="218" spans="1:14" x14ac:dyDescent="0.3">
      <c r="A218" s="1">
        <v>44980</v>
      </c>
      <c r="B218" t="s">
        <v>469</v>
      </c>
      <c r="C218" t="s">
        <v>78</v>
      </c>
      <c r="D218" t="s">
        <v>47</v>
      </c>
      <c r="E218" t="s">
        <v>27</v>
      </c>
      <c r="F218">
        <v>4</v>
      </c>
      <c r="G218">
        <v>125.66</v>
      </c>
      <c r="H218" t="s">
        <v>36</v>
      </c>
      <c r="I218" t="s">
        <v>470</v>
      </c>
      <c r="J218" t="s">
        <v>38</v>
      </c>
      <c r="K218" t="s">
        <v>21</v>
      </c>
      <c r="L218" t="s">
        <v>39</v>
      </c>
      <c r="M218" t="s">
        <v>32</v>
      </c>
      <c r="N218">
        <f>Sheet1[[#This Row],[Quantity]]*Sheet1[[#This Row],[UnitPrice]]</f>
        <v>502.64</v>
      </c>
    </row>
    <row r="219" spans="1:14" x14ac:dyDescent="0.3">
      <c r="A219" s="1">
        <v>45154</v>
      </c>
      <c r="B219" t="s">
        <v>471</v>
      </c>
      <c r="C219" t="s">
        <v>90</v>
      </c>
      <c r="D219" t="s">
        <v>74</v>
      </c>
      <c r="E219" t="s">
        <v>35</v>
      </c>
      <c r="F219">
        <v>6</v>
      </c>
      <c r="G219">
        <v>266.69</v>
      </c>
      <c r="H219" t="s">
        <v>28</v>
      </c>
      <c r="I219" t="s">
        <v>472</v>
      </c>
      <c r="J219" t="s">
        <v>30</v>
      </c>
      <c r="K219" t="s">
        <v>21</v>
      </c>
      <c r="L219" t="s">
        <v>39</v>
      </c>
      <c r="M219" t="s">
        <v>76</v>
      </c>
      <c r="N219">
        <f>Sheet1[[#This Row],[Quantity]]*Sheet1[[#This Row],[UnitPrice]]</f>
        <v>1600.1399999999999</v>
      </c>
    </row>
    <row r="220" spans="1:14" x14ac:dyDescent="0.3">
      <c r="A220" s="1">
        <v>45740</v>
      </c>
      <c r="B220" t="s">
        <v>473</v>
      </c>
      <c r="C220" t="s">
        <v>34</v>
      </c>
      <c r="D220" t="s">
        <v>26</v>
      </c>
      <c r="E220" t="s">
        <v>52</v>
      </c>
      <c r="F220">
        <v>5</v>
      </c>
      <c r="G220">
        <v>33.64</v>
      </c>
      <c r="H220" t="s">
        <v>18</v>
      </c>
      <c r="I220" t="s">
        <v>474</v>
      </c>
      <c r="J220" t="s">
        <v>58</v>
      </c>
      <c r="K220" t="s">
        <v>59</v>
      </c>
      <c r="L220" t="s">
        <v>22</v>
      </c>
      <c r="M220" t="s">
        <v>49</v>
      </c>
      <c r="N220">
        <f>Sheet1[[#This Row],[Quantity]]*Sheet1[[#This Row],[UnitPrice]]</f>
        <v>168.2</v>
      </c>
    </row>
    <row r="221" spans="1:14" x14ac:dyDescent="0.3">
      <c r="A221" s="1">
        <v>45093</v>
      </c>
      <c r="B221" t="s">
        <v>475</v>
      </c>
      <c r="C221" t="s">
        <v>63</v>
      </c>
      <c r="D221" t="s">
        <v>47</v>
      </c>
      <c r="E221" t="s">
        <v>42</v>
      </c>
      <c r="F221">
        <v>1</v>
      </c>
      <c r="G221">
        <v>226.69</v>
      </c>
      <c r="H221" t="s">
        <v>36</v>
      </c>
      <c r="I221" t="s">
        <v>476</v>
      </c>
      <c r="J221" t="s">
        <v>38</v>
      </c>
      <c r="K221" t="s">
        <v>31</v>
      </c>
      <c r="L221" t="s">
        <v>39</v>
      </c>
      <c r="M221" t="s">
        <v>40</v>
      </c>
      <c r="N221">
        <f>Sheet1[[#This Row],[Quantity]]*Sheet1[[#This Row],[UnitPrice]]</f>
        <v>226.69</v>
      </c>
    </row>
    <row r="222" spans="1:14" x14ac:dyDescent="0.3">
      <c r="A222" s="1">
        <v>44987</v>
      </c>
      <c r="B222" t="s">
        <v>477</v>
      </c>
      <c r="C222" t="s">
        <v>56</v>
      </c>
      <c r="D222" t="s">
        <v>16</v>
      </c>
      <c r="E222" t="s">
        <v>35</v>
      </c>
      <c r="F222">
        <v>10</v>
      </c>
      <c r="G222">
        <v>48.17</v>
      </c>
      <c r="H222" t="s">
        <v>53</v>
      </c>
      <c r="I222" t="s">
        <v>478</v>
      </c>
      <c r="J222" t="s">
        <v>44</v>
      </c>
      <c r="K222" t="s">
        <v>45</v>
      </c>
      <c r="L222" t="s">
        <v>22</v>
      </c>
      <c r="M222" t="s">
        <v>32</v>
      </c>
      <c r="N222">
        <f>Sheet1[[#This Row],[Quantity]]*Sheet1[[#This Row],[UnitPrice]]</f>
        <v>481.70000000000005</v>
      </c>
    </row>
    <row r="223" spans="1:14" x14ac:dyDescent="0.3">
      <c r="A223" s="1">
        <v>45011</v>
      </c>
      <c r="B223" t="s">
        <v>479</v>
      </c>
      <c r="C223" t="s">
        <v>63</v>
      </c>
      <c r="D223" t="s">
        <v>74</v>
      </c>
      <c r="E223" t="s">
        <v>52</v>
      </c>
      <c r="F223">
        <v>9</v>
      </c>
      <c r="G223">
        <v>324.63</v>
      </c>
      <c r="H223" t="s">
        <v>53</v>
      </c>
      <c r="I223" t="s">
        <v>480</v>
      </c>
      <c r="J223" t="s">
        <v>44</v>
      </c>
      <c r="K223" t="s">
        <v>21</v>
      </c>
      <c r="L223" t="s">
        <v>22</v>
      </c>
      <c r="M223" t="s">
        <v>61</v>
      </c>
      <c r="N223">
        <f>Sheet1[[#This Row],[Quantity]]*Sheet1[[#This Row],[UnitPrice]]</f>
        <v>2921.67</v>
      </c>
    </row>
    <row r="224" spans="1:14" x14ac:dyDescent="0.3">
      <c r="A224" s="1">
        <v>45834</v>
      </c>
      <c r="B224" t="s">
        <v>481</v>
      </c>
      <c r="C224" t="s">
        <v>51</v>
      </c>
      <c r="D224" t="s">
        <v>74</v>
      </c>
      <c r="E224" t="s">
        <v>67</v>
      </c>
      <c r="F224">
        <v>10</v>
      </c>
      <c r="G224">
        <v>399.74</v>
      </c>
      <c r="H224" t="s">
        <v>68</v>
      </c>
      <c r="I224" t="s">
        <v>482</v>
      </c>
      <c r="J224" t="s">
        <v>44</v>
      </c>
      <c r="K224" t="s">
        <v>31</v>
      </c>
      <c r="L224" t="s">
        <v>60</v>
      </c>
      <c r="M224" t="s">
        <v>32</v>
      </c>
      <c r="N224">
        <f>Sheet1[[#This Row],[Quantity]]*Sheet1[[#This Row],[UnitPrice]]</f>
        <v>3997.4</v>
      </c>
    </row>
    <row r="225" spans="1:14" x14ac:dyDescent="0.3">
      <c r="A225" s="1">
        <v>45637</v>
      </c>
      <c r="B225" t="s">
        <v>483</v>
      </c>
      <c r="C225" t="s">
        <v>51</v>
      </c>
      <c r="D225" t="s">
        <v>26</v>
      </c>
      <c r="E225" t="s">
        <v>17</v>
      </c>
      <c r="F225">
        <v>10</v>
      </c>
      <c r="G225">
        <v>309.33</v>
      </c>
      <c r="H225" t="s">
        <v>36</v>
      </c>
      <c r="I225" t="s">
        <v>484</v>
      </c>
      <c r="J225" t="s">
        <v>58</v>
      </c>
      <c r="K225" t="s">
        <v>21</v>
      </c>
      <c r="L225" t="s">
        <v>39</v>
      </c>
      <c r="M225" t="s">
        <v>76</v>
      </c>
      <c r="N225">
        <f>Sheet1[[#This Row],[Quantity]]*Sheet1[[#This Row],[UnitPrice]]</f>
        <v>3093.2999999999997</v>
      </c>
    </row>
    <row r="226" spans="1:14" x14ac:dyDescent="0.3">
      <c r="A226" s="1">
        <v>44939</v>
      </c>
      <c r="B226" t="s">
        <v>325</v>
      </c>
      <c r="C226" t="s">
        <v>51</v>
      </c>
      <c r="D226" t="s">
        <v>47</v>
      </c>
      <c r="E226" t="s">
        <v>64</v>
      </c>
      <c r="F226">
        <v>8</v>
      </c>
      <c r="G226">
        <v>133.51</v>
      </c>
      <c r="H226" t="s">
        <v>68</v>
      </c>
      <c r="I226" t="s">
        <v>485</v>
      </c>
      <c r="J226" t="s">
        <v>38</v>
      </c>
      <c r="K226" t="s">
        <v>45</v>
      </c>
      <c r="L226" t="s">
        <v>22</v>
      </c>
      <c r="M226" t="s">
        <v>40</v>
      </c>
      <c r="N226">
        <f>Sheet1[[#This Row],[Quantity]]*Sheet1[[#This Row],[UnitPrice]]</f>
        <v>1068.08</v>
      </c>
    </row>
    <row r="227" spans="1:14" x14ac:dyDescent="0.3">
      <c r="A227" s="1">
        <v>45504</v>
      </c>
      <c r="B227" t="s">
        <v>486</v>
      </c>
      <c r="C227" t="s">
        <v>15</v>
      </c>
      <c r="D227" t="s">
        <v>47</v>
      </c>
      <c r="E227" t="s">
        <v>27</v>
      </c>
      <c r="F227">
        <v>9</v>
      </c>
      <c r="G227">
        <v>244.78</v>
      </c>
      <c r="H227" t="s">
        <v>28</v>
      </c>
      <c r="I227" t="s">
        <v>487</v>
      </c>
      <c r="J227" t="s">
        <v>38</v>
      </c>
      <c r="K227" t="s">
        <v>21</v>
      </c>
      <c r="L227" t="s">
        <v>60</v>
      </c>
      <c r="M227" t="s">
        <v>76</v>
      </c>
      <c r="N227">
        <f>Sheet1[[#This Row],[Quantity]]*Sheet1[[#This Row],[UnitPrice]]</f>
        <v>2203.02</v>
      </c>
    </row>
    <row r="228" spans="1:14" x14ac:dyDescent="0.3">
      <c r="A228" s="1">
        <v>45667</v>
      </c>
      <c r="B228" t="s">
        <v>225</v>
      </c>
      <c r="C228" t="s">
        <v>15</v>
      </c>
      <c r="D228" t="s">
        <v>47</v>
      </c>
      <c r="E228" t="s">
        <v>42</v>
      </c>
      <c r="F228">
        <v>5</v>
      </c>
      <c r="G228">
        <v>122.53</v>
      </c>
      <c r="H228" t="s">
        <v>18</v>
      </c>
      <c r="I228" t="s">
        <v>488</v>
      </c>
      <c r="J228" t="s">
        <v>44</v>
      </c>
      <c r="K228" t="s">
        <v>45</v>
      </c>
      <c r="L228" t="s">
        <v>60</v>
      </c>
      <c r="M228" t="s">
        <v>40</v>
      </c>
      <c r="N228">
        <f>Sheet1[[#This Row],[Quantity]]*Sheet1[[#This Row],[UnitPrice]]</f>
        <v>612.65</v>
      </c>
    </row>
    <row r="229" spans="1:14" x14ac:dyDescent="0.3">
      <c r="A229" s="1">
        <v>45089</v>
      </c>
      <c r="B229" t="s">
        <v>489</v>
      </c>
      <c r="C229" t="s">
        <v>56</v>
      </c>
      <c r="D229" t="s">
        <v>16</v>
      </c>
      <c r="E229" t="s">
        <v>17</v>
      </c>
      <c r="F229">
        <v>5</v>
      </c>
      <c r="G229">
        <v>133.33000000000001</v>
      </c>
      <c r="H229" t="s">
        <v>28</v>
      </c>
      <c r="I229" t="s">
        <v>490</v>
      </c>
      <c r="J229" t="s">
        <v>20</v>
      </c>
      <c r="K229" t="s">
        <v>45</v>
      </c>
      <c r="L229" t="s">
        <v>39</v>
      </c>
      <c r="M229" t="s">
        <v>49</v>
      </c>
      <c r="N229">
        <f>Sheet1[[#This Row],[Quantity]]*Sheet1[[#This Row],[UnitPrice]]</f>
        <v>666.65000000000009</v>
      </c>
    </row>
    <row r="230" spans="1:14" x14ac:dyDescent="0.3">
      <c r="A230" s="1">
        <v>45445</v>
      </c>
      <c r="B230" t="s">
        <v>491</v>
      </c>
      <c r="C230" t="s">
        <v>63</v>
      </c>
      <c r="D230" t="s">
        <v>47</v>
      </c>
      <c r="E230" t="s">
        <v>17</v>
      </c>
      <c r="F230">
        <v>3</v>
      </c>
      <c r="G230">
        <v>303.35000000000002</v>
      </c>
      <c r="H230" t="s">
        <v>53</v>
      </c>
      <c r="I230" t="s">
        <v>492</v>
      </c>
      <c r="J230" t="s">
        <v>38</v>
      </c>
      <c r="K230" t="s">
        <v>21</v>
      </c>
      <c r="L230" t="s">
        <v>60</v>
      </c>
      <c r="M230" t="s">
        <v>61</v>
      </c>
      <c r="N230">
        <f>Sheet1[[#This Row],[Quantity]]*Sheet1[[#This Row],[UnitPrice]]</f>
        <v>910.05000000000007</v>
      </c>
    </row>
    <row r="231" spans="1:14" x14ac:dyDescent="0.3">
      <c r="A231" s="1">
        <v>45809</v>
      </c>
      <c r="B231" t="s">
        <v>479</v>
      </c>
      <c r="C231" t="s">
        <v>51</v>
      </c>
      <c r="D231" t="s">
        <v>74</v>
      </c>
      <c r="E231" t="s">
        <v>67</v>
      </c>
      <c r="F231">
        <v>4</v>
      </c>
      <c r="G231">
        <v>294.27999999999997</v>
      </c>
      <c r="H231" t="s">
        <v>36</v>
      </c>
      <c r="I231" t="s">
        <v>493</v>
      </c>
      <c r="J231" t="s">
        <v>20</v>
      </c>
      <c r="K231" t="s">
        <v>59</v>
      </c>
      <c r="L231" t="s">
        <v>22</v>
      </c>
      <c r="M231" t="s">
        <v>61</v>
      </c>
      <c r="N231">
        <f>Sheet1[[#This Row],[Quantity]]*Sheet1[[#This Row],[UnitPrice]]</f>
        <v>1177.1199999999999</v>
      </c>
    </row>
    <row r="232" spans="1:14" x14ac:dyDescent="0.3">
      <c r="A232" s="1">
        <v>45109</v>
      </c>
      <c r="B232" t="s">
        <v>494</v>
      </c>
      <c r="C232" t="s">
        <v>63</v>
      </c>
      <c r="D232" t="s">
        <v>74</v>
      </c>
      <c r="E232" t="s">
        <v>27</v>
      </c>
      <c r="F232">
        <v>4</v>
      </c>
      <c r="G232">
        <v>201.46</v>
      </c>
      <c r="H232" t="s">
        <v>36</v>
      </c>
      <c r="I232" t="s">
        <v>495</v>
      </c>
      <c r="J232" t="s">
        <v>58</v>
      </c>
      <c r="K232" t="s">
        <v>21</v>
      </c>
      <c r="L232" t="s">
        <v>60</v>
      </c>
      <c r="M232" t="s">
        <v>61</v>
      </c>
      <c r="N232">
        <f>Sheet1[[#This Row],[Quantity]]*Sheet1[[#This Row],[UnitPrice]]</f>
        <v>805.84</v>
      </c>
    </row>
    <row r="233" spans="1:14" x14ac:dyDescent="0.3">
      <c r="A233" s="1">
        <v>45371</v>
      </c>
      <c r="B233" t="s">
        <v>496</v>
      </c>
      <c r="C233" t="s">
        <v>73</v>
      </c>
      <c r="D233" t="s">
        <v>16</v>
      </c>
      <c r="E233" t="s">
        <v>64</v>
      </c>
      <c r="F233">
        <v>2</v>
      </c>
      <c r="G233">
        <v>354.14</v>
      </c>
      <c r="H233" t="s">
        <v>18</v>
      </c>
      <c r="I233" t="s">
        <v>497</v>
      </c>
      <c r="J233" t="s">
        <v>44</v>
      </c>
      <c r="K233" t="s">
        <v>31</v>
      </c>
      <c r="L233" t="s">
        <v>39</v>
      </c>
      <c r="M233" t="s">
        <v>76</v>
      </c>
      <c r="N233">
        <f>Sheet1[[#This Row],[Quantity]]*Sheet1[[#This Row],[UnitPrice]]</f>
        <v>708.28</v>
      </c>
    </row>
    <row r="234" spans="1:14" x14ac:dyDescent="0.3">
      <c r="A234" s="1">
        <v>45171</v>
      </c>
      <c r="B234" t="s">
        <v>498</v>
      </c>
      <c r="C234" t="s">
        <v>78</v>
      </c>
      <c r="D234" t="s">
        <v>16</v>
      </c>
      <c r="E234" t="s">
        <v>17</v>
      </c>
      <c r="F234">
        <v>1</v>
      </c>
      <c r="G234">
        <v>142.57</v>
      </c>
      <c r="H234" t="s">
        <v>18</v>
      </c>
      <c r="I234" t="s">
        <v>499</v>
      </c>
      <c r="J234" t="s">
        <v>44</v>
      </c>
      <c r="K234" t="s">
        <v>21</v>
      </c>
      <c r="L234" t="s">
        <v>22</v>
      </c>
      <c r="M234" t="s">
        <v>23</v>
      </c>
      <c r="N234">
        <f>Sheet1[[#This Row],[Quantity]]*Sheet1[[#This Row],[UnitPrice]]</f>
        <v>142.57</v>
      </c>
    </row>
    <row r="235" spans="1:14" x14ac:dyDescent="0.3">
      <c r="A235" s="1">
        <v>45452</v>
      </c>
      <c r="B235" t="s">
        <v>500</v>
      </c>
      <c r="C235" t="s">
        <v>51</v>
      </c>
      <c r="D235" t="s">
        <v>26</v>
      </c>
      <c r="E235" t="s">
        <v>35</v>
      </c>
      <c r="F235">
        <v>10</v>
      </c>
      <c r="G235">
        <v>172.32</v>
      </c>
      <c r="H235" t="s">
        <v>28</v>
      </c>
      <c r="I235" t="s">
        <v>501</v>
      </c>
      <c r="J235" t="s">
        <v>30</v>
      </c>
      <c r="K235" t="s">
        <v>21</v>
      </c>
      <c r="L235" t="s">
        <v>60</v>
      </c>
      <c r="M235" t="s">
        <v>61</v>
      </c>
      <c r="N235">
        <f>Sheet1[[#This Row],[Quantity]]*Sheet1[[#This Row],[UnitPrice]]</f>
        <v>1723.1999999999998</v>
      </c>
    </row>
    <row r="236" spans="1:14" x14ac:dyDescent="0.3">
      <c r="A236" s="1">
        <v>45671</v>
      </c>
      <c r="B236" t="s">
        <v>502</v>
      </c>
      <c r="C236" t="s">
        <v>90</v>
      </c>
      <c r="D236" t="s">
        <v>74</v>
      </c>
      <c r="E236" t="s">
        <v>64</v>
      </c>
      <c r="F236">
        <v>9</v>
      </c>
      <c r="G236">
        <v>195.04</v>
      </c>
      <c r="H236" t="s">
        <v>36</v>
      </c>
      <c r="I236" t="s">
        <v>503</v>
      </c>
      <c r="J236" t="s">
        <v>20</v>
      </c>
      <c r="K236" t="s">
        <v>59</v>
      </c>
      <c r="L236" t="s">
        <v>22</v>
      </c>
      <c r="M236" t="s">
        <v>84</v>
      </c>
      <c r="N236">
        <f>Sheet1[[#This Row],[Quantity]]*Sheet1[[#This Row],[UnitPrice]]</f>
        <v>1755.36</v>
      </c>
    </row>
    <row r="237" spans="1:14" x14ac:dyDescent="0.3">
      <c r="A237" s="1">
        <v>45477</v>
      </c>
      <c r="B237" t="s">
        <v>504</v>
      </c>
      <c r="C237" t="s">
        <v>15</v>
      </c>
      <c r="D237" t="s">
        <v>47</v>
      </c>
      <c r="E237" t="s">
        <v>17</v>
      </c>
      <c r="F237">
        <v>8</v>
      </c>
      <c r="G237">
        <v>298.8</v>
      </c>
      <c r="H237" t="s">
        <v>68</v>
      </c>
      <c r="I237" t="s">
        <v>505</v>
      </c>
      <c r="J237" t="s">
        <v>58</v>
      </c>
      <c r="K237" t="s">
        <v>59</v>
      </c>
      <c r="L237" t="s">
        <v>22</v>
      </c>
      <c r="M237" t="s">
        <v>32</v>
      </c>
      <c r="N237">
        <f>Sheet1[[#This Row],[Quantity]]*Sheet1[[#This Row],[UnitPrice]]</f>
        <v>2390.4</v>
      </c>
    </row>
    <row r="238" spans="1:14" x14ac:dyDescent="0.3">
      <c r="A238" s="1">
        <v>45091</v>
      </c>
      <c r="B238" t="s">
        <v>393</v>
      </c>
      <c r="C238" t="s">
        <v>51</v>
      </c>
      <c r="D238" t="s">
        <v>74</v>
      </c>
      <c r="E238" t="s">
        <v>27</v>
      </c>
      <c r="F238">
        <v>1</v>
      </c>
      <c r="G238">
        <v>51.87</v>
      </c>
      <c r="H238" t="s">
        <v>28</v>
      </c>
      <c r="I238" t="s">
        <v>506</v>
      </c>
      <c r="J238" t="s">
        <v>20</v>
      </c>
      <c r="K238" t="s">
        <v>59</v>
      </c>
      <c r="L238" t="s">
        <v>39</v>
      </c>
      <c r="M238" t="s">
        <v>76</v>
      </c>
      <c r="N238">
        <f>Sheet1[[#This Row],[Quantity]]*Sheet1[[#This Row],[UnitPrice]]</f>
        <v>51.87</v>
      </c>
    </row>
    <row r="239" spans="1:14" x14ac:dyDescent="0.3">
      <c r="A239" s="1">
        <v>45409</v>
      </c>
      <c r="B239" t="s">
        <v>507</v>
      </c>
      <c r="C239" t="s">
        <v>56</v>
      </c>
      <c r="D239" t="s">
        <v>47</v>
      </c>
      <c r="E239" t="s">
        <v>17</v>
      </c>
      <c r="F239">
        <v>5</v>
      </c>
      <c r="G239">
        <v>58.51</v>
      </c>
      <c r="H239" t="s">
        <v>18</v>
      </c>
      <c r="I239" t="s">
        <v>508</v>
      </c>
      <c r="J239" t="s">
        <v>44</v>
      </c>
      <c r="K239" t="s">
        <v>21</v>
      </c>
      <c r="L239" t="s">
        <v>39</v>
      </c>
      <c r="M239" t="s">
        <v>23</v>
      </c>
      <c r="N239">
        <f>Sheet1[[#This Row],[Quantity]]*Sheet1[[#This Row],[UnitPrice]]</f>
        <v>292.55</v>
      </c>
    </row>
    <row r="240" spans="1:14" x14ac:dyDescent="0.3">
      <c r="A240" s="1">
        <v>45214</v>
      </c>
      <c r="B240" t="s">
        <v>509</v>
      </c>
      <c r="C240" t="s">
        <v>101</v>
      </c>
      <c r="D240" t="s">
        <v>74</v>
      </c>
      <c r="E240" t="s">
        <v>17</v>
      </c>
      <c r="F240">
        <v>7</v>
      </c>
      <c r="G240">
        <v>65.569999999999993</v>
      </c>
      <c r="H240" t="s">
        <v>68</v>
      </c>
      <c r="I240" t="s">
        <v>510</v>
      </c>
      <c r="J240" t="s">
        <v>44</v>
      </c>
      <c r="K240" t="s">
        <v>31</v>
      </c>
      <c r="L240" t="s">
        <v>22</v>
      </c>
      <c r="M240" t="s">
        <v>61</v>
      </c>
      <c r="N240">
        <f>Sheet1[[#This Row],[Quantity]]*Sheet1[[#This Row],[UnitPrice]]</f>
        <v>458.98999999999995</v>
      </c>
    </row>
    <row r="241" spans="1:14" x14ac:dyDescent="0.3">
      <c r="A241" s="1">
        <v>45692</v>
      </c>
      <c r="B241" t="s">
        <v>511</v>
      </c>
      <c r="C241" t="s">
        <v>51</v>
      </c>
      <c r="D241" t="s">
        <v>26</v>
      </c>
      <c r="E241" t="s">
        <v>35</v>
      </c>
      <c r="F241">
        <v>9</v>
      </c>
      <c r="G241">
        <v>73.62</v>
      </c>
      <c r="H241" t="s">
        <v>28</v>
      </c>
      <c r="I241" t="s">
        <v>512</v>
      </c>
      <c r="J241" t="s">
        <v>58</v>
      </c>
      <c r="K241" t="s">
        <v>21</v>
      </c>
      <c r="L241" t="s">
        <v>39</v>
      </c>
      <c r="M241" t="s">
        <v>84</v>
      </c>
      <c r="N241">
        <f>Sheet1[[#This Row],[Quantity]]*Sheet1[[#This Row],[UnitPrice]]</f>
        <v>662.58</v>
      </c>
    </row>
    <row r="242" spans="1:14" x14ac:dyDescent="0.3">
      <c r="A242" s="1">
        <v>45588</v>
      </c>
      <c r="B242" t="s">
        <v>321</v>
      </c>
      <c r="C242" t="s">
        <v>90</v>
      </c>
      <c r="D242" t="s">
        <v>47</v>
      </c>
      <c r="E242" t="s">
        <v>67</v>
      </c>
      <c r="F242">
        <v>10</v>
      </c>
      <c r="G242">
        <v>282.75</v>
      </c>
      <c r="H242" t="s">
        <v>68</v>
      </c>
      <c r="I242" t="s">
        <v>513</v>
      </c>
      <c r="J242" t="s">
        <v>44</v>
      </c>
      <c r="K242" t="s">
        <v>59</v>
      </c>
      <c r="L242" t="s">
        <v>22</v>
      </c>
      <c r="M242" t="s">
        <v>76</v>
      </c>
      <c r="N242">
        <f>Sheet1[[#This Row],[Quantity]]*Sheet1[[#This Row],[UnitPrice]]</f>
        <v>2827.5</v>
      </c>
    </row>
    <row r="243" spans="1:14" x14ac:dyDescent="0.3">
      <c r="A243" s="1">
        <v>45471</v>
      </c>
      <c r="B243" t="s">
        <v>514</v>
      </c>
      <c r="C243" t="s">
        <v>78</v>
      </c>
      <c r="D243" t="s">
        <v>16</v>
      </c>
      <c r="E243" t="s">
        <v>67</v>
      </c>
      <c r="F243">
        <v>8</v>
      </c>
      <c r="G243">
        <v>112.39</v>
      </c>
      <c r="H243" t="s">
        <v>28</v>
      </c>
      <c r="I243" t="s">
        <v>515</v>
      </c>
      <c r="J243" t="s">
        <v>30</v>
      </c>
      <c r="K243" t="s">
        <v>31</v>
      </c>
      <c r="L243" t="s">
        <v>60</v>
      </c>
      <c r="M243" t="s">
        <v>40</v>
      </c>
      <c r="N243">
        <f>Sheet1[[#This Row],[Quantity]]*Sheet1[[#This Row],[UnitPrice]]</f>
        <v>899.12</v>
      </c>
    </row>
    <row r="244" spans="1:14" x14ac:dyDescent="0.3">
      <c r="A244" s="1">
        <v>45181</v>
      </c>
      <c r="B244" t="s">
        <v>516</v>
      </c>
      <c r="C244" t="s">
        <v>34</v>
      </c>
      <c r="D244" t="s">
        <v>47</v>
      </c>
      <c r="E244" t="s">
        <v>42</v>
      </c>
      <c r="F244">
        <v>2</v>
      </c>
      <c r="G244">
        <v>215.6</v>
      </c>
      <c r="H244" t="s">
        <v>28</v>
      </c>
      <c r="I244" t="s">
        <v>517</v>
      </c>
      <c r="J244" t="s">
        <v>38</v>
      </c>
      <c r="K244" t="s">
        <v>45</v>
      </c>
      <c r="L244" t="s">
        <v>60</v>
      </c>
      <c r="M244" t="s">
        <v>84</v>
      </c>
      <c r="N244">
        <f>Sheet1[[#This Row],[Quantity]]*Sheet1[[#This Row],[UnitPrice]]</f>
        <v>431.2</v>
      </c>
    </row>
    <row r="245" spans="1:14" x14ac:dyDescent="0.3">
      <c r="A245" s="1">
        <v>45197</v>
      </c>
      <c r="B245" t="s">
        <v>514</v>
      </c>
      <c r="C245" t="s">
        <v>101</v>
      </c>
      <c r="D245" t="s">
        <v>26</v>
      </c>
      <c r="E245" t="s">
        <v>35</v>
      </c>
      <c r="F245">
        <v>10</v>
      </c>
      <c r="G245">
        <v>242.6</v>
      </c>
      <c r="H245" t="s">
        <v>53</v>
      </c>
      <c r="I245" t="s">
        <v>518</v>
      </c>
      <c r="J245" t="s">
        <v>44</v>
      </c>
      <c r="K245" t="s">
        <v>31</v>
      </c>
      <c r="L245" t="s">
        <v>60</v>
      </c>
      <c r="M245" t="s">
        <v>32</v>
      </c>
      <c r="N245">
        <f>Sheet1[[#This Row],[Quantity]]*Sheet1[[#This Row],[UnitPrice]]</f>
        <v>2426</v>
      </c>
    </row>
    <row r="246" spans="1:14" x14ac:dyDescent="0.3">
      <c r="A246" s="1">
        <v>45027</v>
      </c>
      <c r="B246" t="s">
        <v>519</v>
      </c>
      <c r="C246" t="s">
        <v>34</v>
      </c>
      <c r="D246" t="s">
        <v>47</v>
      </c>
      <c r="E246" t="s">
        <v>35</v>
      </c>
      <c r="F246">
        <v>4</v>
      </c>
      <c r="G246">
        <v>20.47</v>
      </c>
      <c r="H246" t="s">
        <v>28</v>
      </c>
      <c r="I246" t="s">
        <v>520</v>
      </c>
      <c r="J246" t="s">
        <v>58</v>
      </c>
      <c r="K246" t="s">
        <v>45</v>
      </c>
      <c r="L246" t="s">
        <v>22</v>
      </c>
      <c r="M246" t="s">
        <v>84</v>
      </c>
      <c r="N246">
        <f>Sheet1[[#This Row],[Quantity]]*Sheet1[[#This Row],[UnitPrice]]</f>
        <v>81.88</v>
      </c>
    </row>
    <row r="247" spans="1:14" x14ac:dyDescent="0.3">
      <c r="A247" s="1">
        <v>45100</v>
      </c>
      <c r="B247" t="s">
        <v>182</v>
      </c>
      <c r="C247" t="s">
        <v>73</v>
      </c>
      <c r="D247" t="s">
        <v>74</v>
      </c>
      <c r="E247" t="s">
        <v>67</v>
      </c>
      <c r="F247">
        <v>4</v>
      </c>
      <c r="G247">
        <v>257.19</v>
      </c>
      <c r="H247" t="s">
        <v>18</v>
      </c>
      <c r="I247" t="s">
        <v>521</v>
      </c>
      <c r="J247" t="s">
        <v>20</v>
      </c>
      <c r="K247" t="s">
        <v>21</v>
      </c>
      <c r="L247" t="s">
        <v>22</v>
      </c>
      <c r="M247" t="s">
        <v>40</v>
      </c>
      <c r="N247">
        <f>Sheet1[[#This Row],[Quantity]]*Sheet1[[#This Row],[UnitPrice]]</f>
        <v>1028.76</v>
      </c>
    </row>
    <row r="248" spans="1:14" x14ac:dyDescent="0.3">
      <c r="A248" s="1">
        <v>45240</v>
      </c>
      <c r="B248" t="s">
        <v>522</v>
      </c>
      <c r="C248" t="s">
        <v>63</v>
      </c>
      <c r="D248" t="s">
        <v>74</v>
      </c>
      <c r="E248" t="s">
        <v>42</v>
      </c>
      <c r="F248">
        <v>10</v>
      </c>
      <c r="G248">
        <v>130.81</v>
      </c>
      <c r="H248" t="s">
        <v>53</v>
      </c>
      <c r="I248" t="s">
        <v>523</v>
      </c>
      <c r="J248" t="s">
        <v>38</v>
      </c>
      <c r="K248" t="s">
        <v>31</v>
      </c>
      <c r="L248" t="s">
        <v>22</v>
      </c>
      <c r="M248" t="s">
        <v>40</v>
      </c>
      <c r="N248">
        <f>Sheet1[[#This Row],[Quantity]]*Sheet1[[#This Row],[UnitPrice]]</f>
        <v>1308.0999999999999</v>
      </c>
    </row>
    <row r="249" spans="1:14" x14ac:dyDescent="0.3">
      <c r="A249" s="1">
        <v>45713</v>
      </c>
      <c r="B249" t="s">
        <v>524</v>
      </c>
      <c r="C249" t="s">
        <v>63</v>
      </c>
      <c r="D249" t="s">
        <v>47</v>
      </c>
      <c r="E249" t="s">
        <v>35</v>
      </c>
      <c r="F249">
        <v>4</v>
      </c>
      <c r="G249">
        <v>295.25</v>
      </c>
      <c r="H249" t="s">
        <v>18</v>
      </c>
      <c r="I249" t="s">
        <v>525</v>
      </c>
      <c r="J249" t="s">
        <v>38</v>
      </c>
      <c r="K249" t="s">
        <v>59</v>
      </c>
      <c r="L249" t="s">
        <v>39</v>
      </c>
      <c r="M249" t="s">
        <v>84</v>
      </c>
      <c r="N249">
        <f>Sheet1[[#This Row],[Quantity]]*Sheet1[[#This Row],[UnitPrice]]</f>
        <v>1181</v>
      </c>
    </row>
    <row r="250" spans="1:14" x14ac:dyDescent="0.3">
      <c r="A250" s="1">
        <v>45579</v>
      </c>
      <c r="B250" t="s">
        <v>526</v>
      </c>
      <c r="C250" t="s">
        <v>25</v>
      </c>
      <c r="D250" t="s">
        <v>26</v>
      </c>
      <c r="E250" t="s">
        <v>52</v>
      </c>
      <c r="F250">
        <v>9</v>
      </c>
      <c r="G250">
        <v>311.23</v>
      </c>
      <c r="H250" t="s">
        <v>68</v>
      </c>
      <c r="I250" t="s">
        <v>527</v>
      </c>
      <c r="J250" t="s">
        <v>20</v>
      </c>
      <c r="K250" t="s">
        <v>59</v>
      </c>
      <c r="L250" t="s">
        <v>60</v>
      </c>
      <c r="M250" t="s">
        <v>49</v>
      </c>
      <c r="N250">
        <f>Sheet1[[#This Row],[Quantity]]*Sheet1[[#This Row],[UnitPrice]]</f>
        <v>2801.07</v>
      </c>
    </row>
    <row r="251" spans="1:14" x14ac:dyDescent="0.3">
      <c r="A251" s="1">
        <v>45492</v>
      </c>
      <c r="B251" t="s">
        <v>528</v>
      </c>
      <c r="C251" t="s">
        <v>51</v>
      </c>
      <c r="D251" t="s">
        <v>16</v>
      </c>
      <c r="E251" t="s">
        <v>42</v>
      </c>
      <c r="F251">
        <v>9</v>
      </c>
      <c r="G251">
        <v>85.04</v>
      </c>
      <c r="H251" t="s">
        <v>18</v>
      </c>
      <c r="I251" t="s">
        <v>529</v>
      </c>
      <c r="J251" t="s">
        <v>44</v>
      </c>
      <c r="K251" t="s">
        <v>59</v>
      </c>
      <c r="L251" t="s">
        <v>22</v>
      </c>
      <c r="M251" t="s">
        <v>40</v>
      </c>
      <c r="N251">
        <f>Sheet1[[#This Row],[Quantity]]*Sheet1[[#This Row],[UnitPrice]]</f>
        <v>765.36</v>
      </c>
    </row>
    <row r="252" spans="1:14" x14ac:dyDescent="0.3">
      <c r="A252" s="1">
        <v>45443</v>
      </c>
      <c r="B252" t="s">
        <v>530</v>
      </c>
      <c r="C252" t="s">
        <v>15</v>
      </c>
      <c r="D252" t="s">
        <v>74</v>
      </c>
      <c r="E252" t="s">
        <v>52</v>
      </c>
      <c r="F252">
        <v>5</v>
      </c>
      <c r="G252">
        <v>354.97</v>
      </c>
      <c r="H252" t="s">
        <v>28</v>
      </c>
      <c r="I252" t="s">
        <v>531</v>
      </c>
      <c r="J252" t="s">
        <v>30</v>
      </c>
      <c r="K252" t="s">
        <v>21</v>
      </c>
      <c r="L252" t="s">
        <v>22</v>
      </c>
      <c r="M252" t="s">
        <v>40</v>
      </c>
      <c r="N252">
        <f>Sheet1[[#This Row],[Quantity]]*Sheet1[[#This Row],[UnitPrice]]</f>
        <v>1774.8500000000001</v>
      </c>
    </row>
    <row r="253" spans="1:14" x14ac:dyDescent="0.3">
      <c r="A253" s="1">
        <v>45120</v>
      </c>
      <c r="B253" t="s">
        <v>532</v>
      </c>
      <c r="C253" t="s">
        <v>34</v>
      </c>
      <c r="D253" t="s">
        <v>74</v>
      </c>
      <c r="E253" t="s">
        <v>67</v>
      </c>
      <c r="F253">
        <v>2</v>
      </c>
      <c r="G253">
        <v>300.88</v>
      </c>
      <c r="H253" t="s">
        <v>53</v>
      </c>
      <c r="I253" t="s">
        <v>533</v>
      </c>
      <c r="J253" t="s">
        <v>38</v>
      </c>
      <c r="K253" t="s">
        <v>31</v>
      </c>
      <c r="L253" t="s">
        <v>60</v>
      </c>
      <c r="M253" t="s">
        <v>32</v>
      </c>
      <c r="N253">
        <f>Sheet1[[#This Row],[Quantity]]*Sheet1[[#This Row],[UnitPrice]]</f>
        <v>601.76</v>
      </c>
    </row>
    <row r="254" spans="1:14" x14ac:dyDescent="0.3">
      <c r="A254" s="1">
        <v>45528</v>
      </c>
      <c r="B254" t="s">
        <v>534</v>
      </c>
      <c r="C254" t="s">
        <v>15</v>
      </c>
      <c r="D254" t="s">
        <v>47</v>
      </c>
      <c r="E254" t="s">
        <v>35</v>
      </c>
      <c r="F254">
        <v>10</v>
      </c>
      <c r="G254">
        <v>248.55</v>
      </c>
      <c r="H254" t="s">
        <v>36</v>
      </c>
      <c r="I254" t="s">
        <v>535</v>
      </c>
      <c r="J254" t="s">
        <v>58</v>
      </c>
      <c r="K254" t="s">
        <v>31</v>
      </c>
      <c r="L254" t="s">
        <v>22</v>
      </c>
      <c r="M254" t="s">
        <v>23</v>
      </c>
      <c r="N254">
        <f>Sheet1[[#This Row],[Quantity]]*Sheet1[[#This Row],[UnitPrice]]</f>
        <v>2485.5</v>
      </c>
    </row>
    <row r="255" spans="1:14" x14ac:dyDescent="0.3">
      <c r="A255" s="1">
        <v>44977</v>
      </c>
      <c r="B255" t="s">
        <v>536</v>
      </c>
      <c r="C255" t="s">
        <v>51</v>
      </c>
      <c r="D255" t="s">
        <v>26</v>
      </c>
      <c r="E255" t="s">
        <v>67</v>
      </c>
      <c r="F255">
        <v>5</v>
      </c>
      <c r="G255">
        <v>237.09</v>
      </c>
      <c r="H255" t="s">
        <v>28</v>
      </c>
      <c r="I255" t="s">
        <v>537</v>
      </c>
      <c r="J255" t="s">
        <v>30</v>
      </c>
      <c r="K255" t="s">
        <v>59</v>
      </c>
      <c r="L255" t="s">
        <v>22</v>
      </c>
      <c r="M255" t="s">
        <v>49</v>
      </c>
      <c r="N255">
        <f>Sheet1[[#This Row],[Quantity]]*Sheet1[[#This Row],[UnitPrice]]</f>
        <v>1185.45</v>
      </c>
    </row>
    <row r="256" spans="1:14" x14ac:dyDescent="0.3">
      <c r="A256" s="1">
        <v>45143</v>
      </c>
      <c r="B256" t="s">
        <v>538</v>
      </c>
      <c r="C256" t="s">
        <v>25</v>
      </c>
      <c r="D256" t="s">
        <v>74</v>
      </c>
      <c r="E256" t="s">
        <v>35</v>
      </c>
      <c r="F256">
        <v>5</v>
      </c>
      <c r="G256">
        <v>45.97</v>
      </c>
      <c r="H256" t="s">
        <v>18</v>
      </c>
      <c r="I256" t="s">
        <v>539</v>
      </c>
      <c r="J256" t="s">
        <v>30</v>
      </c>
      <c r="K256" t="s">
        <v>45</v>
      </c>
      <c r="L256" t="s">
        <v>39</v>
      </c>
      <c r="M256" t="s">
        <v>23</v>
      </c>
      <c r="N256">
        <f>Sheet1[[#This Row],[Quantity]]*Sheet1[[#This Row],[UnitPrice]]</f>
        <v>229.85</v>
      </c>
    </row>
    <row r="257" spans="1:14" x14ac:dyDescent="0.3">
      <c r="A257" s="1">
        <v>45317</v>
      </c>
      <c r="B257" t="s">
        <v>359</v>
      </c>
      <c r="C257" t="s">
        <v>78</v>
      </c>
      <c r="D257" t="s">
        <v>26</v>
      </c>
      <c r="E257" t="s">
        <v>35</v>
      </c>
      <c r="F257">
        <v>8</v>
      </c>
      <c r="G257">
        <v>158.02000000000001</v>
      </c>
      <c r="H257" t="s">
        <v>28</v>
      </c>
      <c r="I257" t="s">
        <v>540</v>
      </c>
      <c r="J257" t="s">
        <v>20</v>
      </c>
      <c r="K257" t="s">
        <v>45</v>
      </c>
      <c r="L257" t="s">
        <v>39</v>
      </c>
      <c r="M257" t="s">
        <v>40</v>
      </c>
      <c r="N257">
        <f>Sheet1[[#This Row],[Quantity]]*Sheet1[[#This Row],[UnitPrice]]</f>
        <v>1264.1600000000001</v>
      </c>
    </row>
    <row r="258" spans="1:14" x14ac:dyDescent="0.3">
      <c r="A258" s="1">
        <v>45177</v>
      </c>
      <c r="B258" t="s">
        <v>541</v>
      </c>
      <c r="C258" t="s">
        <v>73</v>
      </c>
      <c r="D258" t="s">
        <v>47</v>
      </c>
      <c r="E258" t="s">
        <v>52</v>
      </c>
      <c r="F258">
        <v>4</v>
      </c>
      <c r="G258">
        <v>217.07</v>
      </c>
      <c r="H258" t="s">
        <v>68</v>
      </c>
      <c r="I258" t="s">
        <v>542</v>
      </c>
      <c r="J258" t="s">
        <v>38</v>
      </c>
      <c r="K258" t="s">
        <v>31</v>
      </c>
      <c r="L258" t="s">
        <v>22</v>
      </c>
      <c r="M258" t="s">
        <v>40</v>
      </c>
      <c r="N258">
        <f>Sheet1[[#This Row],[Quantity]]*Sheet1[[#This Row],[UnitPrice]]</f>
        <v>868.28</v>
      </c>
    </row>
    <row r="259" spans="1:14" x14ac:dyDescent="0.3">
      <c r="A259" s="1">
        <v>45094</v>
      </c>
      <c r="B259" t="s">
        <v>543</v>
      </c>
      <c r="C259" t="s">
        <v>73</v>
      </c>
      <c r="D259" t="s">
        <v>16</v>
      </c>
      <c r="E259" t="s">
        <v>42</v>
      </c>
      <c r="F259">
        <v>7</v>
      </c>
      <c r="G259">
        <v>229.82</v>
      </c>
      <c r="H259" t="s">
        <v>36</v>
      </c>
      <c r="I259" t="s">
        <v>544</v>
      </c>
      <c r="J259" t="s">
        <v>20</v>
      </c>
      <c r="K259" t="s">
        <v>31</v>
      </c>
      <c r="L259" t="s">
        <v>22</v>
      </c>
      <c r="M259" t="s">
        <v>23</v>
      </c>
      <c r="N259">
        <f>Sheet1[[#This Row],[Quantity]]*Sheet1[[#This Row],[UnitPrice]]</f>
        <v>1608.74</v>
      </c>
    </row>
    <row r="260" spans="1:14" x14ac:dyDescent="0.3">
      <c r="A260" s="1">
        <v>45037</v>
      </c>
      <c r="B260" t="s">
        <v>545</v>
      </c>
      <c r="C260" t="s">
        <v>25</v>
      </c>
      <c r="D260" t="s">
        <v>26</v>
      </c>
      <c r="E260" t="s">
        <v>42</v>
      </c>
      <c r="F260">
        <v>10</v>
      </c>
      <c r="G260">
        <v>310.02</v>
      </c>
      <c r="H260" t="s">
        <v>53</v>
      </c>
      <c r="I260" t="s">
        <v>546</v>
      </c>
      <c r="J260" t="s">
        <v>20</v>
      </c>
      <c r="K260" t="s">
        <v>45</v>
      </c>
      <c r="L260" t="s">
        <v>22</v>
      </c>
      <c r="M260" t="s">
        <v>40</v>
      </c>
      <c r="N260">
        <f>Sheet1[[#This Row],[Quantity]]*Sheet1[[#This Row],[UnitPrice]]</f>
        <v>3100.2</v>
      </c>
    </row>
    <row r="261" spans="1:14" x14ac:dyDescent="0.3">
      <c r="A261" s="1">
        <v>45066</v>
      </c>
      <c r="B261" t="s">
        <v>296</v>
      </c>
      <c r="C261" t="s">
        <v>78</v>
      </c>
      <c r="D261" t="s">
        <v>74</v>
      </c>
      <c r="E261" t="s">
        <v>67</v>
      </c>
      <c r="F261">
        <v>10</v>
      </c>
      <c r="G261">
        <v>294.99</v>
      </c>
      <c r="H261" t="s">
        <v>53</v>
      </c>
      <c r="I261" t="s">
        <v>547</v>
      </c>
      <c r="J261" t="s">
        <v>38</v>
      </c>
      <c r="K261" t="s">
        <v>45</v>
      </c>
      <c r="L261" t="s">
        <v>39</v>
      </c>
      <c r="M261" t="s">
        <v>23</v>
      </c>
      <c r="N261">
        <f>Sheet1[[#This Row],[Quantity]]*Sheet1[[#This Row],[UnitPrice]]</f>
        <v>2949.9</v>
      </c>
    </row>
    <row r="262" spans="1:14" x14ac:dyDescent="0.3">
      <c r="A262" s="1">
        <v>45342</v>
      </c>
      <c r="B262" t="s">
        <v>548</v>
      </c>
      <c r="C262" t="s">
        <v>15</v>
      </c>
      <c r="D262" t="s">
        <v>74</v>
      </c>
      <c r="E262" t="s">
        <v>52</v>
      </c>
      <c r="F262">
        <v>7</v>
      </c>
      <c r="G262">
        <v>228.97</v>
      </c>
      <c r="H262" t="s">
        <v>68</v>
      </c>
      <c r="I262" t="s">
        <v>549</v>
      </c>
      <c r="J262" t="s">
        <v>44</v>
      </c>
      <c r="K262" t="s">
        <v>45</v>
      </c>
      <c r="L262" t="s">
        <v>60</v>
      </c>
      <c r="M262" t="s">
        <v>84</v>
      </c>
      <c r="N262">
        <f>Sheet1[[#This Row],[Quantity]]*Sheet1[[#This Row],[UnitPrice]]</f>
        <v>1602.79</v>
      </c>
    </row>
    <row r="263" spans="1:14" x14ac:dyDescent="0.3">
      <c r="A263" s="1">
        <v>45689</v>
      </c>
      <c r="B263" t="s">
        <v>550</v>
      </c>
      <c r="C263" t="s">
        <v>56</v>
      </c>
      <c r="D263" t="s">
        <v>26</v>
      </c>
      <c r="E263" t="s">
        <v>35</v>
      </c>
      <c r="F263">
        <v>4</v>
      </c>
      <c r="G263">
        <v>173.42</v>
      </c>
      <c r="H263" t="s">
        <v>18</v>
      </c>
      <c r="I263" t="s">
        <v>551</v>
      </c>
      <c r="J263" t="s">
        <v>30</v>
      </c>
      <c r="K263" t="s">
        <v>21</v>
      </c>
      <c r="L263" t="s">
        <v>39</v>
      </c>
      <c r="M263" t="s">
        <v>23</v>
      </c>
      <c r="N263">
        <f>Sheet1[[#This Row],[Quantity]]*Sheet1[[#This Row],[UnitPrice]]</f>
        <v>693.68</v>
      </c>
    </row>
    <row r="264" spans="1:14" x14ac:dyDescent="0.3">
      <c r="A264" s="1">
        <v>45147</v>
      </c>
      <c r="B264" t="s">
        <v>233</v>
      </c>
      <c r="C264" t="s">
        <v>101</v>
      </c>
      <c r="D264" t="s">
        <v>26</v>
      </c>
      <c r="E264" t="s">
        <v>67</v>
      </c>
      <c r="F264">
        <v>4</v>
      </c>
      <c r="G264">
        <v>392.47</v>
      </c>
      <c r="H264" t="s">
        <v>28</v>
      </c>
      <c r="I264" t="s">
        <v>552</v>
      </c>
      <c r="J264" t="s">
        <v>38</v>
      </c>
      <c r="K264" t="s">
        <v>21</v>
      </c>
      <c r="L264" t="s">
        <v>39</v>
      </c>
      <c r="M264" t="s">
        <v>76</v>
      </c>
      <c r="N264">
        <f>Sheet1[[#This Row],[Quantity]]*Sheet1[[#This Row],[UnitPrice]]</f>
        <v>1569.88</v>
      </c>
    </row>
    <row r="265" spans="1:14" x14ac:dyDescent="0.3">
      <c r="A265" s="1">
        <v>45243</v>
      </c>
      <c r="B265" t="s">
        <v>553</v>
      </c>
      <c r="C265" t="s">
        <v>15</v>
      </c>
      <c r="D265" t="s">
        <v>47</v>
      </c>
      <c r="E265" t="s">
        <v>67</v>
      </c>
      <c r="F265">
        <v>5</v>
      </c>
      <c r="G265">
        <v>68.88</v>
      </c>
      <c r="H265" t="s">
        <v>68</v>
      </c>
      <c r="I265" t="s">
        <v>554</v>
      </c>
      <c r="J265" t="s">
        <v>30</v>
      </c>
      <c r="K265" t="s">
        <v>45</v>
      </c>
      <c r="L265" t="s">
        <v>22</v>
      </c>
      <c r="M265" t="s">
        <v>49</v>
      </c>
      <c r="N265">
        <f>Sheet1[[#This Row],[Quantity]]*Sheet1[[#This Row],[UnitPrice]]</f>
        <v>344.4</v>
      </c>
    </row>
    <row r="266" spans="1:14" x14ac:dyDescent="0.3">
      <c r="A266" s="1">
        <v>45583</v>
      </c>
      <c r="B266" t="s">
        <v>210</v>
      </c>
      <c r="C266" t="s">
        <v>78</v>
      </c>
      <c r="D266" t="s">
        <v>74</v>
      </c>
      <c r="E266" t="s">
        <v>64</v>
      </c>
      <c r="F266">
        <v>6</v>
      </c>
      <c r="G266">
        <v>335.39</v>
      </c>
      <c r="H266" t="s">
        <v>68</v>
      </c>
      <c r="I266" t="s">
        <v>555</v>
      </c>
      <c r="J266" t="s">
        <v>38</v>
      </c>
      <c r="K266" t="s">
        <v>21</v>
      </c>
      <c r="L266" t="s">
        <v>22</v>
      </c>
      <c r="M266" t="s">
        <v>40</v>
      </c>
      <c r="N266">
        <f>Sheet1[[#This Row],[Quantity]]*Sheet1[[#This Row],[UnitPrice]]</f>
        <v>2012.34</v>
      </c>
    </row>
    <row r="267" spans="1:14" x14ac:dyDescent="0.3">
      <c r="A267" s="1">
        <v>45341</v>
      </c>
      <c r="B267" t="s">
        <v>556</v>
      </c>
      <c r="C267" t="s">
        <v>51</v>
      </c>
      <c r="D267" t="s">
        <v>74</v>
      </c>
      <c r="E267" t="s">
        <v>35</v>
      </c>
      <c r="F267">
        <v>4</v>
      </c>
      <c r="G267">
        <v>29.05</v>
      </c>
      <c r="H267" t="s">
        <v>28</v>
      </c>
      <c r="I267" t="s">
        <v>557</v>
      </c>
      <c r="J267" t="s">
        <v>44</v>
      </c>
      <c r="K267" t="s">
        <v>59</v>
      </c>
      <c r="L267" t="s">
        <v>22</v>
      </c>
      <c r="M267" t="s">
        <v>49</v>
      </c>
      <c r="N267">
        <f>Sheet1[[#This Row],[Quantity]]*Sheet1[[#This Row],[UnitPrice]]</f>
        <v>116.2</v>
      </c>
    </row>
    <row r="268" spans="1:14" x14ac:dyDescent="0.3">
      <c r="A268" s="1">
        <v>44983</v>
      </c>
      <c r="B268" t="s">
        <v>538</v>
      </c>
      <c r="C268" t="s">
        <v>34</v>
      </c>
      <c r="D268" t="s">
        <v>26</v>
      </c>
      <c r="E268" t="s">
        <v>17</v>
      </c>
      <c r="F268">
        <v>3</v>
      </c>
      <c r="G268">
        <v>152.75</v>
      </c>
      <c r="H268" t="s">
        <v>28</v>
      </c>
      <c r="I268" t="s">
        <v>558</v>
      </c>
      <c r="J268" t="s">
        <v>58</v>
      </c>
      <c r="K268" t="s">
        <v>31</v>
      </c>
      <c r="L268" t="s">
        <v>39</v>
      </c>
      <c r="M268" t="s">
        <v>61</v>
      </c>
      <c r="N268">
        <f>Sheet1[[#This Row],[Quantity]]*Sheet1[[#This Row],[UnitPrice]]</f>
        <v>458.25</v>
      </c>
    </row>
    <row r="269" spans="1:14" x14ac:dyDescent="0.3">
      <c r="A269" s="1">
        <v>45364</v>
      </c>
      <c r="B269" t="s">
        <v>559</v>
      </c>
      <c r="C269" t="s">
        <v>51</v>
      </c>
      <c r="D269" t="s">
        <v>47</v>
      </c>
      <c r="E269" t="s">
        <v>42</v>
      </c>
      <c r="F269">
        <v>8</v>
      </c>
      <c r="G269">
        <v>231.47</v>
      </c>
      <c r="H269" t="s">
        <v>36</v>
      </c>
      <c r="I269" t="s">
        <v>560</v>
      </c>
      <c r="J269" t="s">
        <v>44</v>
      </c>
      <c r="K269" t="s">
        <v>45</v>
      </c>
      <c r="L269" t="s">
        <v>39</v>
      </c>
      <c r="M269" t="s">
        <v>76</v>
      </c>
      <c r="N269">
        <f>Sheet1[[#This Row],[Quantity]]*Sheet1[[#This Row],[UnitPrice]]</f>
        <v>1851.76</v>
      </c>
    </row>
    <row r="270" spans="1:14" x14ac:dyDescent="0.3">
      <c r="A270" s="1">
        <v>45820</v>
      </c>
      <c r="B270" t="s">
        <v>561</v>
      </c>
      <c r="C270" t="s">
        <v>34</v>
      </c>
      <c r="D270" t="s">
        <v>47</v>
      </c>
      <c r="E270" t="s">
        <v>35</v>
      </c>
      <c r="F270">
        <v>9</v>
      </c>
      <c r="G270">
        <v>328.28</v>
      </c>
      <c r="H270" t="s">
        <v>36</v>
      </c>
      <c r="I270" t="s">
        <v>562</v>
      </c>
      <c r="J270" t="s">
        <v>20</v>
      </c>
      <c r="K270" t="s">
        <v>21</v>
      </c>
      <c r="L270" t="s">
        <v>22</v>
      </c>
      <c r="M270" t="s">
        <v>32</v>
      </c>
      <c r="N270">
        <f>Sheet1[[#This Row],[Quantity]]*Sheet1[[#This Row],[UnitPrice]]</f>
        <v>2954.5199999999995</v>
      </c>
    </row>
    <row r="271" spans="1:14" x14ac:dyDescent="0.3">
      <c r="A271" s="1">
        <v>45794</v>
      </c>
      <c r="B271" t="s">
        <v>418</v>
      </c>
      <c r="C271" t="s">
        <v>34</v>
      </c>
      <c r="D271" t="s">
        <v>47</v>
      </c>
      <c r="E271" t="s">
        <v>64</v>
      </c>
      <c r="F271">
        <v>9</v>
      </c>
      <c r="G271">
        <v>254.76</v>
      </c>
      <c r="H271" t="s">
        <v>36</v>
      </c>
      <c r="I271" t="s">
        <v>563</v>
      </c>
      <c r="J271" t="s">
        <v>44</v>
      </c>
      <c r="K271" t="s">
        <v>59</v>
      </c>
      <c r="L271" t="s">
        <v>60</v>
      </c>
      <c r="M271" t="s">
        <v>23</v>
      </c>
      <c r="N271">
        <f>Sheet1[[#This Row],[Quantity]]*Sheet1[[#This Row],[UnitPrice]]</f>
        <v>2292.84</v>
      </c>
    </row>
    <row r="272" spans="1:14" x14ac:dyDescent="0.3">
      <c r="A272" s="1">
        <v>45052</v>
      </c>
      <c r="B272" t="s">
        <v>564</v>
      </c>
      <c r="C272" t="s">
        <v>25</v>
      </c>
      <c r="D272" t="s">
        <v>26</v>
      </c>
      <c r="E272" t="s">
        <v>27</v>
      </c>
      <c r="F272">
        <v>3</v>
      </c>
      <c r="G272">
        <v>174.62</v>
      </c>
      <c r="H272" t="s">
        <v>36</v>
      </c>
      <c r="I272" t="s">
        <v>565</v>
      </c>
      <c r="J272" t="s">
        <v>30</v>
      </c>
      <c r="K272" t="s">
        <v>45</v>
      </c>
      <c r="L272" t="s">
        <v>22</v>
      </c>
      <c r="M272" t="s">
        <v>23</v>
      </c>
      <c r="N272">
        <f>Sheet1[[#This Row],[Quantity]]*Sheet1[[#This Row],[UnitPrice]]</f>
        <v>523.86</v>
      </c>
    </row>
    <row r="273" spans="1:14" x14ac:dyDescent="0.3">
      <c r="A273" s="1">
        <v>45335</v>
      </c>
      <c r="B273" t="s">
        <v>566</v>
      </c>
      <c r="C273" t="s">
        <v>25</v>
      </c>
      <c r="D273" t="s">
        <v>16</v>
      </c>
      <c r="E273" t="s">
        <v>52</v>
      </c>
      <c r="F273">
        <v>2</v>
      </c>
      <c r="G273">
        <v>332.06</v>
      </c>
      <c r="H273" t="s">
        <v>18</v>
      </c>
      <c r="I273" t="s">
        <v>567</v>
      </c>
      <c r="J273" t="s">
        <v>30</v>
      </c>
      <c r="K273" t="s">
        <v>45</v>
      </c>
      <c r="L273" t="s">
        <v>39</v>
      </c>
      <c r="M273" t="s">
        <v>84</v>
      </c>
      <c r="N273">
        <f>Sheet1[[#This Row],[Quantity]]*Sheet1[[#This Row],[UnitPrice]]</f>
        <v>664.12</v>
      </c>
    </row>
    <row r="274" spans="1:14" x14ac:dyDescent="0.3">
      <c r="A274" s="1">
        <v>45220</v>
      </c>
      <c r="B274" t="s">
        <v>568</v>
      </c>
      <c r="C274" t="s">
        <v>78</v>
      </c>
      <c r="D274" t="s">
        <v>26</v>
      </c>
      <c r="E274" t="s">
        <v>27</v>
      </c>
      <c r="F274">
        <v>5</v>
      </c>
      <c r="G274">
        <v>170.02</v>
      </c>
      <c r="H274" t="s">
        <v>68</v>
      </c>
      <c r="I274" t="s">
        <v>569</v>
      </c>
      <c r="J274" t="s">
        <v>30</v>
      </c>
      <c r="K274" t="s">
        <v>31</v>
      </c>
      <c r="L274" t="s">
        <v>60</v>
      </c>
      <c r="M274" t="s">
        <v>23</v>
      </c>
      <c r="N274">
        <f>Sheet1[[#This Row],[Quantity]]*Sheet1[[#This Row],[UnitPrice]]</f>
        <v>850.1</v>
      </c>
    </row>
    <row r="275" spans="1:14" x14ac:dyDescent="0.3">
      <c r="A275" s="1">
        <v>45613</v>
      </c>
      <c r="B275" t="s">
        <v>570</v>
      </c>
      <c r="C275" t="s">
        <v>34</v>
      </c>
      <c r="D275" t="s">
        <v>47</v>
      </c>
      <c r="E275" t="s">
        <v>42</v>
      </c>
      <c r="F275">
        <v>3</v>
      </c>
      <c r="G275">
        <v>17.98</v>
      </c>
      <c r="H275" t="s">
        <v>28</v>
      </c>
      <c r="I275" t="s">
        <v>571</v>
      </c>
      <c r="J275" t="s">
        <v>38</v>
      </c>
      <c r="K275" t="s">
        <v>31</v>
      </c>
      <c r="L275" t="s">
        <v>39</v>
      </c>
      <c r="M275" t="s">
        <v>61</v>
      </c>
      <c r="N275">
        <f>Sheet1[[#This Row],[Quantity]]*Sheet1[[#This Row],[UnitPrice]]</f>
        <v>53.94</v>
      </c>
    </row>
    <row r="276" spans="1:14" x14ac:dyDescent="0.3">
      <c r="A276" s="1">
        <v>44998</v>
      </c>
      <c r="B276" t="s">
        <v>572</v>
      </c>
      <c r="C276" t="s">
        <v>51</v>
      </c>
      <c r="D276" t="s">
        <v>26</v>
      </c>
      <c r="E276" t="s">
        <v>35</v>
      </c>
      <c r="F276">
        <v>1</v>
      </c>
      <c r="G276">
        <v>188.28</v>
      </c>
      <c r="H276" t="s">
        <v>68</v>
      </c>
      <c r="I276" t="s">
        <v>573</v>
      </c>
      <c r="J276" t="s">
        <v>30</v>
      </c>
      <c r="K276" t="s">
        <v>45</v>
      </c>
      <c r="L276" t="s">
        <v>60</v>
      </c>
      <c r="M276" t="s">
        <v>49</v>
      </c>
      <c r="N276">
        <f>Sheet1[[#This Row],[Quantity]]*Sheet1[[#This Row],[UnitPrice]]</f>
        <v>188.28</v>
      </c>
    </row>
    <row r="277" spans="1:14" x14ac:dyDescent="0.3">
      <c r="A277" s="1">
        <v>45617</v>
      </c>
      <c r="B277" t="s">
        <v>463</v>
      </c>
      <c r="C277" t="s">
        <v>63</v>
      </c>
      <c r="D277" t="s">
        <v>26</v>
      </c>
      <c r="E277" t="s">
        <v>52</v>
      </c>
      <c r="F277">
        <v>1</v>
      </c>
      <c r="G277">
        <v>380.74</v>
      </c>
      <c r="H277" t="s">
        <v>68</v>
      </c>
      <c r="I277" t="s">
        <v>574</v>
      </c>
      <c r="J277" t="s">
        <v>44</v>
      </c>
      <c r="K277" t="s">
        <v>21</v>
      </c>
      <c r="L277" t="s">
        <v>22</v>
      </c>
      <c r="M277" t="s">
        <v>32</v>
      </c>
      <c r="N277">
        <f>Sheet1[[#This Row],[Quantity]]*Sheet1[[#This Row],[UnitPrice]]</f>
        <v>380.74</v>
      </c>
    </row>
    <row r="278" spans="1:14" x14ac:dyDescent="0.3">
      <c r="A278" s="1">
        <v>44994</v>
      </c>
      <c r="B278" t="s">
        <v>575</v>
      </c>
      <c r="C278" t="s">
        <v>25</v>
      </c>
      <c r="D278" t="s">
        <v>16</v>
      </c>
      <c r="E278" t="s">
        <v>67</v>
      </c>
      <c r="F278">
        <v>8</v>
      </c>
      <c r="G278">
        <v>396.79</v>
      </c>
      <c r="H278" t="s">
        <v>68</v>
      </c>
      <c r="I278" t="s">
        <v>576</v>
      </c>
      <c r="J278" t="s">
        <v>30</v>
      </c>
      <c r="K278" t="s">
        <v>31</v>
      </c>
      <c r="L278" t="s">
        <v>22</v>
      </c>
      <c r="M278" t="s">
        <v>32</v>
      </c>
      <c r="N278">
        <f>Sheet1[[#This Row],[Quantity]]*Sheet1[[#This Row],[UnitPrice]]</f>
        <v>3174.32</v>
      </c>
    </row>
    <row r="279" spans="1:14" x14ac:dyDescent="0.3">
      <c r="A279" s="1">
        <v>45475</v>
      </c>
      <c r="B279" t="s">
        <v>577</v>
      </c>
      <c r="C279" t="s">
        <v>90</v>
      </c>
      <c r="D279" t="s">
        <v>74</v>
      </c>
      <c r="E279" t="s">
        <v>42</v>
      </c>
      <c r="F279">
        <v>3</v>
      </c>
      <c r="G279">
        <v>86.64</v>
      </c>
      <c r="H279" t="s">
        <v>28</v>
      </c>
      <c r="I279" t="s">
        <v>578</v>
      </c>
      <c r="J279" t="s">
        <v>58</v>
      </c>
      <c r="K279" t="s">
        <v>21</v>
      </c>
      <c r="L279" t="s">
        <v>39</v>
      </c>
      <c r="M279" t="s">
        <v>84</v>
      </c>
      <c r="N279">
        <f>Sheet1[[#This Row],[Quantity]]*Sheet1[[#This Row],[UnitPrice]]</f>
        <v>259.92</v>
      </c>
    </row>
    <row r="280" spans="1:14" x14ac:dyDescent="0.3">
      <c r="A280" s="1">
        <v>45649</v>
      </c>
      <c r="B280" t="s">
        <v>579</v>
      </c>
      <c r="C280" t="s">
        <v>90</v>
      </c>
      <c r="D280" t="s">
        <v>74</v>
      </c>
      <c r="E280" t="s">
        <v>42</v>
      </c>
      <c r="F280">
        <v>8</v>
      </c>
      <c r="G280">
        <v>45.99</v>
      </c>
      <c r="H280" t="s">
        <v>53</v>
      </c>
      <c r="I280" t="s">
        <v>580</v>
      </c>
      <c r="J280" t="s">
        <v>38</v>
      </c>
      <c r="K280" t="s">
        <v>45</v>
      </c>
      <c r="L280" t="s">
        <v>39</v>
      </c>
      <c r="M280" t="s">
        <v>49</v>
      </c>
      <c r="N280">
        <f>Sheet1[[#This Row],[Quantity]]*Sheet1[[#This Row],[UnitPrice]]</f>
        <v>367.92</v>
      </c>
    </row>
    <row r="281" spans="1:14" x14ac:dyDescent="0.3">
      <c r="A281" s="1">
        <v>45264</v>
      </c>
      <c r="B281" t="s">
        <v>581</v>
      </c>
      <c r="C281" t="s">
        <v>73</v>
      </c>
      <c r="D281" t="s">
        <v>26</v>
      </c>
      <c r="E281" t="s">
        <v>42</v>
      </c>
      <c r="F281">
        <v>1</v>
      </c>
      <c r="G281">
        <v>201.06</v>
      </c>
      <c r="H281" t="s">
        <v>36</v>
      </c>
      <c r="I281" t="s">
        <v>582</v>
      </c>
      <c r="J281" t="s">
        <v>30</v>
      </c>
      <c r="K281" t="s">
        <v>31</v>
      </c>
      <c r="L281" t="s">
        <v>60</v>
      </c>
      <c r="M281" t="s">
        <v>49</v>
      </c>
      <c r="N281">
        <f>Sheet1[[#This Row],[Quantity]]*Sheet1[[#This Row],[UnitPrice]]</f>
        <v>201.06</v>
      </c>
    </row>
    <row r="282" spans="1:14" x14ac:dyDescent="0.3">
      <c r="A282" s="1">
        <v>45657</v>
      </c>
      <c r="B282" t="s">
        <v>583</v>
      </c>
      <c r="C282" t="s">
        <v>34</v>
      </c>
      <c r="D282" t="s">
        <v>26</v>
      </c>
      <c r="E282" t="s">
        <v>52</v>
      </c>
      <c r="F282">
        <v>7</v>
      </c>
      <c r="G282">
        <v>206.22</v>
      </c>
      <c r="H282" t="s">
        <v>28</v>
      </c>
      <c r="I282" t="s">
        <v>584</v>
      </c>
      <c r="J282" t="s">
        <v>44</v>
      </c>
      <c r="K282" t="s">
        <v>45</v>
      </c>
      <c r="L282" t="s">
        <v>22</v>
      </c>
      <c r="M282" t="s">
        <v>84</v>
      </c>
      <c r="N282">
        <f>Sheet1[[#This Row],[Quantity]]*Sheet1[[#This Row],[UnitPrice]]</f>
        <v>1443.54</v>
      </c>
    </row>
    <row r="283" spans="1:14" x14ac:dyDescent="0.3">
      <c r="A283" s="1">
        <v>44951</v>
      </c>
      <c r="B283" t="s">
        <v>585</v>
      </c>
      <c r="C283" t="s">
        <v>101</v>
      </c>
      <c r="D283" t="s">
        <v>26</v>
      </c>
      <c r="E283" t="s">
        <v>52</v>
      </c>
      <c r="F283">
        <v>3</v>
      </c>
      <c r="G283">
        <v>18.59</v>
      </c>
      <c r="H283" t="s">
        <v>68</v>
      </c>
      <c r="I283" t="s">
        <v>586</v>
      </c>
      <c r="J283" t="s">
        <v>44</v>
      </c>
      <c r="K283" t="s">
        <v>31</v>
      </c>
      <c r="L283" t="s">
        <v>22</v>
      </c>
      <c r="M283" t="s">
        <v>76</v>
      </c>
      <c r="N283">
        <f>Sheet1[[#This Row],[Quantity]]*Sheet1[[#This Row],[UnitPrice]]</f>
        <v>55.769999999999996</v>
      </c>
    </row>
    <row r="284" spans="1:14" x14ac:dyDescent="0.3">
      <c r="A284" s="1">
        <v>45515</v>
      </c>
      <c r="B284" t="s">
        <v>587</v>
      </c>
      <c r="C284" t="s">
        <v>56</v>
      </c>
      <c r="D284" t="s">
        <v>47</v>
      </c>
      <c r="E284" t="s">
        <v>42</v>
      </c>
      <c r="F284">
        <v>5</v>
      </c>
      <c r="G284">
        <v>164.32</v>
      </c>
      <c r="H284" t="s">
        <v>36</v>
      </c>
      <c r="I284" t="s">
        <v>588</v>
      </c>
      <c r="J284" t="s">
        <v>20</v>
      </c>
      <c r="K284" t="s">
        <v>31</v>
      </c>
      <c r="L284" t="s">
        <v>39</v>
      </c>
      <c r="M284" t="s">
        <v>61</v>
      </c>
      <c r="N284">
        <f>Sheet1[[#This Row],[Quantity]]*Sheet1[[#This Row],[UnitPrice]]</f>
        <v>821.59999999999991</v>
      </c>
    </row>
    <row r="285" spans="1:14" x14ac:dyDescent="0.3">
      <c r="A285" s="1">
        <v>45820</v>
      </c>
      <c r="B285" t="s">
        <v>589</v>
      </c>
      <c r="C285" t="s">
        <v>56</v>
      </c>
      <c r="D285" t="s">
        <v>74</v>
      </c>
      <c r="E285" t="s">
        <v>27</v>
      </c>
      <c r="F285">
        <v>9</v>
      </c>
      <c r="G285">
        <v>249.93</v>
      </c>
      <c r="H285" t="s">
        <v>18</v>
      </c>
      <c r="I285" t="s">
        <v>590</v>
      </c>
      <c r="J285" t="s">
        <v>58</v>
      </c>
      <c r="K285" t="s">
        <v>21</v>
      </c>
      <c r="L285" t="s">
        <v>60</v>
      </c>
      <c r="M285" t="s">
        <v>32</v>
      </c>
      <c r="N285">
        <f>Sheet1[[#This Row],[Quantity]]*Sheet1[[#This Row],[UnitPrice]]</f>
        <v>2249.37</v>
      </c>
    </row>
    <row r="286" spans="1:14" x14ac:dyDescent="0.3">
      <c r="A286" s="1">
        <v>45105</v>
      </c>
      <c r="B286" t="s">
        <v>591</v>
      </c>
      <c r="C286" t="s">
        <v>34</v>
      </c>
      <c r="D286" t="s">
        <v>47</v>
      </c>
      <c r="E286" t="s">
        <v>17</v>
      </c>
      <c r="F286">
        <v>8</v>
      </c>
      <c r="G286">
        <v>216.91</v>
      </c>
      <c r="H286" t="s">
        <v>53</v>
      </c>
      <c r="I286" t="s">
        <v>592</v>
      </c>
      <c r="J286" t="s">
        <v>58</v>
      </c>
      <c r="K286" t="s">
        <v>21</v>
      </c>
      <c r="L286" t="s">
        <v>60</v>
      </c>
      <c r="M286" t="s">
        <v>76</v>
      </c>
      <c r="N286">
        <f>Sheet1[[#This Row],[Quantity]]*Sheet1[[#This Row],[UnitPrice]]</f>
        <v>1735.28</v>
      </c>
    </row>
    <row r="287" spans="1:14" x14ac:dyDescent="0.3">
      <c r="A287" s="1">
        <v>45206</v>
      </c>
      <c r="B287" t="s">
        <v>231</v>
      </c>
      <c r="C287" t="s">
        <v>51</v>
      </c>
      <c r="D287" t="s">
        <v>26</v>
      </c>
      <c r="E287" t="s">
        <v>42</v>
      </c>
      <c r="F287">
        <v>1</v>
      </c>
      <c r="G287">
        <v>53.75</v>
      </c>
      <c r="H287" t="s">
        <v>68</v>
      </c>
      <c r="I287" t="s">
        <v>593</v>
      </c>
      <c r="J287" t="s">
        <v>44</v>
      </c>
      <c r="K287" t="s">
        <v>31</v>
      </c>
      <c r="L287" t="s">
        <v>60</v>
      </c>
      <c r="M287" t="s">
        <v>23</v>
      </c>
      <c r="N287">
        <f>Sheet1[[#This Row],[Quantity]]*Sheet1[[#This Row],[UnitPrice]]</f>
        <v>53.75</v>
      </c>
    </row>
    <row r="288" spans="1:14" x14ac:dyDescent="0.3">
      <c r="A288" s="1">
        <v>45726</v>
      </c>
      <c r="B288" t="s">
        <v>594</v>
      </c>
      <c r="C288" t="s">
        <v>25</v>
      </c>
      <c r="D288" t="s">
        <v>26</v>
      </c>
      <c r="E288" t="s">
        <v>17</v>
      </c>
      <c r="F288">
        <v>3</v>
      </c>
      <c r="G288">
        <v>149.79</v>
      </c>
      <c r="H288" t="s">
        <v>28</v>
      </c>
      <c r="I288" t="s">
        <v>595</v>
      </c>
      <c r="J288" t="s">
        <v>58</v>
      </c>
      <c r="K288" t="s">
        <v>45</v>
      </c>
      <c r="L288" t="s">
        <v>22</v>
      </c>
      <c r="M288" t="s">
        <v>49</v>
      </c>
      <c r="N288">
        <f>Sheet1[[#This Row],[Quantity]]*Sheet1[[#This Row],[UnitPrice]]</f>
        <v>449.37</v>
      </c>
    </row>
    <row r="289" spans="1:14" x14ac:dyDescent="0.3">
      <c r="A289" s="1">
        <v>45011</v>
      </c>
      <c r="B289" t="s">
        <v>596</v>
      </c>
      <c r="C289" t="s">
        <v>63</v>
      </c>
      <c r="D289" t="s">
        <v>26</v>
      </c>
      <c r="E289" t="s">
        <v>35</v>
      </c>
      <c r="F289">
        <v>5</v>
      </c>
      <c r="G289">
        <v>133.72</v>
      </c>
      <c r="H289" t="s">
        <v>68</v>
      </c>
      <c r="I289" t="s">
        <v>597</v>
      </c>
      <c r="J289" t="s">
        <v>58</v>
      </c>
      <c r="K289" t="s">
        <v>31</v>
      </c>
      <c r="L289" t="s">
        <v>60</v>
      </c>
      <c r="M289" t="s">
        <v>61</v>
      </c>
      <c r="N289">
        <f>Sheet1[[#This Row],[Quantity]]*Sheet1[[#This Row],[UnitPrice]]</f>
        <v>668.6</v>
      </c>
    </row>
    <row r="290" spans="1:14" x14ac:dyDescent="0.3">
      <c r="A290" s="1">
        <v>45003</v>
      </c>
      <c r="B290" t="s">
        <v>412</v>
      </c>
      <c r="C290" t="s">
        <v>15</v>
      </c>
      <c r="D290" t="s">
        <v>26</v>
      </c>
      <c r="E290" t="s">
        <v>42</v>
      </c>
      <c r="F290">
        <v>1</v>
      </c>
      <c r="G290">
        <v>305.19</v>
      </c>
      <c r="H290" t="s">
        <v>53</v>
      </c>
      <c r="I290" t="s">
        <v>598</v>
      </c>
      <c r="J290" t="s">
        <v>58</v>
      </c>
      <c r="K290" t="s">
        <v>21</v>
      </c>
      <c r="L290" t="s">
        <v>39</v>
      </c>
      <c r="M290" t="s">
        <v>23</v>
      </c>
      <c r="N290">
        <f>Sheet1[[#This Row],[Quantity]]*Sheet1[[#This Row],[UnitPrice]]</f>
        <v>305.19</v>
      </c>
    </row>
    <row r="291" spans="1:14" x14ac:dyDescent="0.3">
      <c r="A291" s="1">
        <v>45819</v>
      </c>
      <c r="B291" t="s">
        <v>599</v>
      </c>
      <c r="C291" t="s">
        <v>78</v>
      </c>
      <c r="D291" t="s">
        <v>16</v>
      </c>
      <c r="E291" t="s">
        <v>17</v>
      </c>
      <c r="F291">
        <v>10</v>
      </c>
      <c r="G291">
        <v>287.93</v>
      </c>
      <c r="H291" t="s">
        <v>53</v>
      </c>
      <c r="I291" t="s">
        <v>600</v>
      </c>
      <c r="J291" t="s">
        <v>30</v>
      </c>
      <c r="K291" t="s">
        <v>31</v>
      </c>
      <c r="L291" t="s">
        <v>22</v>
      </c>
      <c r="M291" t="s">
        <v>76</v>
      </c>
      <c r="N291">
        <f>Sheet1[[#This Row],[Quantity]]*Sheet1[[#This Row],[UnitPrice]]</f>
        <v>2879.3</v>
      </c>
    </row>
    <row r="292" spans="1:14" x14ac:dyDescent="0.3">
      <c r="A292" s="1">
        <v>45063</v>
      </c>
      <c r="B292" t="s">
        <v>601</v>
      </c>
      <c r="C292" t="s">
        <v>73</v>
      </c>
      <c r="D292" t="s">
        <v>47</v>
      </c>
      <c r="E292" t="s">
        <v>17</v>
      </c>
      <c r="F292">
        <v>10</v>
      </c>
      <c r="G292">
        <v>356.74</v>
      </c>
      <c r="H292" t="s">
        <v>36</v>
      </c>
      <c r="I292" t="s">
        <v>602</v>
      </c>
      <c r="J292" t="s">
        <v>20</v>
      </c>
      <c r="K292" t="s">
        <v>45</v>
      </c>
      <c r="L292" t="s">
        <v>60</v>
      </c>
      <c r="M292" t="s">
        <v>76</v>
      </c>
      <c r="N292">
        <f>Sheet1[[#This Row],[Quantity]]*Sheet1[[#This Row],[UnitPrice]]</f>
        <v>3567.4</v>
      </c>
    </row>
    <row r="293" spans="1:14" x14ac:dyDescent="0.3">
      <c r="A293" s="1">
        <v>45338</v>
      </c>
      <c r="B293" t="s">
        <v>603</v>
      </c>
      <c r="C293" t="s">
        <v>101</v>
      </c>
      <c r="D293" t="s">
        <v>16</v>
      </c>
      <c r="E293" t="s">
        <v>64</v>
      </c>
      <c r="F293">
        <v>10</v>
      </c>
      <c r="G293">
        <v>105.45</v>
      </c>
      <c r="H293" t="s">
        <v>53</v>
      </c>
      <c r="I293" t="s">
        <v>604</v>
      </c>
      <c r="J293" t="s">
        <v>30</v>
      </c>
      <c r="K293" t="s">
        <v>59</v>
      </c>
      <c r="L293" t="s">
        <v>39</v>
      </c>
      <c r="M293" t="s">
        <v>40</v>
      </c>
      <c r="N293">
        <f>Sheet1[[#This Row],[Quantity]]*Sheet1[[#This Row],[UnitPrice]]</f>
        <v>1054.5</v>
      </c>
    </row>
    <row r="294" spans="1:14" x14ac:dyDescent="0.3">
      <c r="A294" s="1">
        <v>45603</v>
      </c>
      <c r="B294" t="s">
        <v>605</v>
      </c>
      <c r="C294" t="s">
        <v>25</v>
      </c>
      <c r="D294" t="s">
        <v>47</v>
      </c>
      <c r="E294" t="s">
        <v>27</v>
      </c>
      <c r="F294">
        <v>10</v>
      </c>
      <c r="G294">
        <v>369.1</v>
      </c>
      <c r="H294" t="s">
        <v>68</v>
      </c>
      <c r="I294" t="s">
        <v>606</v>
      </c>
      <c r="J294" t="s">
        <v>44</v>
      </c>
      <c r="K294" t="s">
        <v>21</v>
      </c>
      <c r="L294" t="s">
        <v>39</v>
      </c>
      <c r="M294" t="s">
        <v>32</v>
      </c>
      <c r="N294">
        <f>Sheet1[[#This Row],[Quantity]]*Sheet1[[#This Row],[UnitPrice]]</f>
        <v>3691</v>
      </c>
    </row>
    <row r="295" spans="1:14" x14ac:dyDescent="0.3">
      <c r="A295" s="1">
        <v>45630</v>
      </c>
      <c r="B295" t="s">
        <v>599</v>
      </c>
      <c r="C295" t="s">
        <v>34</v>
      </c>
      <c r="D295" t="s">
        <v>16</v>
      </c>
      <c r="E295" t="s">
        <v>64</v>
      </c>
      <c r="F295">
        <v>8</v>
      </c>
      <c r="G295">
        <v>62.29</v>
      </c>
      <c r="H295" t="s">
        <v>36</v>
      </c>
      <c r="I295" t="s">
        <v>607</v>
      </c>
      <c r="J295" t="s">
        <v>38</v>
      </c>
      <c r="K295" t="s">
        <v>45</v>
      </c>
      <c r="L295" t="s">
        <v>22</v>
      </c>
      <c r="M295" t="s">
        <v>76</v>
      </c>
      <c r="N295">
        <f>Sheet1[[#This Row],[Quantity]]*Sheet1[[#This Row],[UnitPrice]]</f>
        <v>498.32</v>
      </c>
    </row>
    <row r="296" spans="1:14" x14ac:dyDescent="0.3">
      <c r="A296" s="1">
        <v>45057</v>
      </c>
      <c r="B296" t="s">
        <v>608</v>
      </c>
      <c r="C296" t="s">
        <v>51</v>
      </c>
      <c r="D296" t="s">
        <v>74</v>
      </c>
      <c r="E296" t="s">
        <v>17</v>
      </c>
      <c r="F296">
        <v>3</v>
      </c>
      <c r="G296">
        <v>168.63</v>
      </c>
      <c r="H296" t="s">
        <v>53</v>
      </c>
      <c r="I296" t="s">
        <v>609</v>
      </c>
      <c r="J296" t="s">
        <v>20</v>
      </c>
      <c r="K296" t="s">
        <v>31</v>
      </c>
      <c r="L296" t="s">
        <v>60</v>
      </c>
      <c r="M296" t="s">
        <v>32</v>
      </c>
      <c r="N296">
        <f>Sheet1[[#This Row],[Quantity]]*Sheet1[[#This Row],[UnitPrice]]</f>
        <v>505.89</v>
      </c>
    </row>
    <row r="297" spans="1:14" x14ac:dyDescent="0.3">
      <c r="A297" s="1">
        <v>45705</v>
      </c>
      <c r="B297" t="s">
        <v>610</v>
      </c>
      <c r="C297" t="s">
        <v>63</v>
      </c>
      <c r="D297" t="s">
        <v>74</v>
      </c>
      <c r="E297" t="s">
        <v>67</v>
      </c>
      <c r="F297">
        <v>4</v>
      </c>
      <c r="G297">
        <v>153.75</v>
      </c>
      <c r="H297" t="s">
        <v>18</v>
      </c>
      <c r="I297" t="s">
        <v>611</v>
      </c>
      <c r="J297" t="s">
        <v>30</v>
      </c>
      <c r="K297" t="s">
        <v>31</v>
      </c>
      <c r="L297" t="s">
        <v>60</v>
      </c>
      <c r="M297" t="s">
        <v>49</v>
      </c>
      <c r="N297">
        <f>Sheet1[[#This Row],[Quantity]]*Sheet1[[#This Row],[UnitPrice]]</f>
        <v>615</v>
      </c>
    </row>
    <row r="298" spans="1:14" x14ac:dyDescent="0.3">
      <c r="A298" s="1">
        <v>45006</v>
      </c>
      <c r="B298" t="s">
        <v>436</v>
      </c>
      <c r="C298" t="s">
        <v>34</v>
      </c>
      <c r="D298" t="s">
        <v>16</v>
      </c>
      <c r="E298" t="s">
        <v>52</v>
      </c>
      <c r="F298">
        <v>7</v>
      </c>
      <c r="G298">
        <v>24.39</v>
      </c>
      <c r="H298" t="s">
        <v>28</v>
      </c>
      <c r="I298" t="s">
        <v>612</v>
      </c>
      <c r="J298" t="s">
        <v>44</v>
      </c>
      <c r="K298" t="s">
        <v>21</v>
      </c>
      <c r="L298" t="s">
        <v>39</v>
      </c>
      <c r="M298" t="s">
        <v>84</v>
      </c>
      <c r="N298">
        <f>Sheet1[[#This Row],[Quantity]]*Sheet1[[#This Row],[UnitPrice]]</f>
        <v>170.73000000000002</v>
      </c>
    </row>
    <row r="299" spans="1:14" x14ac:dyDescent="0.3">
      <c r="A299" s="1">
        <v>45667</v>
      </c>
      <c r="B299" t="s">
        <v>261</v>
      </c>
      <c r="C299" t="s">
        <v>25</v>
      </c>
      <c r="D299" t="s">
        <v>16</v>
      </c>
      <c r="E299" t="s">
        <v>42</v>
      </c>
      <c r="F299">
        <v>3</v>
      </c>
      <c r="G299">
        <v>258.74</v>
      </c>
      <c r="H299" t="s">
        <v>36</v>
      </c>
      <c r="I299" t="s">
        <v>613</v>
      </c>
      <c r="J299" t="s">
        <v>30</v>
      </c>
      <c r="K299" t="s">
        <v>31</v>
      </c>
      <c r="L299" t="s">
        <v>22</v>
      </c>
      <c r="M299" t="s">
        <v>40</v>
      </c>
      <c r="N299">
        <f>Sheet1[[#This Row],[Quantity]]*Sheet1[[#This Row],[UnitPrice]]</f>
        <v>776.22</v>
      </c>
    </row>
    <row r="300" spans="1:14" x14ac:dyDescent="0.3">
      <c r="A300" s="1">
        <v>45667</v>
      </c>
      <c r="B300" t="s">
        <v>614</v>
      </c>
      <c r="C300" t="s">
        <v>25</v>
      </c>
      <c r="D300" t="s">
        <v>16</v>
      </c>
      <c r="E300" t="s">
        <v>64</v>
      </c>
      <c r="F300">
        <v>10</v>
      </c>
      <c r="G300">
        <v>19.72</v>
      </c>
      <c r="H300" t="s">
        <v>53</v>
      </c>
      <c r="I300" t="s">
        <v>615</v>
      </c>
      <c r="J300" t="s">
        <v>58</v>
      </c>
      <c r="K300" t="s">
        <v>59</v>
      </c>
      <c r="L300" t="s">
        <v>60</v>
      </c>
      <c r="M300" t="s">
        <v>40</v>
      </c>
      <c r="N300">
        <f>Sheet1[[#This Row],[Quantity]]*Sheet1[[#This Row],[UnitPrice]]</f>
        <v>197.2</v>
      </c>
    </row>
    <row r="301" spans="1:14" x14ac:dyDescent="0.3">
      <c r="A301" s="1">
        <v>45760</v>
      </c>
      <c r="B301" t="s">
        <v>14</v>
      </c>
      <c r="C301" t="s">
        <v>101</v>
      </c>
      <c r="D301" t="s">
        <v>16</v>
      </c>
      <c r="E301" t="s">
        <v>27</v>
      </c>
      <c r="F301">
        <v>1</v>
      </c>
      <c r="G301">
        <v>60.07</v>
      </c>
      <c r="H301" t="s">
        <v>68</v>
      </c>
      <c r="I301" t="s">
        <v>616</v>
      </c>
      <c r="J301" t="s">
        <v>20</v>
      </c>
      <c r="K301" t="s">
        <v>31</v>
      </c>
      <c r="L301" t="s">
        <v>22</v>
      </c>
      <c r="M301" t="s">
        <v>61</v>
      </c>
      <c r="N301">
        <f>Sheet1[[#This Row],[Quantity]]*Sheet1[[#This Row],[UnitPrice]]</f>
        <v>60.07</v>
      </c>
    </row>
    <row r="302" spans="1:14" x14ac:dyDescent="0.3">
      <c r="A302" s="1">
        <v>44928</v>
      </c>
      <c r="B302" t="s">
        <v>617</v>
      </c>
      <c r="C302" t="s">
        <v>73</v>
      </c>
      <c r="D302" t="s">
        <v>16</v>
      </c>
      <c r="E302" t="s">
        <v>67</v>
      </c>
      <c r="F302">
        <v>3</v>
      </c>
      <c r="G302">
        <v>112.59</v>
      </c>
      <c r="H302" t="s">
        <v>36</v>
      </c>
      <c r="I302" t="s">
        <v>618</v>
      </c>
      <c r="J302" t="s">
        <v>58</v>
      </c>
      <c r="K302" t="s">
        <v>59</v>
      </c>
      <c r="L302" t="s">
        <v>22</v>
      </c>
      <c r="M302" t="s">
        <v>49</v>
      </c>
      <c r="N302">
        <f>Sheet1[[#This Row],[Quantity]]*Sheet1[[#This Row],[UnitPrice]]</f>
        <v>337.77</v>
      </c>
    </row>
    <row r="303" spans="1:14" x14ac:dyDescent="0.3">
      <c r="A303" s="1">
        <v>45551</v>
      </c>
      <c r="B303" t="s">
        <v>500</v>
      </c>
      <c r="C303" t="s">
        <v>56</v>
      </c>
      <c r="D303" t="s">
        <v>74</v>
      </c>
      <c r="E303" t="s">
        <v>27</v>
      </c>
      <c r="F303">
        <v>7</v>
      </c>
      <c r="G303">
        <v>19.21</v>
      </c>
      <c r="H303" t="s">
        <v>28</v>
      </c>
      <c r="I303" t="s">
        <v>619</v>
      </c>
      <c r="J303" t="s">
        <v>38</v>
      </c>
      <c r="K303" t="s">
        <v>31</v>
      </c>
      <c r="L303" t="s">
        <v>60</v>
      </c>
      <c r="M303" t="s">
        <v>49</v>
      </c>
      <c r="N303">
        <f>Sheet1[[#This Row],[Quantity]]*Sheet1[[#This Row],[UnitPrice]]</f>
        <v>134.47</v>
      </c>
    </row>
    <row r="304" spans="1:14" x14ac:dyDescent="0.3">
      <c r="A304" s="1">
        <v>45359</v>
      </c>
      <c r="B304" t="s">
        <v>620</v>
      </c>
      <c r="C304" t="s">
        <v>56</v>
      </c>
      <c r="D304" t="s">
        <v>74</v>
      </c>
      <c r="E304" t="s">
        <v>27</v>
      </c>
      <c r="F304">
        <v>6</v>
      </c>
      <c r="G304">
        <v>140.38</v>
      </c>
      <c r="H304" t="s">
        <v>28</v>
      </c>
      <c r="I304" t="s">
        <v>621</v>
      </c>
      <c r="J304" t="s">
        <v>44</v>
      </c>
      <c r="K304" t="s">
        <v>21</v>
      </c>
      <c r="L304" t="s">
        <v>39</v>
      </c>
      <c r="M304" t="s">
        <v>40</v>
      </c>
      <c r="N304">
        <f>Sheet1[[#This Row],[Quantity]]*Sheet1[[#This Row],[UnitPrice]]</f>
        <v>842.28</v>
      </c>
    </row>
    <row r="305" spans="1:14" x14ac:dyDescent="0.3">
      <c r="A305" s="1">
        <v>44990</v>
      </c>
      <c r="B305" t="s">
        <v>622</v>
      </c>
      <c r="C305" t="s">
        <v>34</v>
      </c>
      <c r="D305" t="s">
        <v>16</v>
      </c>
      <c r="E305" t="s">
        <v>17</v>
      </c>
      <c r="F305">
        <v>8</v>
      </c>
      <c r="G305">
        <v>182.9</v>
      </c>
      <c r="H305" t="s">
        <v>28</v>
      </c>
      <c r="I305" t="s">
        <v>623</v>
      </c>
      <c r="J305" t="s">
        <v>38</v>
      </c>
      <c r="K305" t="s">
        <v>21</v>
      </c>
      <c r="L305" t="s">
        <v>60</v>
      </c>
      <c r="M305" t="s">
        <v>61</v>
      </c>
      <c r="N305">
        <f>Sheet1[[#This Row],[Quantity]]*Sheet1[[#This Row],[UnitPrice]]</f>
        <v>1463.2</v>
      </c>
    </row>
    <row r="306" spans="1:14" x14ac:dyDescent="0.3">
      <c r="A306" s="1">
        <v>45470</v>
      </c>
      <c r="B306" t="s">
        <v>271</v>
      </c>
      <c r="C306" t="s">
        <v>78</v>
      </c>
      <c r="D306" t="s">
        <v>26</v>
      </c>
      <c r="E306" t="s">
        <v>17</v>
      </c>
      <c r="F306">
        <v>4</v>
      </c>
      <c r="G306">
        <v>311.31</v>
      </c>
      <c r="H306" t="s">
        <v>53</v>
      </c>
      <c r="I306" t="s">
        <v>624</v>
      </c>
      <c r="J306" t="s">
        <v>38</v>
      </c>
      <c r="K306" t="s">
        <v>45</v>
      </c>
      <c r="L306" t="s">
        <v>22</v>
      </c>
      <c r="M306" t="s">
        <v>32</v>
      </c>
      <c r="N306">
        <f>Sheet1[[#This Row],[Quantity]]*Sheet1[[#This Row],[UnitPrice]]</f>
        <v>1245.24</v>
      </c>
    </row>
    <row r="307" spans="1:14" x14ac:dyDescent="0.3">
      <c r="A307" s="1">
        <v>45096</v>
      </c>
      <c r="B307" t="s">
        <v>186</v>
      </c>
      <c r="C307" t="s">
        <v>25</v>
      </c>
      <c r="D307" t="s">
        <v>47</v>
      </c>
      <c r="E307" t="s">
        <v>52</v>
      </c>
      <c r="F307">
        <v>4</v>
      </c>
      <c r="G307">
        <v>323.45999999999998</v>
      </c>
      <c r="H307" t="s">
        <v>18</v>
      </c>
      <c r="I307" t="s">
        <v>625</v>
      </c>
      <c r="J307" t="s">
        <v>30</v>
      </c>
      <c r="K307" t="s">
        <v>31</v>
      </c>
      <c r="L307" t="s">
        <v>39</v>
      </c>
      <c r="M307" t="s">
        <v>49</v>
      </c>
      <c r="N307">
        <f>Sheet1[[#This Row],[Quantity]]*Sheet1[[#This Row],[UnitPrice]]</f>
        <v>1293.8399999999999</v>
      </c>
    </row>
    <row r="308" spans="1:14" x14ac:dyDescent="0.3">
      <c r="A308" s="1">
        <v>45212</v>
      </c>
      <c r="B308" t="s">
        <v>626</v>
      </c>
      <c r="C308" t="s">
        <v>73</v>
      </c>
      <c r="D308" t="s">
        <v>47</v>
      </c>
      <c r="E308" t="s">
        <v>67</v>
      </c>
      <c r="F308">
        <v>3</v>
      </c>
      <c r="G308">
        <v>287.54000000000002</v>
      </c>
      <c r="H308" t="s">
        <v>36</v>
      </c>
      <c r="I308" t="s">
        <v>627</v>
      </c>
      <c r="J308" t="s">
        <v>20</v>
      </c>
      <c r="K308" t="s">
        <v>45</v>
      </c>
      <c r="L308" t="s">
        <v>22</v>
      </c>
      <c r="M308" t="s">
        <v>40</v>
      </c>
      <c r="N308">
        <f>Sheet1[[#This Row],[Quantity]]*Sheet1[[#This Row],[UnitPrice]]</f>
        <v>862.62000000000012</v>
      </c>
    </row>
    <row r="309" spans="1:14" x14ac:dyDescent="0.3">
      <c r="A309" s="1">
        <v>45236</v>
      </c>
      <c r="B309" t="s">
        <v>628</v>
      </c>
      <c r="C309" t="s">
        <v>56</v>
      </c>
      <c r="D309" t="s">
        <v>74</v>
      </c>
      <c r="E309" t="s">
        <v>27</v>
      </c>
      <c r="F309">
        <v>8</v>
      </c>
      <c r="G309">
        <v>224.47</v>
      </c>
      <c r="H309" t="s">
        <v>53</v>
      </c>
      <c r="I309" t="s">
        <v>629</v>
      </c>
      <c r="J309" t="s">
        <v>20</v>
      </c>
      <c r="K309" t="s">
        <v>21</v>
      </c>
      <c r="L309" t="s">
        <v>60</v>
      </c>
      <c r="M309" t="s">
        <v>49</v>
      </c>
      <c r="N309">
        <f>Sheet1[[#This Row],[Quantity]]*Sheet1[[#This Row],[UnitPrice]]</f>
        <v>1795.76</v>
      </c>
    </row>
    <row r="310" spans="1:14" x14ac:dyDescent="0.3">
      <c r="A310" s="1">
        <v>45563</v>
      </c>
      <c r="B310" t="s">
        <v>630</v>
      </c>
      <c r="C310" t="s">
        <v>90</v>
      </c>
      <c r="D310" t="s">
        <v>26</v>
      </c>
      <c r="E310" t="s">
        <v>42</v>
      </c>
      <c r="F310">
        <v>4</v>
      </c>
      <c r="G310">
        <v>134.1</v>
      </c>
      <c r="H310" t="s">
        <v>68</v>
      </c>
      <c r="I310" t="s">
        <v>631</v>
      </c>
      <c r="J310" t="s">
        <v>44</v>
      </c>
      <c r="K310" t="s">
        <v>59</v>
      </c>
      <c r="L310" t="s">
        <v>60</v>
      </c>
      <c r="M310" t="s">
        <v>23</v>
      </c>
      <c r="N310">
        <f>Sheet1[[#This Row],[Quantity]]*Sheet1[[#This Row],[UnitPrice]]</f>
        <v>536.4</v>
      </c>
    </row>
    <row r="311" spans="1:14" x14ac:dyDescent="0.3">
      <c r="A311" s="1">
        <v>45580</v>
      </c>
      <c r="B311" t="s">
        <v>632</v>
      </c>
      <c r="C311" t="s">
        <v>73</v>
      </c>
      <c r="D311" t="s">
        <v>74</v>
      </c>
      <c r="E311" t="s">
        <v>67</v>
      </c>
      <c r="F311">
        <v>10</v>
      </c>
      <c r="G311">
        <v>238.98</v>
      </c>
      <c r="H311" t="s">
        <v>68</v>
      </c>
      <c r="I311" t="s">
        <v>633</v>
      </c>
      <c r="J311" t="s">
        <v>38</v>
      </c>
      <c r="K311" t="s">
        <v>45</v>
      </c>
      <c r="L311" t="s">
        <v>60</v>
      </c>
      <c r="M311" t="s">
        <v>84</v>
      </c>
      <c r="N311">
        <f>Sheet1[[#This Row],[Quantity]]*Sheet1[[#This Row],[UnitPrice]]</f>
        <v>2389.7999999999997</v>
      </c>
    </row>
    <row r="312" spans="1:14" x14ac:dyDescent="0.3">
      <c r="A312" s="1">
        <v>45217</v>
      </c>
      <c r="B312" t="s">
        <v>634</v>
      </c>
      <c r="C312" t="s">
        <v>25</v>
      </c>
      <c r="D312" t="s">
        <v>16</v>
      </c>
      <c r="E312" t="s">
        <v>67</v>
      </c>
      <c r="F312">
        <v>1</v>
      </c>
      <c r="G312">
        <v>157.01</v>
      </c>
      <c r="H312" t="s">
        <v>18</v>
      </c>
      <c r="I312" t="s">
        <v>635</v>
      </c>
      <c r="J312" t="s">
        <v>20</v>
      </c>
      <c r="K312" t="s">
        <v>59</v>
      </c>
      <c r="L312" t="s">
        <v>60</v>
      </c>
      <c r="M312" t="s">
        <v>76</v>
      </c>
      <c r="N312">
        <f>Sheet1[[#This Row],[Quantity]]*Sheet1[[#This Row],[UnitPrice]]</f>
        <v>157.01</v>
      </c>
    </row>
    <row r="313" spans="1:14" x14ac:dyDescent="0.3">
      <c r="A313" s="1">
        <v>45407</v>
      </c>
      <c r="B313" t="s">
        <v>636</v>
      </c>
      <c r="C313" t="s">
        <v>90</v>
      </c>
      <c r="D313" t="s">
        <v>26</v>
      </c>
      <c r="E313" t="s">
        <v>42</v>
      </c>
      <c r="F313">
        <v>3</v>
      </c>
      <c r="G313">
        <v>385.02</v>
      </c>
      <c r="H313" t="s">
        <v>36</v>
      </c>
      <c r="I313" t="s">
        <v>637</v>
      </c>
      <c r="J313" t="s">
        <v>30</v>
      </c>
      <c r="K313" t="s">
        <v>59</v>
      </c>
      <c r="L313" t="s">
        <v>22</v>
      </c>
      <c r="M313" t="s">
        <v>32</v>
      </c>
      <c r="N313">
        <f>Sheet1[[#This Row],[Quantity]]*Sheet1[[#This Row],[UnitPrice]]</f>
        <v>1155.06</v>
      </c>
    </row>
    <row r="314" spans="1:14" x14ac:dyDescent="0.3">
      <c r="A314" s="1">
        <v>45420</v>
      </c>
      <c r="B314" t="s">
        <v>638</v>
      </c>
      <c r="C314" t="s">
        <v>56</v>
      </c>
      <c r="D314" t="s">
        <v>47</v>
      </c>
      <c r="E314" t="s">
        <v>35</v>
      </c>
      <c r="F314">
        <v>9</v>
      </c>
      <c r="G314">
        <v>361.39</v>
      </c>
      <c r="H314" t="s">
        <v>28</v>
      </c>
      <c r="I314" t="s">
        <v>639</v>
      </c>
      <c r="J314" t="s">
        <v>20</v>
      </c>
      <c r="K314" t="s">
        <v>45</v>
      </c>
      <c r="L314" t="s">
        <v>22</v>
      </c>
      <c r="M314" t="s">
        <v>76</v>
      </c>
      <c r="N314">
        <f>Sheet1[[#This Row],[Quantity]]*Sheet1[[#This Row],[UnitPrice]]</f>
        <v>3252.5099999999998</v>
      </c>
    </row>
    <row r="315" spans="1:14" x14ac:dyDescent="0.3">
      <c r="A315" s="1">
        <v>45399</v>
      </c>
      <c r="B315" t="s">
        <v>96</v>
      </c>
      <c r="C315" t="s">
        <v>34</v>
      </c>
      <c r="D315" t="s">
        <v>26</v>
      </c>
      <c r="E315" t="s">
        <v>35</v>
      </c>
      <c r="F315">
        <v>2</v>
      </c>
      <c r="G315">
        <v>221.29</v>
      </c>
      <c r="H315" t="s">
        <v>53</v>
      </c>
      <c r="I315" t="s">
        <v>640</v>
      </c>
      <c r="J315" t="s">
        <v>20</v>
      </c>
      <c r="K315" t="s">
        <v>31</v>
      </c>
      <c r="L315" t="s">
        <v>39</v>
      </c>
      <c r="M315" t="s">
        <v>76</v>
      </c>
      <c r="N315">
        <f>Sheet1[[#This Row],[Quantity]]*Sheet1[[#This Row],[UnitPrice]]</f>
        <v>442.58</v>
      </c>
    </row>
    <row r="316" spans="1:14" x14ac:dyDescent="0.3">
      <c r="A316" s="1">
        <v>45449</v>
      </c>
      <c r="B316" t="s">
        <v>522</v>
      </c>
      <c r="C316" t="s">
        <v>34</v>
      </c>
      <c r="D316" t="s">
        <v>26</v>
      </c>
      <c r="E316" t="s">
        <v>27</v>
      </c>
      <c r="F316">
        <v>4</v>
      </c>
      <c r="G316">
        <v>163.36000000000001</v>
      </c>
      <c r="H316" t="s">
        <v>53</v>
      </c>
      <c r="I316" t="s">
        <v>641</v>
      </c>
      <c r="J316" t="s">
        <v>44</v>
      </c>
      <c r="K316" t="s">
        <v>45</v>
      </c>
      <c r="L316" t="s">
        <v>22</v>
      </c>
      <c r="M316" t="s">
        <v>32</v>
      </c>
      <c r="N316">
        <f>Sheet1[[#This Row],[Quantity]]*Sheet1[[#This Row],[UnitPrice]]</f>
        <v>653.44000000000005</v>
      </c>
    </row>
    <row r="317" spans="1:14" x14ac:dyDescent="0.3">
      <c r="A317" s="1">
        <v>45761</v>
      </c>
      <c r="B317" t="s">
        <v>642</v>
      </c>
      <c r="C317" t="s">
        <v>51</v>
      </c>
      <c r="D317" t="s">
        <v>16</v>
      </c>
      <c r="E317" t="s">
        <v>17</v>
      </c>
      <c r="F317">
        <v>9</v>
      </c>
      <c r="G317">
        <v>120.53</v>
      </c>
      <c r="H317" t="s">
        <v>28</v>
      </c>
      <c r="I317" t="s">
        <v>643</v>
      </c>
      <c r="J317" t="s">
        <v>44</v>
      </c>
      <c r="K317" t="s">
        <v>45</v>
      </c>
      <c r="L317" t="s">
        <v>60</v>
      </c>
      <c r="M317" t="s">
        <v>49</v>
      </c>
      <c r="N317">
        <f>Sheet1[[#This Row],[Quantity]]*Sheet1[[#This Row],[UnitPrice]]</f>
        <v>1084.77</v>
      </c>
    </row>
    <row r="318" spans="1:14" x14ac:dyDescent="0.3">
      <c r="A318" s="1">
        <v>45261</v>
      </c>
      <c r="B318" t="s">
        <v>644</v>
      </c>
      <c r="C318" t="s">
        <v>25</v>
      </c>
      <c r="D318" t="s">
        <v>47</v>
      </c>
      <c r="E318" t="s">
        <v>42</v>
      </c>
      <c r="F318">
        <v>3</v>
      </c>
      <c r="G318">
        <v>138.47999999999999</v>
      </c>
      <c r="H318" t="s">
        <v>28</v>
      </c>
      <c r="I318" t="s">
        <v>645</v>
      </c>
      <c r="J318" t="s">
        <v>38</v>
      </c>
      <c r="K318" t="s">
        <v>21</v>
      </c>
      <c r="L318" t="s">
        <v>22</v>
      </c>
      <c r="M318" t="s">
        <v>40</v>
      </c>
      <c r="N318">
        <f>Sheet1[[#This Row],[Quantity]]*Sheet1[[#This Row],[UnitPrice]]</f>
        <v>415.43999999999994</v>
      </c>
    </row>
    <row r="319" spans="1:14" x14ac:dyDescent="0.3">
      <c r="A319" s="1">
        <v>45477</v>
      </c>
      <c r="B319" t="s">
        <v>107</v>
      </c>
      <c r="C319" t="s">
        <v>34</v>
      </c>
      <c r="D319" t="s">
        <v>47</v>
      </c>
      <c r="E319" t="s">
        <v>27</v>
      </c>
      <c r="F319">
        <v>4</v>
      </c>
      <c r="G319">
        <v>340.55</v>
      </c>
      <c r="H319" t="s">
        <v>28</v>
      </c>
      <c r="I319" t="s">
        <v>646</v>
      </c>
      <c r="J319" t="s">
        <v>38</v>
      </c>
      <c r="K319" t="s">
        <v>21</v>
      </c>
      <c r="L319" t="s">
        <v>60</v>
      </c>
      <c r="M319" t="s">
        <v>32</v>
      </c>
      <c r="N319">
        <f>Sheet1[[#This Row],[Quantity]]*Sheet1[[#This Row],[UnitPrice]]</f>
        <v>1362.2</v>
      </c>
    </row>
    <row r="320" spans="1:14" x14ac:dyDescent="0.3">
      <c r="A320" s="1">
        <v>45671</v>
      </c>
      <c r="B320" t="s">
        <v>647</v>
      </c>
      <c r="C320" t="s">
        <v>34</v>
      </c>
      <c r="D320" t="s">
        <v>74</v>
      </c>
      <c r="E320" t="s">
        <v>52</v>
      </c>
      <c r="F320">
        <v>4</v>
      </c>
      <c r="G320">
        <v>158.41999999999999</v>
      </c>
      <c r="H320" t="s">
        <v>18</v>
      </c>
      <c r="I320" t="s">
        <v>648</v>
      </c>
      <c r="J320" t="s">
        <v>58</v>
      </c>
      <c r="K320" t="s">
        <v>59</v>
      </c>
      <c r="L320" t="s">
        <v>60</v>
      </c>
      <c r="M320" t="s">
        <v>84</v>
      </c>
      <c r="N320">
        <f>Sheet1[[#This Row],[Quantity]]*Sheet1[[#This Row],[UnitPrice]]</f>
        <v>633.67999999999995</v>
      </c>
    </row>
    <row r="321" spans="1:14" x14ac:dyDescent="0.3">
      <c r="A321" s="1">
        <v>45749</v>
      </c>
      <c r="B321" t="s">
        <v>649</v>
      </c>
      <c r="C321" t="s">
        <v>34</v>
      </c>
      <c r="D321" t="s">
        <v>26</v>
      </c>
      <c r="E321" t="s">
        <v>17</v>
      </c>
      <c r="F321">
        <v>8</v>
      </c>
      <c r="G321">
        <v>51.55</v>
      </c>
      <c r="H321" t="s">
        <v>53</v>
      </c>
      <c r="I321" t="s">
        <v>650</v>
      </c>
      <c r="J321" t="s">
        <v>30</v>
      </c>
      <c r="K321" t="s">
        <v>31</v>
      </c>
      <c r="L321" t="s">
        <v>39</v>
      </c>
      <c r="M321" t="s">
        <v>76</v>
      </c>
      <c r="N321">
        <f>Sheet1[[#This Row],[Quantity]]*Sheet1[[#This Row],[UnitPrice]]</f>
        <v>412.4</v>
      </c>
    </row>
    <row r="322" spans="1:14" x14ac:dyDescent="0.3">
      <c r="A322" s="1">
        <v>45029</v>
      </c>
      <c r="B322" t="s">
        <v>651</v>
      </c>
      <c r="C322" t="s">
        <v>73</v>
      </c>
      <c r="D322" t="s">
        <v>16</v>
      </c>
      <c r="E322" t="s">
        <v>64</v>
      </c>
      <c r="F322">
        <v>2</v>
      </c>
      <c r="G322">
        <v>58.36</v>
      </c>
      <c r="H322" t="s">
        <v>18</v>
      </c>
      <c r="I322" t="s">
        <v>652</v>
      </c>
      <c r="J322" t="s">
        <v>44</v>
      </c>
      <c r="K322" t="s">
        <v>59</v>
      </c>
      <c r="L322" t="s">
        <v>22</v>
      </c>
      <c r="M322" t="s">
        <v>32</v>
      </c>
      <c r="N322">
        <f>Sheet1[[#This Row],[Quantity]]*Sheet1[[#This Row],[UnitPrice]]</f>
        <v>116.72</v>
      </c>
    </row>
    <row r="323" spans="1:14" x14ac:dyDescent="0.3">
      <c r="A323" s="1">
        <v>45389</v>
      </c>
      <c r="B323" t="s">
        <v>653</v>
      </c>
      <c r="C323" t="s">
        <v>101</v>
      </c>
      <c r="D323" t="s">
        <v>47</v>
      </c>
      <c r="E323" t="s">
        <v>67</v>
      </c>
      <c r="F323">
        <v>10</v>
      </c>
      <c r="G323">
        <v>330.6</v>
      </c>
      <c r="H323" t="s">
        <v>28</v>
      </c>
      <c r="I323" t="s">
        <v>654</v>
      </c>
      <c r="J323" t="s">
        <v>58</v>
      </c>
      <c r="K323" t="s">
        <v>21</v>
      </c>
      <c r="L323" t="s">
        <v>60</v>
      </c>
      <c r="M323" t="s">
        <v>61</v>
      </c>
      <c r="N323">
        <f>Sheet1[[#This Row],[Quantity]]*Sheet1[[#This Row],[UnitPrice]]</f>
        <v>3306</v>
      </c>
    </row>
    <row r="324" spans="1:14" x14ac:dyDescent="0.3">
      <c r="A324" s="1">
        <v>45589</v>
      </c>
      <c r="B324" t="s">
        <v>655</v>
      </c>
      <c r="C324" t="s">
        <v>90</v>
      </c>
      <c r="D324" t="s">
        <v>26</v>
      </c>
      <c r="E324" t="s">
        <v>42</v>
      </c>
      <c r="F324">
        <v>8</v>
      </c>
      <c r="G324">
        <v>151.44999999999999</v>
      </c>
      <c r="H324" t="s">
        <v>36</v>
      </c>
      <c r="I324" t="s">
        <v>656</v>
      </c>
      <c r="J324" t="s">
        <v>38</v>
      </c>
      <c r="K324" t="s">
        <v>45</v>
      </c>
      <c r="L324" t="s">
        <v>39</v>
      </c>
      <c r="M324" t="s">
        <v>32</v>
      </c>
      <c r="N324">
        <f>Sheet1[[#This Row],[Quantity]]*Sheet1[[#This Row],[UnitPrice]]</f>
        <v>1211.5999999999999</v>
      </c>
    </row>
    <row r="325" spans="1:14" x14ac:dyDescent="0.3">
      <c r="A325" s="1">
        <v>45657</v>
      </c>
      <c r="B325" t="s">
        <v>117</v>
      </c>
      <c r="C325" t="s">
        <v>15</v>
      </c>
      <c r="D325" t="s">
        <v>26</v>
      </c>
      <c r="E325" t="s">
        <v>35</v>
      </c>
      <c r="F325">
        <v>5</v>
      </c>
      <c r="G325">
        <v>38.89</v>
      </c>
      <c r="H325" t="s">
        <v>53</v>
      </c>
      <c r="I325" t="s">
        <v>657</v>
      </c>
      <c r="J325" t="s">
        <v>30</v>
      </c>
      <c r="K325" t="s">
        <v>21</v>
      </c>
      <c r="L325" t="s">
        <v>22</v>
      </c>
      <c r="M325" t="s">
        <v>84</v>
      </c>
      <c r="N325">
        <f>Sheet1[[#This Row],[Quantity]]*Sheet1[[#This Row],[UnitPrice]]</f>
        <v>194.45</v>
      </c>
    </row>
    <row r="326" spans="1:14" x14ac:dyDescent="0.3">
      <c r="A326" s="1">
        <v>45560</v>
      </c>
      <c r="B326" t="s">
        <v>658</v>
      </c>
      <c r="C326" t="s">
        <v>78</v>
      </c>
      <c r="D326" t="s">
        <v>26</v>
      </c>
      <c r="E326" t="s">
        <v>42</v>
      </c>
      <c r="F326">
        <v>5</v>
      </c>
      <c r="G326">
        <v>316.62</v>
      </c>
      <c r="H326" t="s">
        <v>36</v>
      </c>
      <c r="I326" t="s">
        <v>659</v>
      </c>
      <c r="J326" t="s">
        <v>44</v>
      </c>
      <c r="K326" t="s">
        <v>21</v>
      </c>
      <c r="L326" t="s">
        <v>60</v>
      </c>
      <c r="M326" t="s">
        <v>76</v>
      </c>
      <c r="N326">
        <f>Sheet1[[#This Row],[Quantity]]*Sheet1[[#This Row],[UnitPrice]]</f>
        <v>1583.1</v>
      </c>
    </row>
    <row r="327" spans="1:14" x14ac:dyDescent="0.3">
      <c r="A327" s="1">
        <v>45300</v>
      </c>
      <c r="B327" t="s">
        <v>660</v>
      </c>
      <c r="C327" t="s">
        <v>15</v>
      </c>
      <c r="D327" t="s">
        <v>16</v>
      </c>
      <c r="E327" t="s">
        <v>42</v>
      </c>
      <c r="F327">
        <v>10</v>
      </c>
      <c r="G327">
        <v>369.63</v>
      </c>
      <c r="H327" t="s">
        <v>18</v>
      </c>
      <c r="I327" t="s">
        <v>661</v>
      </c>
      <c r="J327" t="s">
        <v>44</v>
      </c>
      <c r="K327" t="s">
        <v>21</v>
      </c>
      <c r="L327" t="s">
        <v>39</v>
      </c>
      <c r="M327" t="s">
        <v>84</v>
      </c>
      <c r="N327">
        <f>Sheet1[[#This Row],[Quantity]]*Sheet1[[#This Row],[UnitPrice]]</f>
        <v>3696.3</v>
      </c>
    </row>
    <row r="328" spans="1:14" x14ac:dyDescent="0.3">
      <c r="A328" s="1">
        <v>45050</v>
      </c>
      <c r="B328" t="s">
        <v>662</v>
      </c>
      <c r="C328" t="s">
        <v>90</v>
      </c>
      <c r="D328" t="s">
        <v>26</v>
      </c>
      <c r="E328" t="s">
        <v>52</v>
      </c>
      <c r="F328">
        <v>8</v>
      </c>
      <c r="G328">
        <v>58.28</v>
      </c>
      <c r="H328" t="s">
        <v>68</v>
      </c>
      <c r="I328" t="s">
        <v>663</v>
      </c>
      <c r="J328" t="s">
        <v>38</v>
      </c>
      <c r="K328" t="s">
        <v>45</v>
      </c>
      <c r="L328" t="s">
        <v>60</v>
      </c>
      <c r="M328" t="s">
        <v>32</v>
      </c>
      <c r="N328">
        <f>Sheet1[[#This Row],[Quantity]]*Sheet1[[#This Row],[UnitPrice]]</f>
        <v>466.24</v>
      </c>
    </row>
    <row r="329" spans="1:14" x14ac:dyDescent="0.3">
      <c r="A329" s="1">
        <v>45494</v>
      </c>
      <c r="B329" t="s">
        <v>664</v>
      </c>
      <c r="C329" t="s">
        <v>15</v>
      </c>
      <c r="D329" t="s">
        <v>26</v>
      </c>
      <c r="E329" t="s">
        <v>27</v>
      </c>
      <c r="F329">
        <v>3</v>
      </c>
      <c r="G329">
        <v>136.38999999999999</v>
      </c>
      <c r="H329" t="s">
        <v>18</v>
      </c>
      <c r="I329" t="s">
        <v>665</v>
      </c>
      <c r="J329" t="s">
        <v>44</v>
      </c>
      <c r="K329" t="s">
        <v>59</v>
      </c>
      <c r="L329" t="s">
        <v>22</v>
      </c>
      <c r="M329" t="s">
        <v>61</v>
      </c>
      <c r="N329">
        <f>Sheet1[[#This Row],[Quantity]]*Sheet1[[#This Row],[UnitPrice]]</f>
        <v>409.16999999999996</v>
      </c>
    </row>
    <row r="330" spans="1:14" x14ac:dyDescent="0.3">
      <c r="A330" s="1">
        <v>45744</v>
      </c>
      <c r="B330" t="s">
        <v>359</v>
      </c>
      <c r="C330" t="s">
        <v>25</v>
      </c>
      <c r="D330" t="s">
        <v>16</v>
      </c>
      <c r="E330" t="s">
        <v>17</v>
      </c>
      <c r="F330">
        <v>4</v>
      </c>
      <c r="G330">
        <v>314.73</v>
      </c>
      <c r="H330" t="s">
        <v>36</v>
      </c>
      <c r="I330" t="s">
        <v>666</v>
      </c>
      <c r="J330" t="s">
        <v>58</v>
      </c>
      <c r="K330" t="s">
        <v>59</v>
      </c>
      <c r="L330" t="s">
        <v>39</v>
      </c>
      <c r="M330" t="s">
        <v>40</v>
      </c>
      <c r="N330">
        <f>Sheet1[[#This Row],[Quantity]]*Sheet1[[#This Row],[UnitPrice]]</f>
        <v>1258.92</v>
      </c>
    </row>
    <row r="331" spans="1:14" x14ac:dyDescent="0.3">
      <c r="A331" s="1">
        <v>45723</v>
      </c>
      <c r="B331" t="s">
        <v>103</v>
      </c>
      <c r="C331" t="s">
        <v>51</v>
      </c>
      <c r="D331" t="s">
        <v>47</v>
      </c>
      <c r="E331" t="s">
        <v>42</v>
      </c>
      <c r="F331">
        <v>4</v>
      </c>
      <c r="G331">
        <v>277.5</v>
      </c>
      <c r="H331" t="s">
        <v>36</v>
      </c>
      <c r="I331" t="s">
        <v>667</v>
      </c>
      <c r="J331" t="s">
        <v>30</v>
      </c>
      <c r="K331" t="s">
        <v>45</v>
      </c>
      <c r="L331" t="s">
        <v>39</v>
      </c>
      <c r="M331" t="s">
        <v>40</v>
      </c>
      <c r="N331">
        <f>Sheet1[[#This Row],[Quantity]]*Sheet1[[#This Row],[UnitPrice]]</f>
        <v>1110</v>
      </c>
    </row>
    <row r="332" spans="1:14" x14ac:dyDescent="0.3">
      <c r="A332" s="1">
        <v>45382</v>
      </c>
      <c r="B332" t="s">
        <v>668</v>
      </c>
      <c r="C332" t="s">
        <v>25</v>
      </c>
      <c r="D332" t="s">
        <v>74</v>
      </c>
      <c r="E332" t="s">
        <v>42</v>
      </c>
      <c r="F332">
        <v>3</v>
      </c>
      <c r="G332">
        <v>261.76</v>
      </c>
      <c r="H332" t="s">
        <v>28</v>
      </c>
      <c r="I332" t="s">
        <v>669</v>
      </c>
      <c r="J332" t="s">
        <v>38</v>
      </c>
      <c r="K332" t="s">
        <v>21</v>
      </c>
      <c r="L332" t="s">
        <v>60</v>
      </c>
      <c r="M332" t="s">
        <v>61</v>
      </c>
      <c r="N332">
        <f>Sheet1[[#This Row],[Quantity]]*Sheet1[[#This Row],[UnitPrice]]</f>
        <v>785.28</v>
      </c>
    </row>
    <row r="333" spans="1:14" x14ac:dyDescent="0.3">
      <c r="A333" s="1">
        <v>45825</v>
      </c>
      <c r="B333" t="s">
        <v>670</v>
      </c>
      <c r="C333" t="s">
        <v>90</v>
      </c>
      <c r="D333" t="s">
        <v>26</v>
      </c>
      <c r="E333" t="s">
        <v>17</v>
      </c>
      <c r="F333">
        <v>8</v>
      </c>
      <c r="G333">
        <v>268.58</v>
      </c>
      <c r="H333" t="s">
        <v>28</v>
      </c>
      <c r="I333" t="s">
        <v>671</v>
      </c>
      <c r="J333" t="s">
        <v>30</v>
      </c>
      <c r="K333" t="s">
        <v>59</v>
      </c>
      <c r="L333" t="s">
        <v>39</v>
      </c>
      <c r="M333" t="s">
        <v>84</v>
      </c>
      <c r="N333">
        <f>Sheet1[[#This Row],[Quantity]]*Sheet1[[#This Row],[UnitPrice]]</f>
        <v>2148.64</v>
      </c>
    </row>
    <row r="334" spans="1:14" x14ac:dyDescent="0.3">
      <c r="A334" s="1">
        <v>45747</v>
      </c>
      <c r="B334" t="s">
        <v>231</v>
      </c>
      <c r="C334" t="s">
        <v>34</v>
      </c>
      <c r="D334" t="s">
        <v>74</v>
      </c>
      <c r="E334" t="s">
        <v>35</v>
      </c>
      <c r="F334">
        <v>1</v>
      </c>
      <c r="G334">
        <v>46.55</v>
      </c>
      <c r="H334" t="s">
        <v>53</v>
      </c>
      <c r="I334" t="s">
        <v>672</v>
      </c>
      <c r="J334" t="s">
        <v>30</v>
      </c>
      <c r="K334" t="s">
        <v>59</v>
      </c>
      <c r="L334" t="s">
        <v>60</v>
      </c>
      <c r="M334" t="s">
        <v>49</v>
      </c>
      <c r="N334">
        <f>Sheet1[[#This Row],[Quantity]]*Sheet1[[#This Row],[UnitPrice]]</f>
        <v>46.55</v>
      </c>
    </row>
    <row r="335" spans="1:14" x14ac:dyDescent="0.3">
      <c r="A335" s="1">
        <v>45635</v>
      </c>
      <c r="B335" t="s">
        <v>673</v>
      </c>
      <c r="C335" t="s">
        <v>25</v>
      </c>
      <c r="D335" t="s">
        <v>26</v>
      </c>
      <c r="E335" t="s">
        <v>35</v>
      </c>
      <c r="F335">
        <v>5</v>
      </c>
      <c r="G335">
        <v>148.76</v>
      </c>
      <c r="H335" t="s">
        <v>18</v>
      </c>
      <c r="I335" t="s">
        <v>674</v>
      </c>
      <c r="J335" t="s">
        <v>38</v>
      </c>
      <c r="K335" t="s">
        <v>31</v>
      </c>
      <c r="L335" t="s">
        <v>39</v>
      </c>
      <c r="M335" t="s">
        <v>49</v>
      </c>
      <c r="N335">
        <f>Sheet1[[#This Row],[Quantity]]*Sheet1[[#This Row],[UnitPrice]]</f>
        <v>743.8</v>
      </c>
    </row>
    <row r="336" spans="1:14" x14ac:dyDescent="0.3">
      <c r="A336" s="1">
        <v>45188</v>
      </c>
      <c r="B336" t="s">
        <v>675</v>
      </c>
      <c r="C336" t="s">
        <v>73</v>
      </c>
      <c r="D336" t="s">
        <v>47</v>
      </c>
      <c r="E336" t="s">
        <v>64</v>
      </c>
      <c r="F336">
        <v>9</v>
      </c>
      <c r="G336">
        <v>394.42</v>
      </c>
      <c r="H336" t="s">
        <v>28</v>
      </c>
      <c r="I336" t="s">
        <v>676</v>
      </c>
      <c r="J336" t="s">
        <v>38</v>
      </c>
      <c r="K336" t="s">
        <v>21</v>
      </c>
      <c r="L336" t="s">
        <v>39</v>
      </c>
      <c r="M336" t="s">
        <v>84</v>
      </c>
      <c r="N336">
        <f>Sheet1[[#This Row],[Quantity]]*Sheet1[[#This Row],[UnitPrice]]</f>
        <v>3549.78</v>
      </c>
    </row>
    <row r="337" spans="1:14" x14ac:dyDescent="0.3">
      <c r="A337" s="1">
        <v>45776</v>
      </c>
      <c r="B337" t="s">
        <v>677</v>
      </c>
      <c r="C337" t="s">
        <v>56</v>
      </c>
      <c r="D337" t="s">
        <v>74</v>
      </c>
      <c r="E337" t="s">
        <v>67</v>
      </c>
      <c r="F337">
        <v>1</v>
      </c>
      <c r="G337">
        <v>72</v>
      </c>
      <c r="H337" t="s">
        <v>18</v>
      </c>
      <c r="I337" t="s">
        <v>678</v>
      </c>
      <c r="J337" t="s">
        <v>30</v>
      </c>
      <c r="K337" t="s">
        <v>45</v>
      </c>
      <c r="L337" t="s">
        <v>60</v>
      </c>
      <c r="M337" t="s">
        <v>84</v>
      </c>
      <c r="N337">
        <f>Sheet1[[#This Row],[Quantity]]*Sheet1[[#This Row],[UnitPrice]]</f>
        <v>72</v>
      </c>
    </row>
    <row r="338" spans="1:14" x14ac:dyDescent="0.3">
      <c r="A338" s="1">
        <v>45352</v>
      </c>
      <c r="B338" t="s">
        <v>416</v>
      </c>
      <c r="C338" t="s">
        <v>34</v>
      </c>
      <c r="D338" t="s">
        <v>47</v>
      </c>
      <c r="E338" t="s">
        <v>64</v>
      </c>
      <c r="F338">
        <v>8</v>
      </c>
      <c r="G338">
        <v>226.4</v>
      </c>
      <c r="H338" t="s">
        <v>36</v>
      </c>
      <c r="I338" t="s">
        <v>679</v>
      </c>
      <c r="J338" t="s">
        <v>38</v>
      </c>
      <c r="K338" t="s">
        <v>31</v>
      </c>
      <c r="L338" t="s">
        <v>60</v>
      </c>
      <c r="M338" t="s">
        <v>40</v>
      </c>
      <c r="N338">
        <f>Sheet1[[#This Row],[Quantity]]*Sheet1[[#This Row],[UnitPrice]]</f>
        <v>1811.2</v>
      </c>
    </row>
    <row r="339" spans="1:14" x14ac:dyDescent="0.3">
      <c r="A339" s="1">
        <v>45313</v>
      </c>
      <c r="B339" t="s">
        <v>680</v>
      </c>
      <c r="C339" t="s">
        <v>34</v>
      </c>
      <c r="D339" t="s">
        <v>47</v>
      </c>
      <c r="E339" t="s">
        <v>17</v>
      </c>
      <c r="F339">
        <v>3</v>
      </c>
      <c r="G339">
        <v>351.54</v>
      </c>
      <c r="H339" t="s">
        <v>68</v>
      </c>
      <c r="I339" t="s">
        <v>681</v>
      </c>
      <c r="J339" t="s">
        <v>30</v>
      </c>
      <c r="K339" t="s">
        <v>21</v>
      </c>
      <c r="L339" t="s">
        <v>39</v>
      </c>
      <c r="M339" t="s">
        <v>49</v>
      </c>
      <c r="N339">
        <f>Sheet1[[#This Row],[Quantity]]*Sheet1[[#This Row],[UnitPrice]]</f>
        <v>1054.6200000000001</v>
      </c>
    </row>
    <row r="340" spans="1:14" x14ac:dyDescent="0.3">
      <c r="A340" s="1">
        <v>45292</v>
      </c>
      <c r="B340" t="s">
        <v>319</v>
      </c>
      <c r="C340" t="s">
        <v>25</v>
      </c>
      <c r="D340" t="s">
        <v>16</v>
      </c>
      <c r="E340" t="s">
        <v>52</v>
      </c>
      <c r="F340">
        <v>7</v>
      </c>
      <c r="G340">
        <v>157.11000000000001</v>
      </c>
      <c r="H340" t="s">
        <v>36</v>
      </c>
      <c r="I340" t="s">
        <v>682</v>
      </c>
      <c r="J340" t="s">
        <v>20</v>
      </c>
      <c r="K340" t="s">
        <v>21</v>
      </c>
      <c r="L340" t="s">
        <v>39</v>
      </c>
      <c r="M340" t="s">
        <v>49</v>
      </c>
      <c r="N340">
        <f>Sheet1[[#This Row],[Quantity]]*Sheet1[[#This Row],[UnitPrice]]</f>
        <v>1099.77</v>
      </c>
    </row>
    <row r="341" spans="1:14" x14ac:dyDescent="0.3">
      <c r="A341" s="1">
        <v>45258</v>
      </c>
      <c r="B341" t="s">
        <v>683</v>
      </c>
      <c r="C341" t="s">
        <v>34</v>
      </c>
      <c r="D341" t="s">
        <v>47</v>
      </c>
      <c r="E341" t="s">
        <v>64</v>
      </c>
      <c r="F341">
        <v>10</v>
      </c>
      <c r="G341">
        <v>392.71</v>
      </c>
      <c r="H341" t="s">
        <v>53</v>
      </c>
      <c r="I341" t="s">
        <v>684</v>
      </c>
      <c r="J341" t="s">
        <v>44</v>
      </c>
      <c r="K341" t="s">
        <v>31</v>
      </c>
      <c r="L341" t="s">
        <v>39</v>
      </c>
      <c r="M341" t="s">
        <v>84</v>
      </c>
      <c r="N341">
        <f>Sheet1[[#This Row],[Quantity]]*Sheet1[[#This Row],[UnitPrice]]</f>
        <v>3927.1</v>
      </c>
    </row>
    <row r="342" spans="1:14" x14ac:dyDescent="0.3">
      <c r="A342" s="1">
        <v>45163</v>
      </c>
      <c r="B342" t="s">
        <v>331</v>
      </c>
      <c r="C342" t="s">
        <v>90</v>
      </c>
      <c r="D342" t="s">
        <v>16</v>
      </c>
      <c r="E342" t="s">
        <v>67</v>
      </c>
      <c r="F342">
        <v>8</v>
      </c>
      <c r="G342">
        <v>310.26</v>
      </c>
      <c r="H342" t="s">
        <v>36</v>
      </c>
      <c r="I342" t="s">
        <v>685</v>
      </c>
      <c r="J342" t="s">
        <v>38</v>
      </c>
      <c r="K342" t="s">
        <v>21</v>
      </c>
      <c r="L342" t="s">
        <v>22</v>
      </c>
      <c r="M342" t="s">
        <v>40</v>
      </c>
      <c r="N342">
        <f>Sheet1[[#This Row],[Quantity]]*Sheet1[[#This Row],[UnitPrice]]</f>
        <v>2482.08</v>
      </c>
    </row>
    <row r="343" spans="1:14" x14ac:dyDescent="0.3">
      <c r="A343" s="1">
        <v>45827</v>
      </c>
      <c r="B343" t="s">
        <v>242</v>
      </c>
      <c r="C343" t="s">
        <v>34</v>
      </c>
      <c r="D343" t="s">
        <v>47</v>
      </c>
      <c r="E343" t="s">
        <v>67</v>
      </c>
      <c r="F343">
        <v>9</v>
      </c>
      <c r="G343">
        <v>11.91</v>
      </c>
      <c r="H343" t="s">
        <v>68</v>
      </c>
      <c r="I343" t="s">
        <v>686</v>
      </c>
      <c r="J343" t="s">
        <v>30</v>
      </c>
      <c r="K343" t="s">
        <v>45</v>
      </c>
      <c r="L343" t="s">
        <v>39</v>
      </c>
      <c r="M343" t="s">
        <v>32</v>
      </c>
      <c r="N343">
        <f>Sheet1[[#This Row],[Quantity]]*Sheet1[[#This Row],[UnitPrice]]</f>
        <v>107.19</v>
      </c>
    </row>
    <row r="344" spans="1:14" x14ac:dyDescent="0.3">
      <c r="A344" s="1">
        <v>45523</v>
      </c>
      <c r="B344" t="s">
        <v>687</v>
      </c>
      <c r="C344" t="s">
        <v>90</v>
      </c>
      <c r="D344" t="s">
        <v>74</v>
      </c>
      <c r="E344" t="s">
        <v>64</v>
      </c>
      <c r="F344">
        <v>1</v>
      </c>
      <c r="G344">
        <v>367.5</v>
      </c>
      <c r="H344" t="s">
        <v>28</v>
      </c>
      <c r="I344" t="s">
        <v>688</v>
      </c>
      <c r="J344" t="s">
        <v>30</v>
      </c>
      <c r="K344" t="s">
        <v>31</v>
      </c>
      <c r="L344" t="s">
        <v>60</v>
      </c>
      <c r="M344" t="s">
        <v>49</v>
      </c>
      <c r="N344">
        <f>Sheet1[[#This Row],[Quantity]]*Sheet1[[#This Row],[UnitPrice]]</f>
        <v>367.5</v>
      </c>
    </row>
    <row r="345" spans="1:14" x14ac:dyDescent="0.3">
      <c r="A345" s="1">
        <v>45507</v>
      </c>
      <c r="B345" t="s">
        <v>465</v>
      </c>
      <c r="C345" t="s">
        <v>34</v>
      </c>
      <c r="D345" t="s">
        <v>47</v>
      </c>
      <c r="E345" t="s">
        <v>42</v>
      </c>
      <c r="F345">
        <v>1</v>
      </c>
      <c r="G345">
        <v>375.32</v>
      </c>
      <c r="H345" t="s">
        <v>18</v>
      </c>
      <c r="I345" t="s">
        <v>689</v>
      </c>
      <c r="J345" t="s">
        <v>38</v>
      </c>
      <c r="K345" t="s">
        <v>31</v>
      </c>
      <c r="L345" t="s">
        <v>39</v>
      </c>
      <c r="M345" t="s">
        <v>23</v>
      </c>
      <c r="N345">
        <f>Sheet1[[#This Row],[Quantity]]*Sheet1[[#This Row],[UnitPrice]]</f>
        <v>375.32</v>
      </c>
    </row>
    <row r="346" spans="1:14" x14ac:dyDescent="0.3">
      <c r="A346" s="1">
        <v>45404</v>
      </c>
      <c r="B346" t="s">
        <v>72</v>
      </c>
      <c r="C346" t="s">
        <v>15</v>
      </c>
      <c r="D346" t="s">
        <v>74</v>
      </c>
      <c r="E346" t="s">
        <v>17</v>
      </c>
      <c r="F346">
        <v>2</v>
      </c>
      <c r="G346">
        <v>82.73</v>
      </c>
      <c r="H346" t="s">
        <v>53</v>
      </c>
      <c r="I346" t="s">
        <v>690</v>
      </c>
      <c r="J346" t="s">
        <v>20</v>
      </c>
      <c r="K346" t="s">
        <v>45</v>
      </c>
      <c r="L346" t="s">
        <v>39</v>
      </c>
      <c r="M346" t="s">
        <v>49</v>
      </c>
      <c r="N346">
        <f>Sheet1[[#This Row],[Quantity]]*Sheet1[[#This Row],[UnitPrice]]</f>
        <v>165.46</v>
      </c>
    </row>
    <row r="347" spans="1:14" x14ac:dyDescent="0.3">
      <c r="A347" s="1">
        <v>45292</v>
      </c>
      <c r="B347" t="s">
        <v>564</v>
      </c>
      <c r="C347" t="s">
        <v>34</v>
      </c>
      <c r="D347" t="s">
        <v>26</v>
      </c>
      <c r="E347" t="s">
        <v>35</v>
      </c>
      <c r="F347">
        <v>1</v>
      </c>
      <c r="G347">
        <v>227.17</v>
      </c>
      <c r="H347" t="s">
        <v>68</v>
      </c>
      <c r="I347" t="s">
        <v>691</v>
      </c>
      <c r="J347" t="s">
        <v>30</v>
      </c>
      <c r="K347" t="s">
        <v>45</v>
      </c>
      <c r="L347" t="s">
        <v>22</v>
      </c>
      <c r="M347" t="s">
        <v>49</v>
      </c>
      <c r="N347">
        <f>Sheet1[[#This Row],[Quantity]]*Sheet1[[#This Row],[UnitPrice]]</f>
        <v>227.17</v>
      </c>
    </row>
    <row r="348" spans="1:14" x14ac:dyDescent="0.3">
      <c r="A348" s="1">
        <v>45582</v>
      </c>
      <c r="B348" t="s">
        <v>692</v>
      </c>
      <c r="C348" t="s">
        <v>63</v>
      </c>
      <c r="D348" t="s">
        <v>26</v>
      </c>
      <c r="E348" t="s">
        <v>27</v>
      </c>
      <c r="F348">
        <v>4</v>
      </c>
      <c r="G348">
        <v>45.25</v>
      </c>
      <c r="H348" t="s">
        <v>53</v>
      </c>
      <c r="I348" t="s">
        <v>693</v>
      </c>
      <c r="J348" t="s">
        <v>20</v>
      </c>
      <c r="K348" t="s">
        <v>45</v>
      </c>
      <c r="L348" t="s">
        <v>60</v>
      </c>
      <c r="M348" t="s">
        <v>32</v>
      </c>
      <c r="N348">
        <f>Sheet1[[#This Row],[Quantity]]*Sheet1[[#This Row],[UnitPrice]]</f>
        <v>181</v>
      </c>
    </row>
    <row r="349" spans="1:14" x14ac:dyDescent="0.3">
      <c r="A349" s="1">
        <v>45702</v>
      </c>
      <c r="B349" t="s">
        <v>694</v>
      </c>
      <c r="C349" t="s">
        <v>90</v>
      </c>
      <c r="D349" t="s">
        <v>16</v>
      </c>
      <c r="E349" t="s">
        <v>17</v>
      </c>
      <c r="F349">
        <v>2</v>
      </c>
      <c r="G349">
        <v>328.5</v>
      </c>
      <c r="H349" t="s">
        <v>28</v>
      </c>
      <c r="I349" t="s">
        <v>695</v>
      </c>
      <c r="J349" t="s">
        <v>38</v>
      </c>
      <c r="K349" t="s">
        <v>21</v>
      </c>
      <c r="L349" t="s">
        <v>39</v>
      </c>
      <c r="M349" t="s">
        <v>40</v>
      </c>
      <c r="N349">
        <f>Sheet1[[#This Row],[Quantity]]*Sheet1[[#This Row],[UnitPrice]]</f>
        <v>657</v>
      </c>
    </row>
    <row r="350" spans="1:14" x14ac:dyDescent="0.3">
      <c r="A350" s="1">
        <v>45009</v>
      </c>
      <c r="B350" t="s">
        <v>696</v>
      </c>
      <c r="C350" t="s">
        <v>90</v>
      </c>
      <c r="D350" t="s">
        <v>26</v>
      </c>
      <c r="E350" t="s">
        <v>17</v>
      </c>
      <c r="F350">
        <v>4</v>
      </c>
      <c r="G350">
        <v>368.99</v>
      </c>
      <c r="H350" t="s">
        <v>53</v>
      </c>
      <c r="I350" t="s">
        <v>697</v>
      </c>
      <c r="J350" t="s">
        <v>44</v>
      </c>
      <c r="K350" t="s">
        <v>45</v>
      </c>
      <c r="L350" t="s">
        <v>22</v>
      </c>
      <c r="M350" t="s">
        <v>40</v>
      </c>
      <c r="N350">
        <f>Sheet1[[#This Row],[Quantity]]*Sheet1[[#This Row],[UnitPrice]]</f>
        <v>1475.96</v>
      </c>
    </row>
    <row r="351" spans="1:14" x14ac:dyDescent="0.3">
      <c r="A351" s="1">
        <v>45476</v>
      </c>
      <c r="B351" t="s">
        <v>698</v>
      </c>
      <c r="C351" t="s">
        <v>73</v>
      </c>
      <c r="D351" t="s">
        <v>26</v>
      </c>
      <c r="E351" t="s">
        <v>35</v>
      </c>
      <c r="F351">
        <v>7</v>
      </c>
      <c r="G351">
        <v>140.38999999999999</v>
      </c>
      <c r="H351" t="s">
        <v>68</v>
      </c>
      <c r="I351" t="s">
        <v>699</v>
      </c>
      <c r="J351" t="s">
        <v>30</v>
      </c>
      <c r="K351" t="s">
        <v>45</v>
      </c>
      <c r="L351" t="s">
        <v>39</v>
      </c>
      <c r="M351" t="s">
        <v>76</v>
      </c>
      <c r="N351">
        <f>Sheet1[[#This Row],[Quantity]]*Sheet1[[#This Row],[UnitPrice]]</f>
        <v>982.7299999999999</v>
      </c>
    </row>
    <row r="352" spans="1:14" x14ac:dyDescent="0.3">
      <c r="A352" s="1">
        <v>45835</v>
      </c>
      <c r="B352" t="s">
        <v>700</v>
      </c>
      <c r="C352" t="s">
        <v>63</v>
      </c>
      <c r="D352" t="s">
        <v>16</v>
      </c>
      <c r="E352" t="s">
        <v>42</v>
      </c>
      <c r="F352">
        <v>5</v>
      </c>
      <c r="G352">
        <v>93.66</v>
      </c>
      <c r="H352" t="s">
        <v>53</v>
      </c>
      <c r="I352" t="s">
        <v>701</v>
      </c>
      <c r="J352" t="s">
        <v>44</v>
      </c>
      <c r="K352" t="s">
        <v>21</v>
      </c>
      <c r="L352" t="s">
        <v>60</v>
      </c>
      <c r="M352" t="s">
        <v>40</v>
      </c>
      <c r="N352">
        <f>Sheet1[[#This Row],[Quantity]]*Sheet1[[#This Row],[UnitPrice]]</f>
        <v>468.29999999999995</v>
      </c>
    </row>
    <row r="353" spans="1:14" x14ac:dyDescent="0.3">
      <c r="A353" s="1">
        <v>45762</v>
      </c>
      <c r="B353" t="s">
        <v>702</v>
      </c>
      <c r="C353" t="s">
        <v>15</v>
      </c>
      <c r="D353" t="s">
        <v>16</v>
      </c>
      <c r="E353" t="s">
        <v>17</v>
      </c>
      <c r="F353">
        <v>8</v>
      </c>
      <c r="G353">
        <v>357.36</v>
      </c>
      <c r="H353" t="s">
        <v>28</v>
      </c>
      <c r="I353" t="s">
        <v>703</v>
      </c>
      <c r="J353" t="s">
        <v>58</v>
      </c>
      <c r="K353" t="s">
        <v>21</v>
      </c>
      <c r="L353" t="s">
        <v>39</v>
      </c>
      <c r="M353" t="s">
        <v>84</v>
      </c>
      <c r="N353">
        <f>Sheet1[[#This Row],[Quantity]]*Sheet1[[#This Row],[UnitPrice]]</f>
        <v>2858.88</v>
      </c>
    </row>
    <row r="354" spans="1:14" x14ac:dyDescent="0.3">
      <c r="A354" s="1">
        <v>45293</v>
      </c>
      <c r="B354" t="s">
        <v>704</v>
      </c>
      <c r="C354" t="s">
        <v>15</v>
      </c>
      <c r="D354" t="s">
        <v>16</v>
      </c>
      <c r="E354" t="s">
        <v>52</v>
      </c>
      <c r="F354">
        <v>9</v>
      </c>
      <c r="G354">
        <v>350.46</v>
      </c>
      <c r="H354" t="s">
        <v>53</v>
      </c>
      <c r="I354" t="s">
        <v>705</v>
      </c>
      <c r="J354" t="s">
        <v>38</v>
      </c>
      <c r="K354" t="s">
        <v>21</v>
      </c>
      <c r="L354" t="s">
        <v>22</v>
      </c>
      <c r="M354" t="s">
        <v>84</v>
      </c>
      <c r="N354">
        <f>Sheet1[[#This Row],[Quantity]]*Sheet1[[#This Row],[UnitPrice]]</f>
        <v>3154.14</v>
      </c>
    </row>
    <row r="355" spans="1:14" x14ac:dyDescent="0.3">
      <c r="A355" s="1">
        <v>45432</v>
      </c>
      <c r="B355" t="s">
        <v>642</v>
      </c>
      <c r="C355" t="s">
        <v>101</v>
      </c>
      <c r="D355" t="s">
        <v>26</v>
      </c>
      <c r="E355" t="s">
        <v>52</v>
      </c>
      <c r="F355">
        <v>10</v>
      </c>
      <c r="G355">
        <v>214.18</v>
      </c>
      <c r="H355" t="s">
        <v>53</v>
      </c>
      <c r="I355" t="s">
        <v>706</v>
      </c>
      <c r="J355" t="s">
        <v>58</v>
      </c>
      <c r="K355" t="s">
        <v>45</v>
      </c>
      <c r="L355" t="s">
        <v>60</v>
      </c>
      <c r="M355" t="s">
        <v>49</v>
      </c>
      <c r="N355">
        <f>Sheet1[[#This Row],[Quantity]]*Sheet1[[#This Row],[UnitPrice]]</f>
        <v>2141.8000000000002</v>
      </c>
    </row>
    <row r="356" spans="1:14" x14ac:dyDescent="0.3">
      <c r="A356" s="1">
        <v>45563</v>
      </c>
      <c r="B356" t="s">
        <v>707</v>
      </c>
      <c r="C356" t="s">
        <v>56</v>
      </c>
      <c r="D356" t="s">
        <v>16</v>
      </c>
      <c r="E356" t="s">
        <v>64</v>
      </c>
      <c r="F356">
        <v>10</v>
      </c>
      <c r="G356">
        <v>302.89999999999998</v>
      </c>
      <c r="H356" t="s">
        <v>36</v>
      </c>
      <c r="I356" t="s">
        <v>708</v>
      </c>
      <c r="J356" t="s">
        <v>20</v>
      </c>
      <c r="K356" t="s">
        <v>45</v>
      </c>
      <c r="L356" t="s">
        <v>39</v>
      </c>
      <c r="M356" t="s">
        <v>23</v>
      </c>
      <c r="N356">
        <f>Sheet1[[#This Row],[Quantity]]*Sheet1[[#This Row],[UnitPrice]]</f>
        <v>3029</v>
      </c>
    </row>
    <row r="357" spans="1:14" x14ac:dyDescent="0.3">
      <c r="A357" s="1">
        <v>45537</v>
      </c>
      <c r="B357" t="s">
        <v>113</v>
      </c>
      <c r="C357" t="s">
        <v>56</v>
      </c>
      <c r="D357" t="s">
        <v>16</v>
      </c>
      <c r="E357" t="s">
        <v>64</v>
      </c>
      <c r="F357">
        <v>2</v>
      </c>
      <c r="G357">
        <v>96.78</v>
      </c>
      <c r="H357" t="s">
        <v>28</v>
      </c>
      <c r="I357" t="s">
        <v>709</v>
      </c>
      <c r="J357" t="s">
        <v>30</v>
      </c>
      <c r="K357" t="s">
        <v>21</v>
      </c>
      <c r="L357" t="s">
        <v>39</v>
      </c>
      <c r="M357" t="s">
        <v>49</v>
      </c>
      <c r="N357">
        <f>Sheet1[[#This Row],[Quantity]]*Sheet1[[#This Row],[UnitPrice]]</f>
        <v>193.56</v>
      </c>
    </row>
    <row r="358" spans="1:14" x14ac:dyDescent="0.3">
      <c r="A358" s="1">
        <v>45541</v>
      </c>
      <c r="B358" t="s">
        <v>710</v>
      </c>
      <c r="C358" t="s">
        <v>15</v>
      </c>
      <c r="D358" t="s">
        <v>74</v>
      </c>
      <c r="E358" t="s">
        <v>64</v>
      </c>
      <c r="F358">
        <v>9</v>
      </c>
      <c r="G358">
        <v>10.26</v>
      </c>
      <c r="H358" t="s">
        <v>36</v>
      </c>
      <c r="I358" t="s">
        <v>711</v>
      </c>
      <c r="J358" t="s">
        <v>30</v>
      </c>
      <c r="K358" t="s">
        <v>45</v>
      </c>
      <c r="L358" t="s">
        <v>60</v>
      </c>
      <c r="M358" t="s">
        <v>40</v>
      </c>
      <c r="N358">
        <f>Sheet1[[#This Row],[Quantity]]*Sheet1[[#This Row],[UnitPrice]]</f>
        <v>92.34</v>
      </c>
    </row>
    <row r="359" spans="1:14" x14ac:dyDescent="0.3">
      <c r="A359" s="1">
        <v>45835</v>
      </c>
      <c r="B359" t="s">
        <v>583</v>
      </c>
      <c r="C359" t="s">
        <v>25</v>
      </c>
      <c r="D359" t="s">
        <v>74</v>
      </c>
      <c r="E359" t="s">
        <v>42</v>
      </c>
      <c r="F359">
        <v>4</v>
      </c>
      <c r="G359">
        <v>229.25</v>
      </c>
      <c r="H359" t="s">
        <v>18</v>
      </c>
      <c r="I359" t="s">
        <v>712</v>
      </c>
      <c r="J359" t="s">
        <v>20</v>
      </c>
      <c r="K359" t="s">
        <v>45</v>
      </c>
      <c r="L359" t="s">
        <v>22</v>
      </c>
      <c r="M359" t="s">
        <v>40</v>
      </c>
      <c r="N359">
        <f>Sheet1[[#This Row],[Quantity]]*Sheet1[[#This Row],[UnitPrice]]</f>
        <v>917</v>
      </c>
    </row>
    <row r="360" spans="1:14" x14ac:dyDescent="0.3">
      <c r="A360" s="1">
        <v>45800</v>
      </c>
      <c r="B360" t="s">
        <v>344</v>
      </c>
      <c r="C360" t="s">
        <v>56</v>
      </c>
      <c r="D360" t="s">
        <v>47</v>
      </c>
      <c r="E360" t="s">
        <v>42</v>
      </c>
      <c r="F360">
        <v>7</v>
      </c>
      <c r="G360">
        <v>255.33</v>
      </c>
      <c r="H360" t="s">
        <v>36</v>
      </c>
      <c r="I360" t="s">
        <v>713</v>
      </c>
      <c r="J360" t="s">
        <v>30</v>
      </c>
      <c r="K360" t="s">
        <v>45</v>
      </c>
      <c r="L360" t="s">
        <v>39</v>
      </c>
      <c r="M360" t="s">
        <v>40</v>
      </c>
      <c r="N360">
        <f>Sheet1[[#This Row],[Quantity]]*Sheet1[[#This Row],[UnitPrice]]</f>
        <v>1787.3100000000002</v>
      </c>
    </row>
    <row r="361" spans="1:14" x14ac:dyDescent="0.3">
      <c r="A361" s="1">
        <v>45129</v>
      </c>
      <c r="B361" t="s">
        <v>714</v>
      </c>
      <c r="C361" t="s">
        <v>78</v>
      </c>
      <c r="D361" t="s">
        <v>47</v>
      </c>
      <c r="E361" t="s">
        <v>67</v>
      </c>
      <c r="F361">
        <v>8</v>
      </c>
      <c r="G361">
        <v>213.22</v>
      </c>
      <c r="H361" t="s">
        <v>68</v>
      </c>
      <c r="I361" t="s">
        <v>715</v>
      </c>
      <c r="J361" t="s">
        <v>30</v>
      </c>
      <c r="K361" t="s">
        <v>21</v>
      </c>
      <c r="L361" t="s">
        <v>60</v>
      </c>
      <c r="M361" t="s">
        <v>23</v>
      </c>
      <c r="N361">
        <f>Sheet1[[#This Row],[Quantity]]*Sheet1[[#This Row],[UnitPrice]]</f>
        <v>1705.76</v>
      </c>
    </row>
    <row r="362" spans="1:14" x14ac:dyDescent="0.3">
      <c r="A362" s="1">
        <v>45538</v>
      </c>
      <c r="B362" t="s">
        <v>194</v>
      </c>
      <c r="C362" t="s">
        <v>56</v>
      </c>
      <c r="D362" t="s">
        <v>16</v>
      </c>
      <c r="E362" t="s">
        <v>64</v>
      </c>
      <c r="F362">
        <v>8</v>
      </c>
      <c r="G362">
        <v>100.73</v>
      </c>
      <c r="H362" t="s">
        <v>36</v>
      </c>
      <c r="I362" t="s">
        <v>716</v>
      </c>
      <c r="J362" t="s">
        <v>20</v>
      </c>
      <c r="K362" t="s">
        <v>21</v>
      </c>
      <c r="L362" t="s">
        <v>39</v>
      </c>
      <c r="M362" t="s">
        <v>84</v>
      </c>
      <c r="N362">
        <f>Sheet1[[#This Row],[Quantity]]*Sheet1[[#This Row],[UnitPrice]]</f>
        <v>805.84</v>
      </c>
    </row>
    <row r="363" spans="1:14" x14ac:dyDescent="0.3">
      <c r="A363" s="1">
        <v>45246</v>
      </c>
      <c r="B363" t="s">
        <v>717</v>
      </c>
      <c r="C363" t="s">
        <v>63</v>
      </c>
      <c r="D363" t="s">
        <v>47</v>
      </c>
      <c r="E363" t="s">
        <v>64</v>
      </c>
      <c r="F363">
        <v>7</v>
      </c>
      <c r="G363">
        <v>75.44</v>
      </c>
      <c r="H363" t="s">
        <v>36</v>
      </c>
      <c r="I363" t="s">
        <v>718</v>
      </c>
      <c r="J363" t="s">
        <v>38</v>
      </c>
      <c r="K363" t="s">
        <v>31</v>
      </c>
      <c r="L363" t="s">
        <v>39</v>
      </c>
      <c r="M363" t="s">
        <v>32</v>
      </c>
      <c r="N363">
        <f>Sheet1[[#This Row],[Quantity]]*Sheet1[[#This Row],[UnitPrice]]</f>
        <v>528.07999999999993</v>
      </c>
    </row>
    <row r="364" spans="1:14" x14ac:dyDescent="0.3">
      <c r="A364" s="1">
        <v>45812</v>
      </c>
      <c r="B364" t="s">
        <v>719</v>
      </c>
      <c r="C364" t="s">
        <v>34</v>
      </c>
      <c r="D364" t="s">
        <v>47</v>
      </c>
      <c r="E364" t="s">
        <v>17</v>
      </c>
      <c r="F364">
        <v>2</v>
      </c>
      <c r="G364">
        <v>125.58</v>
      </c>
      <c r="H364" t="s">
        <v>53</v>
      </c>
      <c r="I364" t="s">
        <v>720</v>
      </c>
      <c r="J364" t="s">
        <v>20</v>
      </c>
      <c r="K364" t="s">
        <v>59</v>
      </c>
      <c r="L364" t="s">
        <v>39</v>
      </c>
      <c r="M364" t="s">
        <v>76</v>
      </c>
      <c r="N364">
        <f>Sheet1[[#This Row],[Quantity]]*Sheet1[[#This Row],[UnitPrice]]</f>
        <v>251.16</v>
      </c>
    </row>
    <row r="365" spans="1:14" x14ac:dyDescent="0.3">
      <c r="A365" s="1">
        <v>45231</v>
      </c>
      <c r="B365" t="s">
        <v>721</v>
      </c>
      <c r="C365" t="s">
        <v>90</v>
      </c>
      <c r="D365" t="s">
        <v>74</v>
      </c>
      <c r="E365" t="s">
        <v>42</v>
      </c>
      <c r="F365">
        <v>1</v>
      </c>
      <c r="G365">
        <v>5.74</v>
      </c>
      <c r="H365" t="s">
        <v>53</v>
      </c>
      <c r="I365" t="s">
        <v>722</v>
      </c>
      <c r="J365" t="s">
        <v>30</v>
      </c>
      <c r="K365" t="s">
        <v>21</v>
      </c>
      <c r="L365" t="s">
        <v>39</v>
      </c>
      <c r="M365" t="s">
        <v>76</v>
      </c>
      <c r="N365">
        <f>Sheet1[[#This Row],[Quantity]]*Sheet1[[#This Row],[UnitPrice]]</f>
        <v>5.74</v>
      </c>
    </row>
    <row r="366" spans="1:14" x14ac:dyDescent="0.3">
      <c r="A366" s="1">
        <v>45726</v>
      </c>
      <c r="B366" t="s">
        <v>227</v>
      </c>
      <c r="C366" t="s">
        <v>73</v>
      </c>
      <c r="D366" t="s">
        <v>74</v>
      </c>
      <c r="E366" t="s">
        <v>35</v>
      </c>
      <c r="F366">
        <v>8</v>
      </c>
      <c r="G366">
        <v>202.46</v>
      </c>
      <c r="H366" t="s">
        <v>28</v>
      </c>
      <c r="I366" t="s">
        <v>723</v>
      </c>
      <c r="J366" t="s">
        <v>44</v>
      </c>
      <c r="K366" t="s">
        <v>59</v>
      </c>
      <c r="L366" t="s">
        <v>60</v>
      </c>
      <c r="M366" t="s">
        <v>49</v>
      </c>
      <c r="N366">
        <f>Sheet1[[#This Row],[Quantity]]*Sheet1[[#This Row],[UnitPrice]]</f>
        <v>1619.68</v>
      </c>
    </row>
    <row r="367" spans="1:14" x14ac:dyDescent="0.3">
      <c r="A367" s="1">
        <v>45389</v>
      </c>
      <c r="B367" t="s">
        <v>724</v>
      </c>
      <c r="C367" t="s">
        <v>63</v>
      </c>
      <c r="D367" t="s">
        <v>47</v>
      </c>
      <c r="E367" t="s">
        <v>35</v>
      </c>
      <c r="F367">
        <v>6</v>
      </c>
      <c r="G367">
        <v>127.19</v>
      </c>
      <c r="H367" t="s">
        <v>68</v>
      </c>
      <c r="I367" t="s">
        <v>725</v>
      </c>
      <c r="J367" t="s">
        <v>30</v>
      </c>
      <c r="K367" t="s">
        <v>21</v>
      </c>
      <c r="L367" t="s">
        <v>39</v>
      </c>
      <c r="M367" t="s">
        <v>61</v>
      </c>
      <c r="N367">
        <f>Sheet1[[#This Row],[Quantity]]*Sheet1[[#This Row],[UnitPrice]]</f>
        <v>763.14</v>
      </c>
    </row>
    <row r="368" spans="1:14" x14ac:dyDescent="0.3">
      <c r="A368" s="1">
        <v>45470</v>
      </c>
      <c r="B368" t="s">
        <v>726</v>
      </c>
      <c r="C368" t="s">
        <v>25</v>
      </c>
      <c r="D368" t="s">
        <v>47</v>
      </c>
      <c r="E368" t="s">
        <v>64</v>
      </c>
      <c r="F368">
        <v>4</v>
      </c>
      <c r="G368">
        <v>390.36</v>
      </c>
      <c r="H368" t="s">
        <v>28</v>
      </c>
      <c r="I368" t="s">
        <v>727</v>
      </c>
      <c r="J368" t="s">
        <v>38</v>
      </c>
      <c r="K368" t="s">
        <v>31</v>
      </c>
      <c r="L368" t="s">
        <v>22</v>
      </c>
      <c r="M368" t="s">
        <v>32</v>
      </c>
      <c r="N368">
        <f>Sheet1[[#This Row],[Quantity]]*Sheet1[[#This Row],[UnitPrice]]</f>
        <v>1561.44</v>
      </c>
    </row>
    <row r="369" spans="1:14" x14ac:dyDescent="0.3">
      <c r="A369" s="1">
        <v>45253</v>
      </c>
      <c r="B369" t="s">
        <v>728</v>
      </c>
      <c r="C369" t="s">
        <v>51</v>
      </c>
      <c r="D369" t="s">
        <v>16</v>
      </c>
      <c r="E369" t="s">
        <v>64</v>
      </c>
      <c r="F369">
        <v>9</v>
      </c>
      <c r="G369">
        <v>176.82</v>
      </c>
      <c r="H369" t="s">
        <v>68</v>
      </c>
      <c r="I369" t="s">
        <v>729</v>
      </c>
      <c r="J369" t="s">
        <v>38</v>
      </c>
      <c r="K369" t="s">
        <v>21</v>
      </c>
      <c r="L369" t="s">
        <v>39</v>
      </c>
      <c r="M369" t="s">
        <v>32</v>
      </c>
      <c r="N369">
        <f>Sheet1[[#This Row],[Quantity]]*Sheet1[[#This Row],[UnitPrice]]</f>
        <v>1591.3799999999999</v>
      </c>
    </row>
    <row r="370" spans="1:14" x14ac:dyDescent="0.3">
      <c r="A370" s="1">
        <v>44945</v>
      </c>
      <c r="B370" t="s">
        <v>730</v>
      </c>
      <c r="C370" t="s">
        <v>15</v>
      </c>
      <c r="D370" t="s">
        <v>47</v>
      </c>
      <c r="E370" t="s">
        <v>17</v>
      </c>
      <c r="F370">
        <v>8</v>
      </c>
      <c r="G370">
        <v>115.67</v>
      </c>
      <c r="H370" t="s">
        <v>68</v>
      </c>
      <c r="I370" t="s">
        <v>731</v>
      </c>
      <c r="J370" t="s">
        <v>20</v>
      </c>
      <c r="K370" t="s">
        <v>45</v>
      </c>
      <c r="L370" t="s">
        <v>22</v>
      </c>
      <c r="M370" t="s">
        <v>32</v>
      </c>
      <c r="N370">
        <f>Sheet1[[#This Row],[Quantity]]*Sheet1[[#This Row],[UnitPrice]]</f>
        <v>925.36</v>
      </c>
    </row>
    <row r="371" spans="1:14" x14ac:dyDescent="0.3">
      <c r="A371" s="1">
        <v>45650</v>
      </c>
      <c r="B371" t="s">
        <v>732</v>
      </c>
      <c r="C371" t="s">
        <v>73</v>
      </c>
      <c r="D371" t="s">
        <v>74</v>
      </c>
      <c r="E371" t="s">
        <v>27</v>
      </c>
      <c r="F371">
        <v>7</v>
      </c>
      <c r="G371">
        <v>120.13</v>
      </c>
      <c r="H371" t="s">
        <v>36</v>
      </c>
      <c r="I371" t="s">
        <v>733</v>
      </c>
      <c r="J371" t="s">
        <v>30</v>
      </c>
      <c r="K371" t="s">
        <v>31</v>
      </c>
      <c r="L371" t="s">
        <v>60</v>
      </c>
      <c r="M371" t="s">
        <v>84</v>
      </c>
      <c r="N371">
        <f>Sheet1[[#This Row],[Quantity]]*Sheet1[[#This Row],[UnitPrice]]</f>
        <v>840.91</v>
      </c>
    </row>
    <row r="372" spans="1:14" x14ac:dyDescent="0.3">
      <c r="A372" s="1">
        <v>44991</v>
      </c>
      <c r="B372" t="s">
        <v>311</v>
      </c>
      <c r="C372" t="s">
        <v>56</v>
      </c>
      <c r="D372" t="s">
        <v>26</v>
      </c>
      <c r="E372" t="s">
        <v>64</v>
      </c>
      <c r="F372">
        <v>9</v>
      </c>
      <c r="G372">
        <v>378.43</v>
      </c>
      <c r="H372" t="s">
        <v>18</v>
      </c>
      <c r="I372" t="s">
        <v>734</v>
      </c>
      <c r="J372" t="s">
        <v>38</v>
      </c>
      <c r="K372" t="s">
        <v>59</v>
      </c>
      <c r="L372" t="s">
        <v>22</v>
      </c>
      <c r="M372" t="s">
        <v>49</v>
      </c>
      <c r="N372">
        <f>Sheet1[[#This Row],[Quantity]]*Sheet1[[#This Row],[UnitPrice]]</f>
        <v>3405.87</v>
      </c>
    </row>
    <row r="373" spans="1:14" x14ac:dyDescent="0.3">
      <c r="A373" s="1">
        <v>45073</v>
      </c>
      <c r="B373" t="s">
        <v>735</v>
      </c>
      <c r="C373" t="s">
        <v>78</v>
      </c>
      <c r="D373" t="s">
        <v>74</v>
      </c>
      <c r="E373" t="s">
        <v>27</v>
      </c>
      <c r="F373">
        <v>9</v>
      </c>
      <c r="G373">
        <v>88.48</v>
      </c>
      <c r="H373" t="s">
        <v>18</v>
      </c>
      <c r="I373" t="s">
        <v>736</v>
      </c>
      <c r="J373" t="s">
        <v>58</v>
      </c>
      <c r="K373" t="s">
        <v>59</v>
      </c>
      <c r="L373" t="s">
        <v>22</v>
      </c>
      <c r="M373" t="s">
        <v>23</v>
      </c>
      <c r="N373">
        <f>Sheet1[[#This Row],[Quantity]]*Sheet1[[#This Row],[UnitPrice]]</f>
        <v>796.32</v>
      </c>
    </row>
    <row r="374" spans="1:14" x14ac:dyDescent="0.3">
      <c r="A374" s="1">
        <v>45344</v>
      </c>
      <c r="B374" t="s">
        <v>737</v>
      </c>
      <c r="C374" t="s">
        <v>25</v>
      </c>
      <c r="D374" t="s">
        <v>26</v>
      </c>
      <c r="E374" t="s">
        <v>67</v>
      </c>
      <c r="F374">
        <v>9</v>
      </c>
      <c r="G374">
        <v>389.25</v>
      </c>
      <c r="H374" t="s">
        <v>53</v>
      </c>
      <c r="I374" t="s">
        <v>738</v>
      </c>
      <c r="J374" t="s">
        <v>38</v>
      </c>
      <c r="K374" t="s">
        <v>59</v>
      </c>
      <c r="L374" t="s">
        <v>22</v>
      </c>
      <c r="M374" t="s">
        <v>32</v>
      </c>
      <c r="N374">
        <f>Sheet1[[#This Row],[Quantity]]*Sheet1[[#This Row],[UnitPrice]]</f>
        <v>3503.25</v>
      </c>
    </row>
    <row r="375" spans="1:14" x14ac:dyDescent="0.3">
      <c r="A375" s="1">
        <v>45495</v>
      </c>
      <c r="B375" t="s">
        <v>739</v>
      </c>
      <c r="C375" t="s">
        <v>78</v>
      </c>
      <c r="D375" t="s">
        <v>47</v>
      </c>
      <c r="E375" t="s">
        <v>35</v>
      </c>
      <c r="F375">
        <v>2</v>
      </c>
      <c r="G375">
        <v>161.43</v>
      </c>
      <c r="H375" t="s">
        <v>53</v>
      </c>
      <c r="I375" t="s">
        <v>740</v>
      </c>
      <c r="J375" t="s">
        <v>58</v>
      </c>
      <c r="K375" t="s">
        <v>59</v>
      </c>
      <c r="L375" t="s">
        <v>39</v>
      </c>
      <c r="M375" t="s">
        <v>49</v>
      </c>
      <c r="N375">
        <f>Sheet1[[#This Row],[Quantity]]*Sheet1[[#This Row],[UnitPrice]]</f>
        <v>322.86</v>
      </c>
    </row>
    <row r="376" spans="1:14" x14ac:dyDescent="0.3">
      <c r="A376" s="1">
        <v>45161</v>
      </c>
      <c r="B376" t="s">
        <v>361</v>
      </c>
      <c r="C376" t="s">
        <v>73</v>
      </c>
      <c r="D376" t="s">
        <v>47</v>
      </c>
      <c r="E376" t="s">
        <v>17</v>
      </c>
      <c r="F376">
        <v>3</v>
      </c>
      <c r="G376">
        <v>301.23</v>
      </c>
      <c r="H376" t="s">
        <v>68</v>
      </c>
      <c r="I376" t="s">
        <v>741</v>
      </c>
      <c r="J376" t="s">
        <v>44</v>
      </c>
      <c r="K376" t="s">
        <v>59</v>
      </c>
      <c r="L376" t="s">
        <v>39</v>
      </c>
      <c r="M376" t="s">
        <v>76</v>
      </c>
      <c r="N376">
        <f>Sheet1[[#This Row],[Quantity]]*Sheet1[[#This Row],[UnitPrice]]</f>
        <v>903.69</v>
      </c>
    </row>
    <row r="377" spans="1:14" x14ac:dyDescent="0.3">
      <c r="A377" s="1">
        <v>45672</v>
      </c>
      <c r="B377" t="s">
        <v>475</v>
      </c>
      <c r="C377" t="s">
        <v>78</v>
      </c>
      <c r="D377" t="s">
        <v>16</v>
      </c>
      <c r="E377" t="s">
        <v>42</v>
      </c>
      <c r="F377">
        <v>8</v>
      </c>
      <c r="G377">
        <v>358.91</v>
      </c>
      <c r="H377" t="s">
        <v>68</v>
      </c>
      <c r="I377" t="s">
        <v>742</v>
      </c>
      <c r="J377" t="s">
        <v>58</v>
      </c>
      <c r="K377" t="s">
        <v>21</v>
      </c>
      <c r="L377" t="s">
        <v>39</v>
      </c>
      <c r="M377" t="s">
        <v>76</v>
      </c>
      <c r="N377">
        <f>Sheet1[[#This Row],[Quantity]]*Sheet1[[#This Row],[UnitPrice]]</f>
        <v>2871.28</v>
      </c>
    </row>
    <row r="378" spans="1:14" x14ac:dyDescent="0.3">
      <c r="A378" s="1">
        <v>45822</v>
      </c>
      <c r="B378" t="s">
        <v>743</v>
      </c>
      <c r="C378" t="s">
        <v>51</v>
      </c>
      <c r="D378" t="s">
        <v>74</v>
      </c>
      <c r="E378" t="s">
        <v>17</v>
      </c>
      <c r="F378">
        <v>7</v>
      </c>
      <c r="G378">
        <v>240.58</v>
      </c>
      <c r="H378" t="s">
        <v>18</v>
      </c>
      <c r="I378" t="s">
        <v>744</v>
      </c>
      <c r="J378" t="s">
        <v>38</v>
      </c>
      <c r="K378" t="s">
        <v>21</v>
      </c>
      <c r="L378" t="s">
        <v>60</v>
      </c>
      <c r="M378" t="s">
        <v>23</v>
      </c>
      <c r="N378">
        <f>Sheet1[[#This Row],[Quantity]]*Sheet1[[#This Row],[UnitPrice]]</f>
        <v>1684.0600000000002</v>
      </c>
    </row>
    <row r="379" spans="1:14" x14ac:dyDescent="0.3">
      <c r="A379" s="1">
        <v>45062</v>
      </c>
      <c r="B379" t="s">
        <v>745</v>
      </c>
      <c r="C379" t="s">
        <v>34</v>
      </c>
      <c r="D379" t="s">
        <v>74</v>
      </c>
      <c r="E379" t="s">
        <v>35</v>
      </c>
      <c r="F379">
        <v>6</v>
      </c>
      <c r="G379">
        <v>312.2</v>
      </c>
      <c r="H379" t="s">
        <v>18</v>
      </c>
      <c r="I379" t="s">
        <v>746</v>
      </c>
      <c r="J379" t="s">
        <v>38</v>
      </c>
      <c r="K379" t="s">
        <v>45</v>
      </c>
      <c r="L379" t="s">
        <v>60</v>
      </c>
      <c r="M379" t="s">
        <v>84</v>
      </c>
      <c r="N379">
        <f>Sheet1[[#This Row],[Quantity]]*Sheet1[[#This Row],[UnitPrice]]</f>
        <v>1873.1999999999998</v>
      </c>
    </row>
    <row r="380" spans="1:14" x14ac:dyDescent="0.3">
      <c r="A380" s="1">
        <v>45195</v>
      </c>
      <c r="B380" t="s">
        <v>530</v>
      </c>
      <c r="C380" t="s">
        <v>25</v>
      </c>
      <c r="D380" t="s">
        <v>16</v>
      </c>
      <c r="E380" t="s">
        <v>27</v>
      </c>
      <c r="F380">
        <v>4</v>
      </c>
      <c r="G380">
        <v>86.31</v>
      </c>
      <c r="H380" t="s">
        <v>18</v>
      </c>
      <c r="I380" t="s">
        <v>747</v>
      </c>
      <c r="J380" t="s">
        <v>20</v>
      </c>
      <c r="K380" t="s">
        <v>59</v>
      </c>
      <c r="L380" t="s">
        <v>22</v>
      </c>
      <c r="M380" t="s">
        <v>84</v>
      </c>
      <c r="N380">
        <f>Sheet1[[#This Row],[Quantity]]*Sheet1[[#This Row],[UnitPrice]]</f>
        <v>345.24</v>
      </c>
    </row>
    <row r="381" spans="1:14" x14ac:dyDescent="0.3">
      <c r="A381" s="1">
        <v>45189</v>
      </c>
      <c r="B381" t="s">
        <v>748</v>
      </c>
      <c r="C381" t="s">
        <v>73</v>
      </c>
      <c r="D381" t="s">
        <v>26</v>
      </c>
      <c r="E381" t="s">
        <v>42</v>
      </c>
      <c r="F381">
        <v>5</v>
      </c>
      <c r="G381">
        <v>97.19</v>
      </c>
      <c r="H381" t="s">
        <v>36</v>
      </c>
      <c r="I381" t="s">
        <v>749</v>
      </c>
      <c r="J381" t="s">
        <v>58</v>
      </c>
      <c r="K381" t="s">
        <v>45</v>
      </c>
      <c r="L381" t="s">
        <v>22</v>
      </c>
      <c r="M381" t="s">
        <v>76</v>
      </c>
      <c r="N381">
        <f>Sheet1[[#This Row],[Quantity]]*Sheet1[[#This Row],[UnitPrice]]</f>
        <v>485.95</v>
      </c>
    </row>
    <row r="382" spans="1:14" x14ac:dyDescent="0.3">
      <c r="A382" s="1">
        <v>44984</v>
      </c>
      <c r="B382" t="s">
        <v>750</v>
      </c>
      <c r="C382" t="s">
        <v>73</v>
      </c>
      <c r="D382" t="s">
        <v>47</v>
      </c>
      <c r="E382" t="s">
        <v>27</v>
      </c>
      <c r="F382">
        <v>9</v>
      </c>
      <c r="G382">
        <v>349.94</v>
      </c>
      <c r="H382" t="s">
        <v>68</v>
      </c>
      <c r="I382" t="s">
        <v>751</v>
      </c>
      <c r="J382" t="s">
        <v>44</v>
      </c>
      <c r="K382" t="s">
        <v>31</v>
      </c>
      <c r="L382" t="s">
        <v>22</v>
      </c>
      <c r="M382" t="s">
        <v>49</v>
      </c>
      <c r="N382">
        <f>Sheet1[[#This Row],[Quantity]]*Sheet1[[#This Row],[UnitPrice]]</f>
        <v>3149.46</v>
      </c>
    </row>
    <row r="383" spans="1:14" x14ac:dyDescent="0.3">
      <c r="A383" s="1">
        <v>45620</v>
      </c>
      <c r="B383" t="s">
        <v>752</v>
      </c>
      <c r="C383" t="s">
        <v>34</v>
      </c>
      <c r="D383" t="s">
        <v>16</v>
      </c>
      <c r="E383" t="s">
        <v>64</v>
      </c>
      <c r="F383">
        <v>10</v>
      </c>
      <c r="G383">
        <v>213.13</v>
      </c>
      <c r="H383" t="s">
        <v>53</v>
      </c>
      <c r="I383" t="s">
        <v>753</v>
      </c>
      <c r="J383" t="s">
        <v>38</v>
      </c>
      <c r="K383" t="s">
        <v>31</v>
      </c>
      <c r="L383" t="s">
        <v>22</v>
      </c>
      <c r="M383" t="s">
        <v>61</v>
      </c>
      <c r="N383">
        <f>Sheet1[[#This Row],[Quantity]]*Sheet1[[#This Row],[UnitPrice]]</f>
        <v>2131.3000000000002</v>
      </c>
    </row>
    <row r="384" spans="1:14" x14ac:dyDescent="0.3">
      <c r="A384" s="1">
        <v>45615</v>
      </c>
      <c r="B384" t="s">
        <v>754</v>
      </c>
      <c r="C384" t="s">
        <v>15</v>
      </c>
      <c r="D384" t="s">
        <v>26</v>
      </c>
      <c r="E384" t="s">
        <v>67</v>
      </c>
      <c r="F384">
        <v>8</v>
      </c>
      <c r="G384">
        <v>132.93</v>
      </c>
      <c r="H384" t="s">
        <v>18</v>
      </c>
      <c r="I384" t="s">
        <v>755</v>
      </c>
      <c r="J384" t="s">
        <v>30</v>
      </c>
      <c r="K384" t="s">
        <v>31</v>
      </c>
      <c r="L384" t="s">
        <v>39</v>
      </c>
      <c r="M384" t="s">
        <v>84</v>
      </c>
      <c r="N384">
        <f>Sheet1[[#This Row],[Quantity]]*Sheet1[[#This Row],[UnitPrice]]</f>
        <v>1063.44</v>
      </c>
    </row>
    <row r="385" spans="1:14" x14ac:dyDescent="0.3">
      <c r="A385" s="1">
        <v>45025</v>
      </c>
      <c r="B385" t="s">
        <v>756</v>
      </c>
      <c r="C385" t="s">
        <v>101</v>
      </c>
      <c r="D385" t="s">
        <v>74</v>
      </c>
      <c r="E385" t="s">
        <v>42</v>
      </c>
      <c r="F385">
        <v>4</v>
      </c>
      <c r="G385">
        <v>224.48</v>
      </c>
      <c r="H385" t="s">
        <v>36</v>
      </c>
      <c r="I385" t="s">
        <v>757</v>
      </c>
      <c r="J385" t="s">
        <v>58</v>
      </c>
      <c r="K385" t="s">
        <v>21</v>
      </c>
      <c r="L385" t="s">
        <v>22</v>
      </c>
      <c r="M385" t="s">
        <v>61</v>
      </c>
      <c r="N385">
        <f>Sheet1[[#This Row],[Quantity]]*Sheet1[[#This Row],[UnitPrice]]</f>
        <v>897.92</v>
      </c>
    </row>
    <row r="386" spans="1:14" x14ac:dyDescent="0.3">
      <c r="A386" s="1">
        <v>45375</v>
      </c>
      <c r="B386" t="s">
        <v>758</v>
      </c>
      <c r="C386" t="s">
        <v>63</v>
      </c>
      <c r="D386" t="s">
        <v>16</v>
      </c>
      <c r="E386" t="s">
        <v>67</v>
      </c>
      <c r="F386">
        <v>3</v>
      </c>
      <c r="G386">
        <v>11.02</v>
      </c>
      <c r="H386" t="s">
        <v>53</v>
      </c>
      <c r="I386" t="s">
        <v>759</v>
      </c>
      <c r="J386" t="s">
        <v>38</v>
      </c>
      <c r="K386" t="s">
        <v>45</v>
      </c>
      <c r="L386" t="s">
        <v>60</v>
      </c>
      <c r="M386" t="s">
        <v>61</v>
      </c>
      <c r="N386">
        <f>Sheet1[[#This Row],[Quantity]]*Sheet1[[#This Row],[UnitPrice]]</f>
        <v>33.06</v>
      </c>
    </row>
    <row r="387" spans="1:14" x14ac:dyDescent="0.3">
      <c r="A387" s="1">
        <v>45358</v>
      </c>
      <c r="B387" t="s">
        <v>760</v>
      </c>
      <c r="C387" t="s">
        <v>101</v>
      </c>
      <c r="D387" t="s">
        <v>26</v>
      </c>
      <c r="E387" t="s">
        <v>42</v>
      </c>
      <c r="F387">
        <v>2</v>
      </c>
      <c r="G387">
        <v>281.98</v>
      </c>
      <c r="H387" t="s">
        <v>68</v>
      </c>
      <c r="I387" t="s">
        <v>761</v>
      </c>
      <c r="J387" t="s">
        <v>30</v>
      </c>
      <c r="K387" t="s">
        <v>21</v>
      </c>
      <c r="L387" t="s">
        <v>22</v>
      </c>
      <c r="M387" t="s">
        <v>32</v>
      </c>
      <c r="N387">
        <f>Sheet1[[#This Row],[Quantity]]*Sheet1[[#This Row],[UnitPrice]]</f>
        <v>563.96</v>
      </c>
    </row>
    <row r="388" spans="1:14" x14ac:dyDescent="0.3">
      <c r="A388" s="1">
        <v>44999</v>
      </c>
      <c r="B388" t="s">
        <v>446</v>
      </c>
      <c r="C388" t="s">
        <v>34</v>
      </c>
      <c r="D388" t="s">
        <v>26</v>
      </c>
      <c r="E388" t="s">
        <v>64</v>
      </c>
      <c r="F388">
        <v>9</v>
      </c>
      <c r="G388">
        <v>168.59</v>
      </c>
      <c r="H388" t="s">
        <v>36</v>
      </c>
      <c r="I388" t="s">
        <v>762</v>
      </c>
      <c r="J388" t="s">
        <v>44</v>
      </c>
      <c r="K388" t="s">
        <v>31</v>
      </c>
      <c r="L388" t="s">
        <v>22</v>
      </c>
      <c r="M388" t="s">
        <v>84</v>
      </c>
      <c r="N388">
        <f>Sheet1[[#This Row],[Quantity]]*Sheet1[[#This Row],[UnitPrice]]</f>
        <v>1517.31</v>
      </c>
    </row>
    <row r="389" spans="1:14" x14ac:dyDescent="0.3">
      <c r="A389" s="1">
        <v>44929</v>
      </c>
      <c r="B389" t="s">
        <v>763</v>
      </c>
      <c r="C389" t="s">
        <v>101</v>
      </c>
      <c r="D389" t="s">
        <v>47</v>
      </c>
      <c r="E389" t="s">
        <v>67</v>
      </c>
      <c r="F389">
        <v>9</v>
      </c>
      <c r="G389">
        <v>141.71</v>
      </c>
      <c r="H389" t="s">
        <v>28</v>
      </c>
      <c r="I389" t="s">
        <v>764</v>
      </c>
      <c r="J389" t="s">
        <v>58</v>
      </c>
      <c r="K389" t="s">
        <v>59</v>
      </c>
      <c r="L389" t="s">
        <v>22</v>
      </c>
      <c r="M389" t="s">
        <v>84</v>
      </c>
      <c r="N389">
        <f>Sheet1[[#This Row],[Quantity]]*Sheet1[[#This Row],[UnitPrice]]</f>
        <v>1275.3900000000001</v>
      </c>
    </row>
    <row r="390" spans="1:14" x14ac:dyDescent="0.3">
      <c r="A390" s="1">
        <v>45821</v>
      </c>
      <c r="B390" t="s">
        <v>765</v>
      </c>
      <c r="C390" t="s">
        <v>25</v>
      </c>
      <c r="D390" t="s">
        <v>74</v>
      </c>
      <c r="E390" t="s">
        <v>42</v>
      </c>
      <c r="F390">
        <v>8</v>
      </c>
      <c r="G390">
        <v>385.41</v>
      </c>
      <c r="H390" t="s">
        <v>18</v>
      </c>
      <c r="I390" t="s">
        <v>766</v>
      </c>
      <c r="J390" t="s">
        <v>38</v>
      </c>
      <c r="K390" t="s">
        <v>31</v>
      </c>
      <c r="L390" t="s">
        <v>39</v>
      </c>
      <c r="M390" t="s">
        <v>40</v>
      </c>
      <c r="N390">
        <f>Sheet1[[#This Row],[Quantity]]*Sheet1[[#This Row],[UnitPrice]]</f>
        <v>3083.28</v>
      </c>
    </row>
    <row r="391" spans="1:14" x14ac:dyDescent="0.3">
      <c r="A391" s="1">
        <v>45561</v>
      </c>
      <c r="B391" t="s">
        <v>767</v>
      </c>
      <c r="C391" t="s">
        <v>90</v>
      </c>
      <c r="D391" t="s">
        <v>47</v>
      </c>
      <c r="E391" t="s">
        <v>35</v>
      </c>
      <c r="F391">
        <v>2</v>
      </c>
      <c r="G391">
        <v>281.75</v>
      </c>
      <c r="H391" t="s">
        <v>28</v>
      </c>
      <c r="I391" t="s">
        <v>768</v>
      </c>
      <c r="J391" t="s">
        <v>58</v>
      </c>
      <c r="K391" t="s">
        <v>45</v>
      </c>
      <c r="L391" t="s">
        <v>39</v>
      </c>
      <c r="M391" t="s">
        <v>32</v>
      </c>
      <c r="N391">
        <f>Sheet1[[#This Row],[Quantity]]*Sheet1[[#This Row],[UnitPrice]]</f>
        <v>563.5</v>
      </c>
    </row>
    <row r="392" spans="1:14" x14ac:dyDescent="0.3">
      <c r="A392" s="1">
        <v>45271</v>
      </c>
      <c r="B392" t="s">
        <v>769</v>
      </c>
      <c r="C392" t="s">
        <v>63</v>
      </c>
      <c r="D392" t="s">
        <v>16</v>
      </c>
      <c r="E392" t="s">
        <v>27</v>
      </c>
      <c r="F392">
        <v>9</v>
      </c>
      <c r="G392">
        <v>324.72000000000003</v>
      </c>
      <c r="H392" t="s">
        <v>18</v>
      </c>
      <c r="I392" t="s">
        <v>770</v>
      </c>
      <c r="J392" t="s">
        <v>30</v>
      </c>
      <c r="K392" t="s">
        <v>59</v>
      </c>
      <c r="L392" t="s">
        <v>22</v>
      </c>
      <c r="M392" t="s">
        <v>49</v>
      </c>
      <c r="N392">
        <f>Sheet1[[#This Row],[Quantity]]*Sheet1[[#This Row],[UnitPrice]]</f>
        <v>2922.4800000000005</v>
      </c>
    </row>
    <row r="393" spans="1:14" x14ac:dyDescent="0.3">
      <c r="A393" s="1">
        <v>45416</v>
      </c>
      <c r="B393" t="s">
        <v>771</v>
      </c>
      <c r="C393" t="s">
        <v>101</v>
      </c>
      <c r="D393" t="s">
        <v>74</v>
      </c>
      <c r="E393" t="s">
        <v>42</v>
      </c>
      <c r="F393">
        <v>3</v>
      </c>
      <c r="G393">
        <v>297.17</v>
      </c>
      <c r="H393" t="s">
        <v>18</v>
      </c>
      <c r="I393" t="s">
        <v>772</v>
      </c>
      <c r="J393" t="s">
        <v>44</v>
      </c>
      <c r="K393" t="s">
        <v>31</v>
      </c>
      <c r="L393" t="s">
        <v>60</v>
      </c>
      <c r="M393" t="s">
        <v>23</v>
      </c>
      <c r="N393">
        <f>Sheet1[[#This Row],[Quantity]]*Sheet1[[#This Row],[UnitPrice]]</f>
        <v>891.51</v>
      </c>
    </row>
    <row r="394" spans="1:14" x14ac:dyDescent="0.3">
      <c r="A394" s="1">
        <v>45483</v>
      </c>
      <c r="B394" t="s">
        <v>773</v>
      </c>
      <c r="C394" t="s">
        <v>90</v>
      </c>
      <c r="D394" t="s">
        <v>74</v>
      </c>
      <c r="E394" t="s">
        <v>52</v>
      </c>
      <c r="F394">
        <v>9</v>
      </c>
      <c r="G394">
        <v>352.23</v>
      </c>
      <c r="H394" t="s">
        <v>36</v>
      </c>
      <c r="I394" t="s">
        <v>774</v>
      </c>
      <c r="J394" t="s">
        <v>38</v>
      </c>
      <c r="K394" t="s">
        <v>21</v>
      </c>
      <c r="L394" t="s">
        <v>39</v>
      </c>
      <c r="M394" t="s">
        <v>76</v>
      </c>
      <c r="N394">
        <f>Sheet1[[#This Row],[Quantity]]*Sheet1[[#This Row],[UnitPrice]]</f>
        <v>3170.07</v>
      </c>
    </row>
    <row r="395" spans="1:14" x14ac:dyDescent="0.3">
      <c r="A395" s="1">
        <v>44957</v>
      </c>
      <c r="B395" t="s">
        <v>387</v>
      </c>
      <c r="C395" t="s">
        <v>56</v>
      </c>
      <c r="D395" t="s">
        <v>26</v>
      </c>
      <c r="E395" t="s">
        <v>42</v>
      </c>
      <c r="F395">
        <v>6</v>
      </c>
      <c r="G395">
        <v>355.87</v>
      </c>
      <c r="H395" t="s">
        <v>36</v>
      </c>
      <c r="I395" t="s">
        <v>775</v>
      </c>
      <c r="J395" t="s">
        <v>44</v>
      </c>
      <c r="K395" t="s">
        <v>31</v>
      </c>
      <c r="L395" t="s">
        <v>39</v>
      </c>
      <c r="M395" t="s">
        <v>84</v>
      </c>
      <c r="N395">
        <f>Sheet1[[#This Row],[Quantity]]*Sheet1[[#This Row],[UnitPrice]]</f>
        <v>2135.2200000000003</v>
      </c>
    </row>
    <row r="396" spans="1:14" x14ac:dyDescent="0.3">
      <c r="A396" s="1">
        <v>45405</v>
      </c>
      <c r="B396" t="s">
        <v>776</v>
      </c>
      <c r="C396" t="s">
        <v>73</v>
      </c>
      <c r="D396" t="s">
        <v>16</v>
      </c>
      <c r="E396" t="s">
        <v>27</v>
      </c>
      <c r="F396">
        <v>4</v>
      </c>
      <c r="G396">
        <v>328.63</v>
      </c>
      <c r="H396" t="s">
        <v>36</v>
      </c>
      <c r="I396" t="s">
        <v>777</v>
      </c>
      <c r="J396" t="s">
        <v>44</v>
      </c>
      <c r="K396" t="s">
        <v>31</v>
      </c>
      <c r="L396" t="s">
        <v>22</v>
      </c>
      <c r="M396" t="s">
        <v>84</v>
      </c>
      <c r="N396">
        <f>Sheet1[[#This Row],[Quantity]]*Sheet1[[#This Row],[UnitPrice]]</f>
        <v>1314.52</v>
      </c>
    </row>
    <row r="397" spans="1:14" x14ac:dyDescent="0.3">
      <c r="A397" s="1">
        <v>45813</v>
      </c>
      <c r="B397" t="s">
        <v>778</v>
      </c>
      <c r="C397" t="s">
        <v>78</v>
      </c>
      <c r="D397" t="s">
        <v>47</v>
      </c>
      <c r="E397" t="s">
        <v>67</v>
      </c>
      <c r="F397">
        <v>3</v>
      </c>
      <c r="G397">
        <v>339.04</v>
      </c>
      <c r="H397" t="s">
        <v>53</v>
      </c>
      <c r="I397" t="s">
        <v>779</v>
      </c>
      <c r="J397" t="s">
        <v>20</v>
      </c>
      <c r="K397" t="s">
        <v>59</v>
      </c>
      <c r="L397" t="s">
        <v>22</v>
      </c>
      <c r="M397" t="s">
        <v>32</v>
      </c>
      <c r="N397">
        <f>Sheet1[[#This Row],[Quantity]]*Sheet1[[#This Row],[UnitPrice]]</f>
        <v>1017.1200000000001</v>
      </c>
    </row>
    <row r="398" spans="1:14" x14ac:dyDescent="0.3">
      <c r="A398" s="1">
        <v>44958</v>
      </c>
      <c r="B398" t="s">
        <v>265</v>
      </c>
      <c r="C398" t="s">
        <v>101</v>
      </c>
      <c r="D398" t="s">
        <v>26</v>
      </c>
      <c r="E398" t="s">
        <v>67</v>
      </c>
      <c r="F398">
        <v>3</v>
      </c>
      <c r="G398">
        <v>331.33</v>
      </c>
      <c r="H398" t="s">
        <v>68</v>
      </c>
      <c r="I398" t="s">
        <v>780</v>
      </c>
      <c r="J398" t="s">
        <v>44</v>
      </c>
      <c r="K398" t="s">
        <v>45</v>
      </c>
      <c r="L398" t="s">
        <v>60</v>
      </c>
      <c r="M398" t="s">
        <v>76</v>
      </c>
      <c r="N398">
        <f>Sheet1[[#This Row],[Quantity]]*Sheet1[[#This Row],[UnitPrice]]</f>
        <v>993.99</v>
      </c>
    </row>
    <row r="399" spans="1:14" x14ac:dyDescent="0.3">
      <c r="A399" s="1">
        <v>44998</v>
      </c>
      <c r="B399" t="s">
        <v>781</v>
      </c>
      <c r="C399" t="s">
        <v>101</v>
      </c>
      <c r="D399" t="s">
        <v>26</v>
      </c>
      <c r="E399" t="s">
        <v>52</v>
      </c>
      <c r="F399">
        <v>6</v>
      </c>
      <c r="G399">
        <v>176.35</v>
      </c>
      <c r="H399" t="s">
        <v>36</v>
      </c>
      <c r="I399" t="s">
        <v>782</v>
      </c>
      <c r="J399" t="s">
        <v>20</v>
      </c>
      <c r="K399" t="s">
        <v>21</v>
      </c>
      <c r="L399" t="s">
        <v>39</v>
      </c>
      <c r="M399" t="s">
        <v>49</v>
      </c>
      <c r="N399">
        <f>Sheet1[[#This Row],[Quantity]]*Sheet1[[#This Row],[UnitPrice]]</f>
        <v>1058.0999999999999</v>
      </c>
    </row>
    <row r="400" spans="1:14" x14ac:dyDescent="0.3">
      <c r="A400" s="1">
        <v>45263</v>
      </c>
      <c r="B400" t="s">
        <v>279</v>
      </c>
      <c r="C400" t="s">
        <v>90</v>
      </c>
      <c r="D400" t="s">
        <v>47</v>
      </c>
      <c r="E400" t="s">
        <v>35</v>
      </c>
      <c r="F400">
        <v>8</v>
      </c>
      <c r="G400">
        <v>40.49</v>
      </c>
      <c r="H400" t="s">
        <v>53</v>
      </c>
      <c r="I400" t="s">
        <v>783</v>
      </c>
      <c r="J400" t="s">
        <v>58</v>
      </c>
      <c r="K400" t="s">
        <v>31</v>
      </c>
      <c r="L400" t="s">
        <v>39</v>
      </c>
      <c r="M400" t="s">
        <v>61</v>
      </c>
      <c r="N400">
        <f>Sheet1[[#This Row],[Quantity]]*Sheet1[[#This Row],[UnitPrice]]</f>
        <v>323.92</v>
      </c>
    </row>
    <row r="401" spans="1:14" x14ac:dyDescent="0.3">
      <c r="A401" s="1">
        <v>45820</v>
      </c>
      <c r="B401" t="s">
        <v>160</v>
      </c>
      <c r="C401" t="s">
        <v>90</v>
      </c>
      <c r="D401" t="s">
        <v>26</v>
      </c>
      <c r="E401" t="s">
        <v>67</v>
      </c>
      <c r="F401">
        <v>6</v>
      </c>
      <c r="G401">
        <v>206.01</v>
      </c>
      <c r="H401" t="s">
        <v>18</v>
      </c>
      <c r="I401" t="s">
        <v>784</v>
      </c>
      <c r="J401" t="s">
        <v>30</v>
      </c>
      <c r="K401" t="s">
        <v>45</v>
      </c>
      <c r="L401" t="s">
        <v>22</v>
      </c>
      <c r="M401" t="s">
        <v>32</v>
      </c>
      <c r="N401">
        <f>Sheet1[[#This Row],[Quantity]]*Sheet1[[#This Row],[UnitPrice]]</f>
        <v>1236.06</v>
      </c>
    </row>
    <row r="402" spans="1:14" x14ac:dyDescent="0.3">
      <c r="A402" s="1">
        <v>45269</v>
      </c>
      <c r="B402" t="s">
        <v>785</v>
      </c>
      <c r="C402" t="s">
        <v>63</v>
      </c>
      <c r="D402" t="s">
        <v>26</v>
      </c>
      <c r="E402" t="s">
        <v>67</v>
      </c>
      <c r="F402">
        <v>2</v>
      </c>
      <c r="G402">
        <v>297.08</v>
      </c>
      <c r="H402" t="s">
        <v>28</v>
      </c>
      <c r="I402" t="s">
        <v>786</v>
      </c>
      <c r="J402" t="s">
        <v>38</v>
      </c>
      <c r="K402" t="s">
        <v>45</v>
      </c>
      <c r="L402" t="s">
        <v>60</v>
      </c>
      <c r="M402" t="s">
        <v>23</v>
      </c>
      <c r="N402">
        <f>Sheet1[[#This Row],[Quantity]]*Sheet1[[#This Row],[UnitPrice]]</f>
        <v>594.16</v>
      </c>
    </row>
    <row r="403" spans="1:14" x14ac:dyDescent="0.3">
      <c r="A403" s="1">
        <v>45158</v>
      </c>
      <c r="B403" t="s">
        <v>787</v>
      </c>
      <c r="C403" t="s">
        <v>63</v>
      </c>
      <c r="D403" t="s">
        <v>47</v>
      </c>
      <c r="E403" t="s">
        <v>52</v>
      </c>
      <c r="F403">
        <v>10</v>
      </c>
      <c r="G403">
        <v>323.91000000000003</v>
      </c>
      <c r="H403" t="s">
        <v>36</v>
      </c>
      <c r="I403" t="s">
        <v>788</v>
      </c>
      <c r="J403" t="s">
        <v>30</v>
      </c>
      <c r="K403" t="s">
        <v>59</v>
      </c>
      <c r="L403" t="s">
        <v>22</v>
      </c>
      <c r="M403" t="s">
        <v>61</v>
      </c>
      <c r="N403">
        <f>Sheet1[[#This Row],[Quantity]]*Sheet1[[#This Row],[UnitPrice]]</f>
        <v>3239.1000000000004</v>
      </c>
    </row>
    <row r="404" spans="1:14" x14ac:dyDescent="0.3">
      <c r="A404" s="1">
        <v>45084</v>
      </c>
      <c r="B404" t="s">
        <v>507</v>
      </c>
      <c r="C404" t="s">
        <v>15</v>
      </c>
      <c r="D404" t="s">
        <v>16</v>
      </c>
      <c r="E404" t="s">
        <v>64</v>
      </c>
      <c r="F404">
        <v>3</v>
      </c>
      <c r="G404">
        <v>116.67</v>
      </c>
      <c r="H404" t="s">
        <v>18</v>
      </c>
      <c r="I404" t="s">
        <v>789</v>
      </c>
      <c r="J404" t="s">
        <v>20</v>
      </c>
      <c r="K404" t="s">
        <v>45</v>
      </c>
      <c r="L404" t="s">
        <v>39</v>
      </c>
      <c r="M404" t="s">
        <v>76</v>
      </c>
      <c r="N404">
        <f>Sheet1[[#This Row],[Quantity]]*Sheet1[[#This Row],[UnitPrice]]</f>
        <v>350.01</v>
      </c>
    </row>
    <row r="405" spans="1:14" x14ac:dyDescent="0.3">
      <c r="A405" s="1">
        <v>45219</v>
      </c>
      <c r="B405" t="s">
        <v>790</v>
      </c>
      <c r="C405" t="s">
        <v>63</v>
      </c>
      <c r="D405" t="s">
        <v>26</v>
      </c>
      <c r="E405" t="s">
        <v>17</v>
      </c>
      <c r="F405">
        <v>5</v>
      </c>
      <c r="G405">
        <v>161.87</v>
      </c>
      <c r="H405" t="s">
        <v>28</v>
      </c>
      <c r="I405" t="s">
        <v>791</v>
      </c>
      <c r="J405" t="s">
        <v>20</v>
      </c>
      <c r="K405" t="s">
        <v>21</v>
      </c>
      <c r="L405" t="s">
        <v>39</v>
      </c>
      <c r="M405" t="s">
        <v>40</v>
      </c>
      <c r="N405">
        <f>Sheet1[[#This Row],[Quantity]]*Sheet1[[#This Row],[UnitPrice]]</f>
        <v>809.35</v>
      </c>
    </row>
    <row r="406" spans="1:14" x14ac:dyDescent="0.3">
      <c r="A406" s="1">
        <v>45657</v>
      </c>
      <c r="B406" t="s">
        <v>436</v>
      </c>
      <c r="C406" t="s">
        <v>51</v>
      </c>
      <c r="D406" t="s">
        <v>47</v>
      </c>
      <c r="E406" t="s">
        <v>27</v>
      </c>
      <c r="F406">
        <v>4</v>
      </c>
      <c r="G406">
        <v>163.44999999999999</v>
      </c>
      <c r="H406" t="s">
        <v>53</v>
      </c>
      <c r="I406" t="s">
        <v>792</v>
      </c>
      <c r="J406" t="s">
        <v>58</v>
      </c>
      <c r="K406" t="s">
        <v>45</v>
      </c>
      <c r="L406" t="s">
        <v>39</v>
      </c>
      <c r="M406" t="s">
        <v>84</v>
      </c>
      <c r="N406">
        <f>Sheet1[[#This Row],[Quantity]]*Sheet1[[#This Row],[UnitPrice]]</f>
        <v>653.79999999999995</v>
      </c>
    </row>
    <row r="407" spans="1:14" x14ac:dyDescent="0.3">
      <c r="A407" s="1">
        <v>45137</v>
      </c>
      <c r="B407" t="s">
        <v>115</v>
      </c>
      <c r="C407" t="s">
        <v>78</v>
      </c>
      <c r="D407" t="s">
        <v>16</v>
      </c>
      <c r="E407" t="s">
        <v>35</v>
      </c>
      <c r="F407">
        <v>7</v>
      </c>
      <c r="G407">
        <v>77.63</v>
      </c>
      <c r="H407" t="s">
        <v>28</v>
      </c>
      <c r="I407" t="s">
        <v>793</v>
      </c>
      <c r="J407" t="s">
        <v>20</v>
      </c>
      <c r="K407" t="s">
        <v>45</v>
      </c>
      <c r="L407" t="s">
        <v>39</v>
      </c>
      <c r="M407" t="s">
        <v>61</v>
      </c>
      <c r="N407">
        <f>Sheet1[[#This Row],[Quantity]]*Sheet1[[#This Row],[UnitPrice]]</f>
        <v>543.41</v>
      </c>
    </row>
    <row r="408" spans="1:14" x14ac:dyDescent="0.3">
      <c r="A408" s="1">
        <v>45340</v>
      </c>
      <c r="B408" t="s">
        <v>794</v>
      </c>
      <c r="C408" t="s">
        <v>51</v>
      </c>
      <c r="D408" t="s">
        <v>26</v>
      </c>
      <c r="E408" t="s">
        <v>64</v>
      </c>
      <c r="F408">
        <v>6</v>
      </c>
      <c r="G408">
        <v>310.32</v>
      </c>
      <c r="H408" t="s">
        <v>28</v>
      </c>
      <c r="I408" t="s">
        <v>795</v>
      </c>
      <c r="J408" t="s">
        <v>38</v>
      </c>
      <c r="K408" t="s">
        <v>21</v>
      </c>
      <c r="L408" t="s">
        <v>22</v>
      </c>
      <c r="M408" t="s">
        <v>61</v>
      </c>
      <c r="N408">
        <f>Sheet1[[#This Row],[Quantity]]*Sheet1[[#This Row],[UnitPrice]]</f>
        <v>1861.92</v>
      </c>
    </row>
    <row r="409" spans="1:14" x14ac:dyDescent="0.3">
      <c r="A409" s="1">
        <v>45086</v>
      </c>
      <c r="B409" t="s">
        <v>796</v>
      </c>
      <c r="C409" t="s">
        <v>51</v>
      </c>
      <c r="D409" t="s">
        <v>74</v>
      </c>
      <c r="E409" t="s">
        <v>64</v>
      </c>
      <c r="F409">
        <v>6</v>
      </c>
      <c r="G409">
        <v>297</v>
      </c>
      <c r="H409" t="s">
        <v>53</v>
      </c>
      <c r="I409" t="s">
        <v>797</v>
      </c>
      <c r="J409" t="s">
        <v>20</v>
      </c>
      <c r="K409" t="s">
        <v>31</v>
      </c>
      <c r="L409" t="s">
        <v>22</v>
      </c>
      <c r="M409" t="s">
        <v>40</v>
      </c>
      <c r="N409">
        <f>Sheet1[[#This Row],[Quantity]]*Sheet1[[#This Row],[UnitPrice]]</f>
        <v>1782</v>
      </c>
    </row>
    <row r="410" spans="1:14" x14ac:dyDescent="0.3">
      <c r="A410" s="1">
        <v>45021</v>
      </c>
      <c r="B410" t="s">
        <v>333</v>
      </c>
      <c r="C410" t="s">
        <v>25</v>
      </c>
      <c r="D410" t="s">
        <v>74</v>
      </c>
      <c r="E410" t="s">
        <v>64</v>
      </c>
      <c r="F410">
        <v>3</v>
      </c>
      <c r="G410">
        <v>297.72000000000003</v>
      </c>
      <c r="H410" t="s">
        <v>18</v>
      </c>
      <c r="I410" t="s">
        <v>798</v>
      </c>
      <c r="J410" t="s">
        <v>38</v>
      </c>
      <c r="K410" t="s">
        <v>59</v>
      </c>
      <c r="L410" t="s">
        <v>39</v>
      </c>
      <c r="M410" t="s">
        <v>76</v>
      </c>
      <c r="N410">
        <f>Sheet1[[#This Row],[Quantity]]*Sheet1[[#This Row],[UnitPrice]]</f>
        <v>893.16000000000008</v>
      </c>
    </row>
    <row r="411" spans="1:14" x14ac:dyDescent="0.3">
      <c r="A411" s="1">
        <v>45038</v>
      </c>
      <c r="B411" t="s">
        <v>799</v>
      </c>
      <c r="C411" t="s">
        <v>90</v>
      </c>
      <c r="D411" t="s">
        <v>74</v>
      </c>
      <c r="E411" t="s">
        <v>67</v>
      </c>
      <c r="F411">
        <v>5</v>
      </c>
      <c r="G411">
        <v>375.22</v>
      </c>
      <c r="H411" t="s">
        <v>18</v>
      </c>
      <c r="I411" t="s">
        <v>800</v>
      </c>
      <c r="J411" t="s">
        <v>58</v>
      </c>
      <c r="K411" t="s">
        <v>21</v>
      </c>
      <c r="L411" t="s">
        <v>60</v>
      </c>
      <c r="M411" t="s">
        <v>23</v>
      </c>
      <c r="N411">
        <f>Sheet1[[#This Row],[Quantity]]*Sheet1[[#This Row],[UnitPrice]]</f>
        <v>1876.1000000000001</v>
      </c>
    </row>
    <row r="412" spans="1:14" x14ac:dyDescent="0.3">
      <c r="A412" s="1">
        <v>45244</v>
      </c>
      <c r="B412" t="s">
        <v>373</v>
      </c>
      <c r="C412" t="s">
        <v>56</v>
      </c>
      <c r="D412" t="s">
        <v>74</v>
      </c>
      <c r="E412" t="s">
        <v>27</v>
      </c>
      <c r="F412">
        <v>3</v>
      </c>
      <c r="G412">
        <v>294.73</v>
      </c>
      <c r="H412" t="s">
        <v>53</v>
      </c>
      <c r="I412" t="s">
        <v>801</v>
      </c>
      <c r="J412" t="s">
        <v>20</v>
      </c>
      <c r="K412" t="s">
        <v>31</v>
      </c>
      <c r="L412" t="s">
        <v>39</v>
      </c>
      <c r="M412" t="s">
        <v>84</v>
      </c>
      <c r="N412">
        <f>Sheet1[[#This Row],[Quantity]]*Sheet1[[#This Row],[UnitPrice]]</f>
        <v>884.19</v>
      </c>
    </row>
    <row r="413" spans="1:14" x14ac:dyDescent="0.3">
      <c r="A413" s="1">
        <v>45565</v>
      </c>
      <c r="B413" t="s">
        <v>802</v>
      </c>
      <c r="C413" t="s">
        <v>25</v>
      </c>
      <c r="D413" t="s">
        <v>26</v>
      </c>
      <c r="E413" t="s">
        <v>52</v>
      </c>
      <c r="F413">
        <v>9</v>
      </c>
      <c r="G413">
        <v>20.98</v>
      </c>
      <c r="H413" t="s">
        <v>53</v>
      </c>
      <c r="I413" t="s">
        <v>803</v>
      </c>
      <c r="J413" t="s">
        <v>30</v>
      </c>
      <c r="K413" t="s">
        <v>21</v>
      </c>
      <c r="L413" t="s">
        <v>22</v>
      </c>
      <c r="M413" t="s">
        <v>49</v>
      </c>
      <c r="N413">
        <f>Sheet1[[#This Row],[Quantity]]*Sheet1[[#This Row],[UnitPrice]]</f>
        <v>188.82</v>
      </c>
    </row>
    <row r="414" spans="1:14" x14ac:dyDescent="0.3">
      <c r="A414" s="1">
        <v>45621</v>
      </c>
      <c r="B414" t="s">
        <v>804</v>
      </c>
      <c r="C414" t="s">
        <v>73</v>
      </c>
      <c r="D414" t="s">
        <v>47</v>
      </c>
      <c r="E414" t="s">
        <v>67</v>
      </c>
      <c r="F414">
        <v>2</v>
      </c>
      <c r="G414">
        <v>316.64999999999998</v>
      </c>
      <c r="H414" t="s">
        <v>28</v>
      </c>
      <c r="I414" t="s">
        <v>805</v>
      </c>
      <c r="J414" t="s">
        <v>58</v>
      </c>
      <c r="K414" t="s">
        <v>21</v>
      </c>
      <c r="L414" t="s">
        <v>22</v>
      </c>
      <c r="M414" t="s">
        <v>49</v>
      </c>
      <c r="N414">
        <f>Sheet1[[#This Row],[Quantity]]*Sheet1[[#This Row],[UnitPrice]]</f>
        <v>633.29999999999995</v>
      </c>
    </row>
    <row r="415" spans="1:14" x14ac:dyDescent="0.3">
      <c r="A415" s="1">
        <v>45295</v>
      </c>
      <c r="B415" t="s">
        <v>710</v>
      </c>
      <c r="C415" t="s">
        <v>34</v>
      </c>
      <c r="D415" t="s">
        <v>16</v>
      </c>
      <c r="E415" t="s">
        <v>64</v>
      </c>
      <c r="F415">
        <v>2</v>
      </c>
      <c r="G415">
        <v>391.28</v>
      </c>
      <c r="H415" t="s">
        <v>28</v>
      </c>
      <c r="I415" t="s">
        <v>806</v>
      </c>
      <c r="J415" t="s">
        <v>38</v>
      </c>
      <c r="K415" t="s">
        <v>31</v>
      </c>
      <c r="L415" t="s">
        <v>60</v>
      </c>
      <c r="M415" t="s">
        <v>32</v>
      </c>
      <c r="N415">
        <f>Sheet1[[#This Row],[Quantity]]*Sheet1[[#This Row],[UnitPrice]]</f>
        <v>782.56</v>
      </c>
    </row>
    <row r="416" spans="1:14" x14ac:dyDescent="0.3">
      <c r="A416" s="1">
        <v>45082</v>
      </c>
      <c r="B416" t="s">
        <v>807</v>
      </c>
      <c r="C416" t="s">
        <v>51</v>
      </c>
      <c r="D416" t="s">
        <v>16</v>
      </c>
      <c r="E416" t="s">
        <v>67</v>
      </c>
      <c r="F416">
        <v>3</v>
      </c>
      <c r="G416">
        <v>150.87</v>
      </c>
      <c r="H416" t="s">
        <v>18</v>
      </c>
      <c r="I416" t="s">
        <v>808</v>
      </c>
      <c r="J416" t="s">
        <v>30</v>
      </c>
      <c r="K416" t="s">
        <v>59</v>
      </c>
      <c r="L416" t="s">
        <v>22</v>
      </c>
      <c r="M416" t="s">
        <v>49</v>
      </c>
      <c r="N416">
        <f>Sheet1[[#This Row],[Quantity]]*Sheet1[[#This Row],[UnitPrice]]</f>
        <v>452.61</v>
      </c>
    </row>
    <row r="417" spans="1:14" x14ac:dyDescent="0.3">
      <c r="A417" s="1">
        <v>45047</v>
      </c>
      <c r="B417" t="s">
        <v>809</v>
      </c>
      <c r="C417" t="s">
        <v>90</v>
      </c>
      <c r="D417" t="s">
        <v>16</v>
      </c>
      <c r="E417" t="s">
        <v>64</v>
      </c>
      <c r="F417">
        <v>4</v>
      </c>
      <c r="G417">
        <v>62.96</v>
      </c>
      <c r="H417" t="s">
        <v>53</v>
      </c>
      <c r="I417" t="s">
        <v>810</v>
      </c>
      <c r="J417" t="s">
        <v>44</v>
      </c>
      <c r="K417" t="s">
        <v>45</v>
      </c>
      <c r="L417" t="s">
        <v>60</v>
      </c>
      <c r="M417" t="s">
        <v>49</v>
      </c>
      <c r="N417">
        <f>Sheet1[[#This Row],[Quantity]]*Sheet1[[#This Row],[UnitPrice]]</f>
        <v>251.84</v>
      </c>
    </row>
    <row r="418" spans="1:14" x14ac:dyDescent="0.3">
      <c r="A418" s="1">
        <v>45367</v>
      </c>
      <c r="B418" t="s">
        <v>811</v>
      </c>
      <c r="C418" t="s">
        <v>34</v>
      </c>
      <c r="D418" t="s">
        <v>26</v>
      </c>
      <c r="E418" t="s">
        <v>64</v>
      </c>
      <c r="F418">
        <v>10</v>
      </c>
      <c r="G418">
        <v>312.14</v>
      </c>
      <c r="H418" t="s">
        <v>28</v>
      </c>
      <c r="I418" t="s">
        <v>812</v>
      </c>
      <c r="J418" t="s">
        <v>38</v>
      </c>
      <c r="K418" t="s">
        <v>21</v>
      </c>
      <c r="L418" t="s">
        <v>22</v>
      </c>
      <c r="M418" t="s">
        <v>23</v>
      </c>
      <c r="N418">
        <f>Sheet1[[#This Row],[Quantity]]*Sheet1[[#This Row],[UnitPrice]]</f>
        <v>3121.3999999999996</v>
      </c>
    </row>
    <row r="419" spans="1:14" x14ac:dyDescent="0.3">
      <c r="A419" s="1">
        <v>45616</v>
      </c>
      <c r="B419" t="s">
        <v>813</v>
      </c>
      <c r="C419" t="s">
        <v>25</v>
      </c>
      <c r="D419" t="s">
        <v>74</v>
      </c>
      <c r="E419" t="s">
        <v>35</v>
      </c>
      <c r="F419">
        <v>5</v>
      </c>
      <c r="G419">
        <v>241.05</v>
      </c>
      <c r="H419" t="s">
        <v>53</v>
      </c>
      <c r="I419" t="s">
        <v>814</v>
      </c>
      <c r="J419" t="s">
        <v>58</v>
      </c>
      <c r="K419" t="s">
        <v>31</v>
      </c>
      <c r="L419" t="s">
        <v>22</v>
      </c>
      <c r="M419" t="s">
        <v>76</v>
      </c>
      <c r="N419">
        <f>Sheet1[[#This Row],[Quantity]]*Sheet1[[#This Row],[UnitPrice]]</f>
        <v>1205.25</v>
      </c>
    </row>
    <row r="420" spans="1:14" x14ac:dyDescent="0.3">
      <c r="A420" s="1">
        <v>45004</v>
      </c>
      <c r="B420" t="s">
        <v>815</v>
      </c>
      <c r="C420" t="s">
        <v>101</v>
      </c>
      <c r="D420" t="s">
        <v>74</v>
      </c>
      <c r="E420" t="s">
        <v>64</v>
      </c>
      <c r="F420">
        <v>6</v>
      </c>
      <c r="G420">
        <v>222.47</v>
      </c>
      <c r="H420" t="s">
        <v>68</v>
      </c>
      <c r="I420" t="s">
        <v>816</v>
      </c>
      <c r="J420" t="s">
        <v>44</v>
      </c>
      <c r="K420" t="s">
        <v>59</v>
      </c>
      <c r="L420" t="s">
        <v>22</v>
      </c>
      <c r="M420" t="s">
        <v>61</v>
      </c>
      <c r="N420">
        <f>Sheet1[[#This Row],[Quantity]]*Sheet1[[#This Row],[UnitPrice]]</f>
        <v>1334.82</v>
      </c>
    </row>
    <row r="421" spans="1:14" x14ac:dyDescent="0.3">
      <c r="A421" s="1">
        <v>45003</v>
      </c>
      <c r="B421" t="s">
        <v>373</v>
      </c>
      <c r="C421" t="s">
        <v>78</v>
      </c>
      <c r="D421" t="s">
        <v>74</v>
      </c>
      <c r="E421" t="s">
        <v>67</v>
      </c>
      <c r="F421">
        <v>7</v>
      </c>
      <c r="G421">
        <v>267.88</v>
      </c>
      <c r="H421" t="s">
        <v>28</v>
      </c>
      <c r="I421" t="s">
        <v>817</v>
      </c>
      <c r="J421" t="s">
        <v>20</v>
      </c>
      <c r="K421" t="s">
        <v>21</v>
      </c>
      <c r="L421" t="s">
        <v>39</v>
      </c>
      <c r="M421" t="s">
        <v>23</v>
      </c>
      <c r="N421">
        <f>Sheet1[[#This Row],[Quantity]]*Sheet1[[#This Row],[UnitPrice]]</f>
        <v>1875.1599999999999</v>
      </c>
    </row>
    <row r="422" spans="1:14" x14ac:dyDescent="0.3">
      <c r="A422" s="1">
        <v>45455</v>
      </c>
      <c r="B422" t="s">
        <v>818</v>
      </c>
      <c r="C422" t="s">
        <v>78</v>
      </c>
      <c r="D422" t="s">
        <v>47</v>
      </c>
      <c r="E422" t="s">
        <v>52</v>
      </c>
      <c r="F422">
        <v>1</v>
      </c>
      <c r="G422">
        <v>128.69</v>
      </c>
      <c r="H422" t="s">
        <v>36</v>
      </c>
      <c r="I422" t="s">
        <v>819</v>
      </c>
      <c r="J422" t="s">
        <v>58</v>
      </c>
      <c r="K422" t="s">
        <v>45</v>
      </c>
      <c r="L422" t="s">
        <v>60</v>
      </c>
      <c r="M422" t="s">
        <v>76</v>
      </c>
      <c r="N422">
        <f>Sheet1[[#This Row],[Quantity]]*Sheet1[[#This Row],[UnitPrice]]</f>
        <v>128.69</v>
      </c>
    </row>
    <row r="423" spans="1:14" x14ac:dyDescent="0.3">
      <c r="A423" s="1">
        <v>45391</v>
      </c>
      <c r="B423" t="s">
        <v>820</v>
      </c>
      <c r="C423" t="s">
        <v>56</v>
      </c>
      <c r="D423" t="s">
        <v>16</v>
      </c>
      <c r="E423" t="s">
        <v>64</v>
      </c>
      <c r="F423">
        <v>10</v>
      </c>
      <c r="G423">
        <v>129.76</v>
      </c>
      <c r="H423" t="s">
        <v>53</v>
      </c>
      <c r="I423" t="s">
        <v>821</v>
      </c>
      <c r="J423" t="s">
        <v>38</v>
      </c>
      <c r="K423" t="s">
        <v>21</v>
      </c>
      <c r="L423" t="s">
        <v>22</v>
      </c>
      <c r="M423" t="s">
        <v>84</v>
      </c>
      <c r="N423">
        <f>Sheet1[[#This Row],[Quantity]]*Sheet1[[#This Row],[UnitPrice]]</f>
        <v>1297.5999999999999</v>
      </c>
    </row>
    <row r="424" spans="1:14" x14ac:dyDescent="0.3">
      <c r="A424" s="1">
        <v>45562</v>
      </c>
      <c r="B424" t="s">
        <v>822</v>
      </c>
      <c r="C424" t="s">
        <v>63</v>
      </c>
      <c r="D424" t="s">
        <v>47</v>
      </c>
      <c r="E424" t="s">
        <v>27</v>
      </c>
      <c r="F424">
        <v>8</v>
      </c>
      <c r="G424">
        <v>64.25</v>
      </c>
      <c r="H424" t="s">
        <v>68</v>
      </c>
      <c r="I424" t="s">
        <v>823</v>
      </c>
      <c r="J424" t="s">
        <v>38</v>
      </c>
      <c r="K424" t="s">
        <v>31</v>
      </c>
      <c r="L424" t="s">
        <v>22</v>
      </c>
      <c r="M424" t="s">
        <v>40</v>
      </c>
      <c r="N424">
        <f>Sheet1[[#This Row],[Quantity]]*Sheet1[[#This Row],[UnitPrice]]</f>
        <v>514</v>
      </c>
    </row>
    <row r="425" spans="1:14" x14ac:dyDescent="0.3">
      <c r="A425" s="1">
        <v>45665</v>
      </c>
      <c r="B425" t="s">
        <v>824</v>
      </c>
      <c r="C425" t="s">
        <v>90</v>
      </c>
      <c r="D425" t="s">
        <v>16</v>
      </c>
      <c r="E425" t="s">
        <v>64</v>
      </c>
      <c r="F425">
        <v>1</v>
      </c>
      <c r="G425">
        <v>208.28</v>
      </c>
      <c r="H425" t="s">
        <v>53</v>
      </c>
      <c r="I425" t="s">
        <v>825</v>
      </c>
      <c r="J425" t="s">
        <v>20</v>
      </c>
      <c r="K425" t="s">
        <v>45</v>
      </c>
      <c r="L425" t="s">
        <v>60</v>
      </c>
      <c r="M425" t="s">
        <v>76</v>
      </c>
      <c r="N425">
        <f>Sheet1[[#This Row],[Quantity]]*Sheet1[[#This Row],[UnitPrice]]</f>
        <v>208.28</v>
      </c>
    </row>
    <row r="426" spans="1:14" x14ac:dyDescent="0.3">
      <c r="A426" s="1">
        <v>45639</v>
      </c>
      <c r="B426" t="s">
        <v>220</v>
      </c>
      <c r="C426" t="s">
        <v>73</v>
      </c>
      <c r="D426" t="s">
        <v>47</v>
      </c>
      <c r="E426" t="s">
        <v>35</v>
      </c>
      <c r="F426">
        <v>5</v>
      </c>
      <c r="G426">
        <v>162.18</v>
      </c>
      <c r="H426" t="s">
        <v>36</v>
      </c>
      <c r="I426" t="s">
        <v>826</v>
      </c>
      <c r="J426" t="s">
        <v>20</v>
      </c>
      <c r="K426" t="s">
        <v>45</v>
      </c>
      <c r="L426" t="s">
        <v>22</v>
      </c>
      <c r="M426" t="s">
        <v>40</v>
      </c>
      <c r="N426">
        <f>Sheet1[[#This Row],[Quantity]]*Sheet1[[#This Row],[UnitPrice]]</f>
        <v>810.90000000000009</v>
      </c>
    </row>
    <row r="427" spans="1:14" x14ac:dyDescent="0.3">
      <c r="A427" s="1">
        <v>45362</v>
      </c>
      <c r="B427" t="s">
        <v>827</v>
      </c>
      <c r="C427" t="s">
        <v>101</v>
      </c>
      <c r="D427" t="s">
        <v>47</v>
      </c>
      <c r="E427" t="s">
        <v>67</v>
      </c>
      <c r="F427">
        <v>10</v>
      </c>
      <c r="G427">
        <v>98.09</v>
      </c>
      <c r="H427" t="s">
        <v>36</v>
      </c>
      <c r="I427" t="s">
        <v>828</v>
      </c>
      <c r="J427" t="s">
        <v>44</v>
      </c>
      <c r="K427" t="s">
        <v>21</v>
      </c>
      <c r="L427" t="s">
        <v>60</v>
      </c>
      <c r="M427" t="s">
        <v>49</v>
      </c>
      <c r="N427">
        <f>Sheet1[[#This Row],[Quantity]]*Sheet1[[#This Row],[UnitPrice]]</f>
        <v>980.90000000000009</v>
      </c>
    </row>
    <row r="428" spans="1:14" x14ac:dyDescent="0.3">
      <c r="A428" s="1">
        <v>45347</v>
      </c>
      <c r="B428" t="s">
        <v>829</v>
      </c>
      <c r="C428" t="s">
        <v>15</v>
      </c>
      <c r="D428" t="s">
        <v>47</v>
      </c>
      <c r="E428" t="s">
        <v>35</v>
      </c>
      <c r="F428">
        <v>4</v>
      </c>
      <c r="G428">
        <v>181.04</v>
      </c>
      <c r="H428" t="s">
        <v>36</v>
      </c>
      <c r="I428" t="s">
        <v>830</v>
      </c>
      <c r="J428" t="s">
        <v>38</v>
      </c>
      <c r="K428" t="s">
        <v>59</v>
      </c>
      <c r="L428" t="s">
        <v>39</v>
      </c>
      <c r="M428" t="s">
        <v>61</v>
      </c>
      <c r="N428">
        <f>Sheet1[[#This Row],[Quantity]]*Sheet1[[#This Row],[UnitPrice]]</f>
        <v>724.16</v>
      </c>
    </row>
    <row r="429" spans="1:14" x14ac:dyDescent="0.3">
      <c r="A429" s="1">
        <v>45288</v>
      </c>
      <c r="B429" t="s">
        <v>675</v>
      </c>
      <c r="C429" t="s">
        <v>25</v>
      </c>
      <c r="D429" t="s">
        <v>16</v>
      </c>
      <c r="E429" t="s">
        <v>52</v>
      </c>
      <c r="F429">
        <v>1</v>
      </c>
      <c r="G429">
        <v>202.72</v>
      </c>
      <c r="H429" t="s">
        <v>18</v>
      </c>
      <c r="I429" t="s">
        <v>831</v>
      </c>
      <c r="J429" t="s">
        <v>38</v>
      </c>
      <c r="K429" t="s">
        <v>59</v>
      </c>
      <c r="L429" t="s">
        <v>39</v>
      </c>
      <c r="M429" t="s">
        <v>32</v>
      </c>
      <c r="N429">
        <f>Sheet1[[#This Row],[Quantity]]*Sheet1[[#This Row],[UnitPrice]]</f>
        <v>202.72</v>
      </c>
    </row>
    <row r="430" spans="1:14" x14ac:dyDescent="0.3">
      <c r="A430" s="1">
        <v>44955</v>
      </c>
      <c r="B430" t="s">
        <v>570</v>
      </c>
      <c r="C430" t="s">
        <v>56</v>
      </c>
      <c r="D430" t="s">
        <v>74</v>
      </c>
      <c r="E430" t="s">
        <v>42</v>
      </c>
      <c r="F430">
        <v>1</v>
      </c>
      <c r="G430">
        <v>169.14</v>
      </c>
      <c r="H430" t="s">
        <v>36</v>
      </c>
      <c r="I430" t="s">
        <v>832</v>
      </c>
      <c r="J430" t="s">
        <v>20</v>
      </c>
      <c r="K430" t="s">
        <v>21</v>
      </c>
      <c r="L430" t="s">
        <v>39</v>
      </c>
      <c r="M430" t="s">
        <v>61</v>
      </c>
      <c r="N430">
        <f>Sheet1[[#This Row],[Quantity]]*Sheet1[[#This Row],[UnitPrice]]</f>
        <v>169.14</v>
      </c>
    </row>
    <row r="431" spans="1:14" x14ac:dyDescent="0.3">
      <c r="A431" s="1">
        <v>45797</v>
      </c>
      <c r="B431" t="s">
        <v>833</v>
      </c>
      <c r="C431" t="s">
        <v>63</v>
      </c>
      <c r="D431" t="s">
        <v>47</v>
      </c>
      <c r="E431" t="s">
        <v>27</v>
      </c>
      <c r="F431">
        <v>10</v>
      </c>
      <c r="G431">
        <v>204</v>
      </c>
      <c r="H431" t="s">
        <v>36</v>
      </c>
      <c r="I431" t="s">
        <v>834</v>
      </c>
      <c r="J431" t="s">
        <v>58</v>
      </c>
      <c r="K431" t="s">
        <v>21</v>
      </c>
      <c r="L431" t="s">
        <v>22</v>
      </c>
      <c r="M431" t="s">
        <v>84</v>
      </c>
      <c r="N431">
        <f>Sheet1[[#This Row],[Quantity]]*Sheet1[[#This Row],[UnitPrice]]</f>
        <v>2040</v>
      </c>
    </row>
    <row r="432" spans="1:14" x14ac:dyDescent="0.3">
      <c r="A432" s="1">
        <v>45055</v>
      </c>
      <c r="B432" t="s">
        <v>660</v>
      </c>
      <c r="C432" t="s">
        <v>25</v>
      </c>
      <c r="D432" t="s">
        <v>16</v>
      </c>
      <c r="E432" t="s">
        <v>67</v>
      </c>
      <c r="F432">
        <v>6</v>
      </c>
      <c r="G432">
        <v>96.24</v>
      </c>
      <c r="H432" t="s">
        <v>53</v>
      </c>
      <c r="I432" t="s">
        <v>835</v>
      </c>
      <c r="J432" t="s">
        <v>58</v>
      </c>
      <c r="K432" t="s">
        <v>59</v>
      </c>
      <c r="L432" t="s">
        <v>39</v>
      </c>
      <c r="M432" t="s">
        <v>84</v>
      </c>
      <c r="N432">
        <f>Sheet1[[#This Row],[Quantity]]*Sheet1[[#This Row],[UnitPrice]]</f>
        <v>577.43999999999994</v>
      </c>
    </row>
    <row r="433" spans="1:14" x14ac:dyDescent="0.3">
      <c r="A433" s="1">
        <v>45260</v>
      </c>
      <c r="B433" t="s">
        <v>790</v>
      </c>
      <c r="C433" t="s">
        <v>15</v>
      </c>
      <c r="D433" t="s">
        <v>26</v>
      </c>
      <c r="E433" t="s">
        <v>42</v>
      </c>
      <c r="F433">
        <v>5</v>
      </c>
      <c r="G433">
        <v>202.76</v>
      </c>
      <c r="H433" t="s">
        <v>53</v>
      </c>
      <c r="I433" t="s">
        <v>836</v>
      </c>
      <c r="J433" t="s">
        <v>20</v>
      </c>
      <c r="K433" t="s">
        <v>21</v>
      </c>
      <c r="L433" t="s">
        <v>39</v>
      </c>
      <c r="M433" t="s">
        <v>32</v>
      </c>
      <c r="N433">
        <f>Sheet1[[#This Row],[Quantity]]*Sheet1[[#This Row],[UnitPrice]]</f>
        <v>1013.8</v>
      </c>
    </row>
    <row r="434" spans="1:14" x14ac:dyDescent="0.3">
      <c r="A434" s="1">
        <v>45627</v>
      </c>
      <c r="B434" t="s">
        <v>837</v>
      </c>
      <c r="C434" t="s">
        <v>15</v>
      </c>
      <c r="D434" t="s">
        <v>74</v>
      </c>
      <c r="E434" t="s">
        <v>17</v>
      </c>
      <c r="F434">
        <v>8</v>
      </c>
      <c r="G434">
        <v>234.01</v>
      </c>
      <c r="H434" t="s">
        <v>53</v>
      </c>
      <c r="I434" t="s">
        <v>838</v>
      </c>
      <c r="J434" t="s">
        <v>20</v>
      </c>
      <c r="K434" t="s">
        <v>59</v>
      </c>
      <c r="L434" t="s">
        <v>60</v>
      </c>
      <c r="M434" t="s">
        <v>61</v>
      </c>
      <c r="N434">
        <f>Sheet1[[#This Row],[Quantity]]*Sheet1[[#This Row],[UnitPrice]]</f>
        <v>1872.08</v>
      </c>
    </row>
    <row r="435" spans="1:14" x14ac:dyDescent="0.3">
      <c r="A435" s="1">
        <v>44955</v>
      </c>
      <c r="B435" t="s">
        <v>839</v>
      </c>
      <c r="C435" t="s">
        <v>73</v>
      </c>
      <c r="D435" t="s">
        <v>47</v>
      </c>
      <c r="E435" t="s">
        <v>27</v>
      </c>
      <c r="F435">
        <v>8</v>
      </c>
      <c r="G435">
        <v>165.02</v>
      </c>
      <c r="H435" t="s">
        <v>68</v>
      </c>
      <c r="I435" t="s">
        <v>840</v>
      </c>
      <c r="J435" t="s">
        <v>30</v>
      </c>
      <c r="K435" t="s">
        <v>21</v>
      </c>
      <c r="L435" t="s">
        <v>39</v>
      </c>
      <c r="M435" t="s">
        <v>61</v>
      </c>
      <c r="N435">
        <f>Sheet1[[#This Row],[Quantity]]*Sheet1[[#This Row],[UnitPrice]]</f>
        <v>1320.16</v>
      </c>
    </row>
    <row r="436" spans="1:14" x14ac:dyDescent="0.3">
      <c r="A436" s="1">
        <v>45592</v>
      </c>
      <c r="B436" t="s">
        <v>188</v>
      </c>
      <c r="C436" t="s">
        <v>101</v>
      </c>
      <c r="D436" t="s">
        <v>16</v>
      </c>
      <c r="E436" t="s">
        <v>42</v>
      </c>
      <c r="F436">
        <v>4</v>
      </c>
      <c r="G436">
        <v>383.7</v>
      </c>
      <c r="H436" t="s">
        <v>18</v>
      </c>
      <c r="I436" t="s">
        <v>841</v>
      </c>
      <c r="J436" t="s">
        <v>20</v>
      </c>
      <c r="K436" t="s">
        <v>45</v>
      </c>
      <c r="L436" t="s">
        <v>22</v>
      </c>
      <c r="M436" t="s">
        <v>61</v>
      </c>
      <c r="N436">
        <f>Sheet1[[#This Row],[Quantity]]*Sheet1[[#This Row],[UnitPrice]]</f>
        <v>1534.8</v>
      </c>
    </row>
    <row r="437" spans="1:14" x14ac:dyDescent="0.3">
      <c r="A437" s="1">
        <v>45308</v>
      </c>
      <c r="B437" t="s">
        <v>842</v>
      </c>
      <c r="C437" t="s">
        <v>51</v>
      </c>
      <c r="D437" t="s">
        <v>26</v>
      </c>
      <c r="E437" t="s">
        <v>17</v>
      </c>
      <c r="F437">
        <v>6</v>
      </c>
      <c r="G437">
        <v>206.16</v>
      </c>
      <c r="H437" t="s">
        <v>28</v>
      </c>
      <c r="I437" t="s">
        <v>843</v>
      </c>
      <c r="J437" t="s">
        <v>58</v>
      </c>
      <c r="K437" t="s">
        <v>59</v>
      </c>
      <c r="L437" t="s">
        <v>22</v>
      </c>
      <c r="M437" t="s">
        <v>76</v>
      </c>
      <c r="N437">
        <f>Sheet1[[#This Row],[Quantity]]*Sheet1[[#This Row],[UnitPrice]]</f>
        <v>1236.96</v>
      </c>
    </row>
    <row r="438" spans="1:14" x14ac:dyDescent="0.3">
      <c r="A438" s="1">
        <v>45279</v>
      </c>
      <c r="B438" t="s">
        <v>844</v>
      </c>
      <c r="C438" t="s">
        <v>51</v>
      </c>
      <c r="D438" t="s">
        <v>16</v>
      </c>
      <c r="E438" t="s">
        <v>27</v>
      </c>
      <c r="F438">
        <v>5</v>
      </c>
      <c r="G438">
        <v>79.63</v>
      </c>
      <c r="H438" t="s">
        <v>28</v>
      </c>
      <c r="I438" t="s">
        <v>845</v>
      </c>
      <c r="J438" t="s">
        <v>38</v>
      </c>
      <c r="K438" t="s">
        <v>31</v>
      </c>
      <c r="L438" t="s">
        <v>60</v>
      </c>
      <c r="M438" t="s">
        <v>84</v>
      </c>
      <c r="N438">
        <f>Sheet1[[#This Row],[Quantity]]*Sheet1[[#This Row],[UnitPrice]]</f>
        <v>398.15</v>
      </c>
    </row>
    <row r="439" spans="1:14" x14ac:dyDescent="0.3">
      <c r="A439" s="1">
        <v>45011</v>
      </c>
      <c r="B439" t="s">
        <v>846</v>
      </c>
      <c r="C439" t="s">
        <v>78</v>
      </c>
      <c r="D439" t="s">
        <v>16</v>
      </c>
      <c r="E439" t="s">
        <v>64</v>
      </c>
      <c r="F439">
        <v>3</v>
      </c>
      <c r="G439">
        <v>256.69</v>
      </c>
      <c r="H439" t="s">
        <v>18</v>
      </c>
      <c r="I439" t="s">
        <v>847</v>
      </c>
      <c r="J439" t="s">
        <v>30</v>
      </c>
      <c r="K439" t="s">
        <v>31</v>
      </c>
      <c r="L439" t="s">
        <v>22</v>
      </c>
      <c r="M439" t="s">
        <v>61</v>
      </c>
      <c r="N439">
        <f>Sheet1[[#This Row],[Quantity]]*Sheet1[[#This Row],[UnitPrice]]</f>
        <v>770.06999999999994</v>
      </c>
    </row>
    <row r="440" spans="1:14" x14ac:dyDescent="0.3">
      <c r="A440" s="1">
        <v>45516</v>
      </c>
      <c r="B440" t="s">
        <v>420</v>
      </c>
      <c r="C440" t="s">
        <v>63</v>
      </c>
      <c r="D440" t="s">
        <v>47</v>
      </c>
      <c r="E440" t="s">
        <v>17</v>
      </c>
      <c r="F440">
        <v>10</v>
      </c>
      <c r="G440">
        <v>124.56</v>
      </c>
      <c r="H440" t="s">
        <v>28</v>
      </c>
      <c r="I440" t="s">
        <v>848</v>
      </c>
      <c r="J440" t="s">
        <v>20</v>
      </c>
      <c r="K440" t="s">
        <v>59</v>
      </c>
      <c r="L440" t="s">
        <v>60</v>
      </c>
      <c r="M440" t="s">
        <v>49</v>
      </c>
      <c r="N440">
        <f>Sheet1[[#This Row],[Quantity]]*Sheet1[[#This Row],[UnitPrice]]</f>
        <v>1245.5999999999999</v>
      </c>
    </row>
    <row r="441" spans="1:14" x14ac:dyDescent="0.3">
      <c r="A441" s="1">
        <v>45204</v>
      </c>
      <c r="B441" t="s">
        <v>216</v>
      </c>
      <c r="C441" t="s">
        <v>78</v>
      </c>
      <c r="D441" t="s">
        <v>74</v>
      </c>
      <c r="E441" t="s">
        <v>42</v>
      </c>
      <c r="F441">
        <v>5</v>
      </c>
      <c r="G441">
        <v>143.01</v>
      </c>
      <c r="H441" t="s">
        <v>28</v>
      </c>
      <c r="I441" t="s">
        <v>849</v>
      </c>
      <c r="J441" t="s">
        <v>44</v>
      </c>
      <c r="K441" t="s">
        <v>31</v>
      </c>
      <c r="L441" t="s">
        <v>39</v>
      </c>
      <c r="M441" t="s">
        <v>32</v>
      </c>
      <c r="N441">
        <f>Sheet1[[#This Row],[Quantity]]*Sheet1[[#This Row],[UnitPrice]]</f>
        <v>715.05</v>
      </c>
    </row>
    <row r="442" spans="1:14" x14ac:dyDescent="0.3">
      <c r="A442" s="1">
        <v>45430</v>
      </c>
      <c r="B442" t="s">
        <v>850</v>
      </c>
      <c r="C442" t="s">
        <v>25</v>
      </c>
      <c r="D442" t="s">
        <v>47</v>
      </c>
      <c r="E442" t="s">
        <v>52</v>
      </c>
      <c r="F442">
        <v>4</v>
      </c>
      <c r="G442">
        <v>163.57</v>
      </c>
      <c r="H442" t="s">
        <v>36</v>
      </c>
      <c r="I442" t="s">
        <v>851</v>
      </c>
      <c r="J442" t="s">
        <v>30</v>
      </c>
      <c r="K442" t="s">
        <v>21</v>
      </c>
      <c r="L442" t="s">
        <v>22</v>
      </c>
      <c r="M442" t="s">
        <v>23</v>
      </c>
      <c r="N442">
        <f>Sheet1[[#This Row],[Quantity]]*Sheet1[[#This Row],[UnitPrice]]</f>
        <v>654.28</v>
      </c>
    </row>
    <row r="443" spans="1:14" x14ac:dyDescent="0.3">
      <c r="A443" s="1">
        <v>45164</v>
      </c>
      <c r="B443" t="s">
        <v>87</v>
      </c>
      <c r="C443" t="s">
        <v>101</v>
      </c>
      <c r="D443" t="s">
        <v>74</v>
      </c>
      <c r="E443" t="s">
        <v>42</v>
      </c>
      <c r="F443">
        <v>2</v>
      </c>
      <c r="G443">
        <v>91.33</v>
      </c>
      <c r="H443" t="s">
        <v>28</v>
      </c>
      <c r="I443" t="s">
        <v>852</v>
      </c>
      <c r="J443" t="s">
        <v>20</v>
      </c>
      <c r="K443" t="s">
        <v>59</v>
      </c>
      <c r="L443" t="s">
        <v>39</v>
      </c>
      <c r="M443" t="s">
        <v>23</v>
      </c>
      <c r="N443">
        <f>Sheet1[[#This Row],[Quantity]]*Sheet1[[#This Row],[UnitPrice]]</f>
        <v>182.66</v>
      </c>
    </row>
    <row r="444" spans="1:14" x14ac:dyDescent="0.3">
      <c r="A444" s="1">
        <v>45828</v>
      </c>
      <c r="B444" t="s">
        <v>853</v>
      </c>
      <c r="C444" t="s">
        <v>34</v>
      </c>
      <c r="D444" t="s">
        <v>47</v>
      </c>
      <c r="E444" t="s">
        <v>42</v>
      </c>
      <c r="F444">
        <v>2</v>
      </c>
      <c r="G444">
        <v>299.58999999999997</v>
      </c>
      <c r="H444" t="s">
        <v>68</v>
      </c>
      <c r="I444" t="s">
        <v>854</v>
      </c>
      <c r="J444" t="s">
        <v>44</v>
      </c>
      <c r="K444" t="s">
        <v>59</v>
      </c>
      <c r="L444" t="s">
        <v>22</v>
      </c>
      <c r="M444" t="s">
        <v>40</v>
      </c>
      <c r="N444">
        <f>Sheet1[[#This Row],[Quantity]]*Sheet1[[#This Row],[UnitPrice]]</f>
        <v>599.17999999999995</v>
      </c>
    </row>
    <row r="445" spans="1:14" x14ac:dyDescent="0.3">
      <c r="A445" s="1">
        <v>45354</v>
      </c>
      <c r="B445" t="s">
        <v>210</v>
      </c>
      <c r="C445" t="s">
        <v>73</v>
      </c>
      <c r="D445" t="s">
        <v>26</v>
      </c>
      <c r="E445" t="s">
        <v>17</v>
      </c>
      <c r="F445">
        <v>2</v>
      </c>
      <c r="G445">
        <v>161.44</v>
      </c>
      <c r="H445" t="s">
        <v>28</v>
      </c>
      <c r="I445" t="s">
        <v>855</v>
      </c>
      <c r="J445" t="s">
        <v>38</v>
      </c>
      <c r="K445" t="s">
        <v>21</v>
      </c>
      <c r="L445" t="s">
        <v>22</v>
      </c>
      <c r="M445" t="s">
        <v>61</v>
      </c>
      <c r="N445">
        <f>Sheet1[[#This Row],[Quantity]]*Sheet1[[#This Row],[UnitPrice]]</f>
        <v>322.88</v>
      </c>
    </row>
    <row r="446" spans="1:14" x14ac:dyDescent="0.3">
      <c r="A446" s="1">
        <v>45095</v>
      </c>
      <c r="B446" t="s">
        <v>856</v>
      </c>
      <c r="C446" t="s">
        <v>78</v>
      </c>
      <c r="D446" t="s">
        <v>47</v>
      </c>
      <c r="E446" t="s">
        <v>52</v>
      </c>
      <c r="F446">
        <v>8</v>
      </c>
      <c r="G446">
        <v>213.15</v>
      </c>
      <c r="H446" t="s">
        <v>18</v>
      </c>
      <c r="I446" t="s">
        <v>857</v>
      </c>
      <c r="J446" t="s">
        <v>58</v>
      </c>
      <c r="K446" t="s">
        <v>31</v>
      </c>
      <c r="L446" t="s">
        <v>22</v>
      </c>
      <c r="M446" t="s">
        <v>61</v>
      </c>
      <c r="N446">
        <f>Sheet1[[#This Row],[Quantity]]*Sheet1[[#This Row],[UnitPrice]]</f>
        <v>1705.2</v>
      </c>
    </row>
    <row r="447" spans="1:14" x14ac:dyDescent="0.3">
      <c r="A447" s="1">
        <v>45173</v>
      </c>
      <c r="B447" t="s">
        <v>225</v>
      </c>
      <c r="C447" t="s">
        <v>34</v>
      </c>
      <c r="D447" t="s">
        <v>16</v>
      </c>
      <c r="E447" t="s">
        <v>64</v>
      </c>
      <c r="F447">
        <v>7</v>
      </c>
      <c r="G447">
        <v>303.77999999999997</v>
      </c>
      <c r="H447" t="s">
        <v>18</v>
      </c>
      <c r="I447" t="s">
        <v>858</v>
      </c>
      <c r="J447" t="s">
        <v>38</v>
      </c>
      <c r="K447" t="s">
        <v>21</v>
      </c>
      <c r="L447" t="s">
        <v>60</v>
      </c>
      <c r="M447" t="s">
        <v>49</v>
      </c>
      <c r="N447">
        <f>Sheet1[[#This Row],[Quantity]]*Sheet1[[#This Row],[UnitPrice]]</f>
        <v>2126.46</v>
      </c>
    </row>
    <row r="448" spans="1:14" x14ac:dyDescent="0.3">
      <c r="A448" s="1">
        <v>45107</v>
      </c>
      <c r="B448" t="s">
        <v>859</v>
      </c>
      <c r="C448" t="s">
        <v>15</v>
      </c>
      <c r="D448" t="s">
        <v>26</v>
      </c>
      <c r="E448" t="s">
        <v>67</v>
      </c>
      <c r="F448">
        <v>2</v>
      </c>
      <c r="G448">
        <v>300.92</v>
      </c>
      <c r="H448" t="s">
        <v>36</v>
      </c>
      <c r="I448" t="s">
        <v>860</v>
      </c>
      <c r="J448" t="s">
        <v>20</v>
      </c>
      <c r="K448" t="s">
        <v>31</v>
      </c>
      <c r="L448" t="s">
        <v>22</v>
      </c>
      <c r="M448" t="s">
        <v>40</v>
      </c>
      <c r="N448">
        <f>Sheet1[[#This Row],[Quantity]]*Sheet1[[#This Row],[UnitPrice]]</f>
        <v>601.84</v>
      </c>
    </row>
    <row r="449" spans="1:14" x14ac:dyDescent="0.3">
      <c r="A449" s="1">
        <v>45497</v>
      </c>
      <c r="B449" t="s">
        <v>861</v>
      </c>
      <c r="C449" t="s">
        <v>34</v>
      </c>
      <c r="D449" t="s">
        <v>16</v>
      </c>
      <c r="E449" t="s">
        <v>67</v>
      </c>
      <c r="F449">
        <v>6</v>
      </c>
      <c r="G449">
        <v>164.75</v>
      </c>
      <c r="H449" t="s">
        <v>36</v>
      </c>
      <c r="I449" t="s">
        <v>862</v>
      </c>
      <c r="J449" t="s">
        <v>58</v>
      </c>
      <c r="K449" t="s">
        <v>45</v>
      </c>
      <c r="L449" t="s">
        <v>22</v>
      </c>
      <c r="M449" t="s">
        <v>76</v>
      </c>
      <c r="N449">
        <f>Sheet1[[#This Row],[Quantity]]*Sheet1[[#This Row],[UnitPrice]]</f>
        <v>988.5</v>
      </c>
    </row>
    <row r="450" spans="1:14" x14ac:dyDescent="0.3">
      <c r="A450" s="1">
        <v>45501</v>
      </c>
      <c r="B450" t="s">
        <v>292</v>
      </c>
      <c r="C450" t="s">
        <v>51</v>
      </c>
      <c r="D450" t="s">
        <v>26</v>
      </c>
      <c r="E450" t="s">
        <v>17</v>
      </c>
      <c r="F450">
        <v>10</v>
      </c>
      <c r="G450">
        <v>302.72000000000003</v>
      </c>
      <c r="H450" t="s">
        <v>36</v>
      </c>
      <c r="I450" t="s">
        <v>863</v>
      </c>
      <c r="J450" t="s">
        <v>44</v>
      </c>
      <c r="K450" t="s">
        <v>21</v>
      </c>
      <c r="L450" t="s">
        <v>60</v>
      </c>
      <c r="M450" t="s">
        <v>61</v>
      </c>
      <c r="N450">
        <f>Sheet1[[#This Row],[Quantity]]*Sheet1[[#This Row],[UnitPrice]]</f>
        <v>3027.2000000000003</v>
      </c>
    </row>
    <row r="451" spans="1:14" x14ac:dyDescent="0.3">
      <c r="A451" s="1">
        <v>45124</v>
      </c>
      <c r="B451" t="s">
        <v>700</v>
      </c>
      <c r="C451" t="s">
        <v>56</v>
      </c>
      <c r="D451" t="s">
        <v>47</v>
      </c>
      <c r="E451" t="s">
        <v>27</v>
      </c>
      <c r="F451">
        <v>3</v>
      </c>
      <c r="G451">
        <v>253.33</v>
      </c>
      <c r="H451" t="s">
        <v>36</v>
      </c>
      <c r="I451" t="s">
        <v>864</v>
      </c>
      <c r="J451" t="s">
        <v>20</v>
      </c>
      <c r="K451" t="s">
        <v>31</v>
      </c>
      <c r="L451" t="s">
        <v>60</v>
      </c>
      <c r="M451" t="s">
        <v>49</v>
      </c>
      <c r="N451">
        <f>Sheet1[[#This Row],[Quantity]]*Sheet1[[#This Row],[UnitPrice]]</f>
        <v>759.99</v>
      </c>
    </row>
    <row r="452" spans="1:14" x14ac:dyDescent="0.3">
      <c r="A452" s="1">
        <v>45474</v>
      </c>
      <c r="B452" t="s">
        <v>865</v>
      </c>
      <c r="C452" t="s">
        <v>78</v>
      </c>
      <c r="D452" t="s">
        <v>74</v>
      </c>
      <c r="E452" t="s">
        <v>64</v>
      </c>
      <c r="F452">
        <v>1</v>
      </c>
      <c r="G452">
        <v>36.85</v>
      </c>
      <c r="H452" t="s">
        <v>36</v>
      </c>
      <c r="I452" t="s">
        <v>866</v>
      </c>
      <c r="J452" t="s">
        <v>58</v>
      </c>
      <c r="K452" t="s">
        <v>59</v>
      </c>
      <c r="L452" t="s">
        <v>22</v>
      </c>
      <c r="M452" t="s">
        <v>49</v>
      </c>
      <c r="N452">
        <f>Sheet1[[#This Row],[Quantity]]*Sheet1[[#This Row],[UnitPrice]]</f>
        <v>36.85</v>
      </c>
    </row>
    <row r="453" spans="1:14" x14ac:dyDescent="0.3">
      <c r="A453" s="1">
        <v>45281</v>
      </c>
      <c r="B453" t="s">
        <v>867</v>
      </c>
      <c r="C453" t="s">
        <v>63</v>
      </c>
      <c r="D453" t="s">
        <v>16</v>
      </c>
      <c r="E453" t="s">
        <v>17</v>
      </c>
      <c r="F453">
        <v>2</v>
      </c>
      <c r="G453">
        <v>248.69</v>
      </c>
      <c r="H453" t="s">
        <v>36</v>
      </c>
      <c r="I453" t="s">
        <v>868</v>
      </c>
      <c r="J453" t="s">
        <v>20</v>
      </c>
      <c r="K453" t="s">
        <v>21</v>
      </c>
      <c r="L453" t="s">
        <v>39</v>
      </c>
      <c r="M453" t="s">
        <v>32</v>
      </c>
      <c r="N453">
        <f>Sheet1[[#This Row],[Quantity]]*Sheet1[[#This Row],[UnitPrice]]</f>
        <v>497.38</v>
      </c>
    </row>
    <row r="454" spans="1:14" x14ac:dyDescent="0.3">
      <c r="A454" s="1">
        <v>45639</v>
      </c>
      <c r="B454" t="s">
        <v>869</v>
      </c>
      <c r="C454" t="s">
        <v>34</v>
      </c>
      <c r="D454" t="s">
        <v>74</v>
      </c>
      <c r="E454" t="s">
        <v>42</v>
      </c>
      <c r="F454">
        <v>8</v>
      </c>
      <c r="G454">
        <v>284.8</v>
      </c>
      <c r="H454" t="s">
        <v>36</v>
      </c>
      <c r="I454" t="s">
        <v>870</v>
      </c>
      <c r="J454" t="s">
        <v>44</v>
      </c>
      <c r="K454" t="s">
        <v>21</v>
      </c>
      <c r="L454" t="s">
        <v>22</v>
      </c>
      <c r="M454" t="s">
        <v>40</v>
      </c>
      <c r="N454">
        <f>Sheet1[[#This Row],[Quantity]]*Sheet1[[#This Row],[UnitPrice]]</f>
        <v>2278.4</v>
      </c>
    </row>
    <row r="455" spans="1:14" x14ac:dyDescent="0.3">
      <c r="A455" s="1">
        <v>45686</v>
      </c>
      <c r="B455" t="s">
        <v>871</v>
      </c>
      <c r="C455" t="s">
        <v>101</v>
      </c>
      <c r="D455" t="s">
        <v>74</v>
      </c>
      <c r="E455" t="s">
        <v>42</v>
      </c>
      <c r="F455">
        <v>4</v>
      </c>
      <c r="G455">
        <v>42.51</v>
      </c>
      <c r="H455" t="s">
        <v>18</v>
      </c>
      <c r="I455" t="s">
        <v>872</v>
      </c>
      <c r="J455" t="s">
        <v>38</v>
      </c>
      <c r="K455" t="s">
        <v>21</v>
      </c>
      <c r="L455" t="s">
        <v>39</v>
      </c>
      <c r="M455" t="s">
        <v>76</v>
      </c>
      <c r="N455">
        <f>Sheet1[[#This Row],[Quantity]]*Sheet1[[#This Row],[UnitPrice]]</f>
        <v>170.04</v>
      </c>
    </row>
    <row r="456" spans="1:14" x14ac:dyDescent="0.3">
      <c r="A456" s="1">
        <v>45075</v>
      </c>
      <c r="B456" t="s">
        <v>837</v>
      </c>
      <c r="C456" t="s">
        <v>63</v>
      </c>
      <c r="D456" t="s">
        <v>16</v>
      </c>
      <c r="E456" t="s">
        <v>42</v>
      </c>
      <c r="F456">
        <v>9</v>
      </c>
      <c r="G456">
        <v>343.44</v>
      </c>
      <c r="H456" t="s">
        <v>36</v>
      </c>
      <c r="I456" t="s">
        <v>873</v>
      </c>
      <c r="J456" t="s">
        <v>44</v>
      </c>
      <c r="K456" t="s">
        <v>21</v>
      </c>
      <c r="L456" t="s">
        <v>60</v>
      </c>
      <c r="M456" t="s">
        <v>49</v>
      </c>
      <c r="N456">
        <f>Sheet1[[#This Row],[Quantity]]*Sheet1[[#This Row],[UnitPrice]]</f>
        <v>3090.96</v>
      </c>
    </row>
    <row r="457" spans="1:14" x14ac:dyDescent="0.3">
      <c r="A457" s="1">
        <v>45720</v>
      </c>
      <c r="B457" t="s">
        <v>570</v>
      </c>
      <c r="C457" t="s">
        <v>51</v>
      </c>
      <c r="D457" t="s">
        <v>16</v>
      </c>
      <c r="E457" t="s">
        <v>52</v>
      </c>
      <c r="F457">
        <v>3</v>
      </c>
      <c r="G457">
        <v>34.950000000000003</v>
      </c>
      <c r="H457" t="s">
        <v>36</v>
      </c>
      <c r="I457" t="s">
        <v>874</v>
      </c>
      <c r="J457" t="s">
        <v>30</v>
      </c>
      <c r="K457" t="s">
        <v>31</v>
      </c>
      <c r="L457" t="s">
        <v>39</v>
      </c>
      <c r="M457" t="s">
        <v>84</v>
      </c>
      <c r="N457">
        <f>Sheet1[[#This Row],[Quantity]]*Sheet1[[#This Row],[UnitPrice]]</f>
        <v>104.85000000000001</v>
      </c>
    </row>
    <row r="458" spans="1:14" x14ac:dyDescent="0.3">
      <c r="A458" s="1">
        <v>45211</v>
      </c>
      <c r="B458" t="s">
        <v>827</v>
      </c>
      <c r="C458" t="s">
        <v>101</v>
      </c>
      <c r="D458" t="s">
        <v>16</v>
      </c>
      <c r="E458" t="s">
        <v>17</v>
      </c>
      <c r="F458">
        <v>1</v>
      </c>
      <c r="G458">
        <v>248.33</v>
      </c>
      <c r="H458" t="s">
        <v>68</v>
      </c>
      <c r="I458" t="s">
        <v>875</v>
      </c>
      <c r="J458" t="s">
        <v>58</v>
      </c>
      <c r="K458" t="s">
        <v>59</v>
      </c>
      <c r="L458" t="s">
        <v>60</v>
      </c>
      <c r="M458" t="s">
        <v>32</v>
      </c>
      <c r="N458">
        <f>Sheet1[[#This Row],[Quantity]]*Sheet1[[#This Row],[UnitPrice]]</f>
        <v>248.33</v>
      </c>
    </row>
    <row r="459" spans="1:14" x14ac:dyDescent="0.3">
      <c r="A459" s="1">
        <v>45010</v>
      </c>
      <c r="B459" t="s">
        <v>876</v>
      </c>
      <c r="C459" t="s">
        <v>51</v>
      </c>
      <c r="D459" t="s">
        <v>16</v>
      </c>
      <c r="E459" t="s">
        <v>27</v>
      </c>
      <c r="F459">
        <v>4</v>
      </c>
      <c r="G459">
        <v>117.81</v>
      </c>
      <c r="H459" t="s">
        <v>68</v>
      </c>
      <c r="I459" t="s">
        <v>877</v>
      </c>
      <c r="J459" t="s">
        <v>20</v>
      </c>
      <c r="K459" t="s">
        <v>21</v>
      </c>
      <c r="L459" t="s">
        <v>39</v>
      </c>
      <c r="M459" t="s">
        <v>23</v>
      </c>
      <c r="N459">
        <f>Sheet1[[#This Row],[Quantity]]*Sheet1[[#This Row],[UnitPrice]]</f>
        <v>471.24</v>
      </c>
    </row>
    <row r="460" spans="1:14" x14ac:dyDescent="0.3">
      <c r="A460" s="1">
        <v>45076</v>
      </c>
      <c r="B460" t="s">
        <v>304</v>
      </c>
      <c r="C460" t="s">
        <v>63</v>
      </c>
      <c r="D460" t="s">
        <v>16</v>
      </c>
      <c r="E460" t="s">
        <v>17</v>
      </c>
      <c r="F460">
        <v>10</v>
      </c>
      <c r="G460">
        <v>37.61</v>
      </c>
      <c r="H460" t="s">
        <v>18</v>
      </c>
      <c r="I460" t="s">
        <v>878</v>
      </c>
      <c r="J460" t="s">
        <v>20</v>
      </c>
      <c r="K460" t="s">
        <v>59</v>
      </c>
      <c r="L460" t="s">
        <v>39</v>
      </c>
      <c r="M460" t="s">
        <v>84</v>
      </c>
      <c r="N460">
        <f>Sheet1[[#This Row],[Quantity]]*Sheet1[[#This Row],[UnitPrice]]</f>
        <v>376.1</v>
      </c>
    </row>
    <row r="461" spans="1:14" x14ac:dyDescent="0.3">
      <c r="A461" s="1">
        <v>45753</v>
      </c>
      <c r="B461" t="s">
        <v>174</v>
      </c>
      <c r="C461" t="s">
        <v>90</v>
      </c>
      <c r="D461" t="s">
        <v>74</v>
      </c>
      <c r="E461" t="s">
        <v>67</v>
      </c>
      <c r="F461">
        <v>5</v>
      </c>
      <c r="G461">
        <v>290.02</v>
      </c>
      <c r="H461" t="s">
        <v>28</v>
      </c>
      <c r="I461" t="s">
        <v>879</v>
      </c>
      <c r="J461" t="s">
        <v>44</v>
      </c>
      <c r="K461" t="s">
        <v>21</v>
      </c>
      <c r="L461" t="s">
        <v>22</v>
      </c>
      <c r="M461" t="s">
        <v>61</v>
      </c>
      <c r="N461">
        <f>Sheet1[[#This Row],[Quantity]]*Sheet1[[#This Row],[UnitPrice]]</f>
        <v>1450.1</v>
      </c>
    </row>
    <row r="462" spans="1:14" x14ac:dyDescent="0.3">
      <c r="A462" s="1">
        <v>45184</v>
      </c>
      <c r="B462" t="s">
        <v>123</v>
      </c>
      <c r="C462" t="s">
        <v>73</v>
      </c>
      <c r="D462" t="s">
        <v>47</v>
      </c>
      <c r="E462" t="s">
        <v>27</v>
      </c>
      <c r="F462">
        <v>4</v>
      </c>
      <c r="G462">
        <v>370.9</v>
      </c>
      <c r="H462" t="s">
        <v>28</v>
      </c>
      <c r="I462" t="s">
        <v>880</v>
      </c>
      <c r="J462" t="s">
        <v>38</v>
      </c>
      <c r="K462" t="s">
        <v>59</v>
      </c>
      <c r="L462" t="s">
        <v>39</v>
      </c>
      <c r="M462" t="s">
        <v>40</v>
      </c>
      <c r="N462">
        <f>Sheet1[[#This Row],[Quantity]]*Sheet1[[#This Row],[UnitPrice]]</f>
        <v>1483.6</v>
      </c>
    </row>
    <row r="463" spans="1:14" x14ac:dyDescent="0.3">
      <c r="A463" s="1">
        <v>44958</v>
      </c>
      <c r="B463" t="s">
        <v>494</v>
      </c>
      <c r="C463" t="s">
        <v>34</v>
      </c>
      <c r="D463" t="s">
        <v>26</v>
      </c>
      <c r="E463" t="s">
        <v>35</v>
      </c>
      <c r="F463">
        <v>8</v>
      </c>
      <c r="G463">
        <v>315.45999999999998</v>
      </c>
      <c r="H463" t="s">
        <v>36</v>
      </c>
      <c r="I463" t="s">
        <v>881</v>
      </c>
      <c r="J463" t="s">
        <v>20</v>
      </c>
      <c r="K463" t="s">
        <v>45</v>
      </c>
      <c r="L463" t="s">
        <v>60</v>
      </c>
      <c r="M463" t="s">
        <v>76</v>
      </c>
      <c r="N463">
        <f>Sheet1[[#This Row],[Quantity]]*Sheet1[[#This Row],[UnitPrice]]</f>
        <v>2523.6799999999998</v>
      </c>
    </row>
    <row r="464" spans="1:14" x14ac:dyDescent="0.3">
      <c r="A464" s="1">
        <v>44937</v>
      </c>
      <c r="B464" t="s">
        <v>450</v>
      </c>
      <c r="C464" t="s">
        <v>78</v>
      </c>
      <c r="D464" t="s">
        <v>47</v>
      </c>
      <c r="E464" t="s">
        <v>64</v>
      </c>
      <c r="F464">
        <v>6</v>
      </c>
      <c r="G464">
        <v>237.91</v>
      </c>
      <c r="H464" t="s">
        <v>68</v>
      </c>
      <c r="I464" t="s">
        <v>882</v>
      </c>
      <c r="J464" t="s">
        <v>20</v>
      </c>
      <c r="K464" t="s">
        <v>45</v>
      </c>
      <c r="L464" t="s">
        <v>39</v>
      </c>
      <c r="M464" t="s">
        <v>76</v>
      </c>
      <c r="N464">
        <f>Sheet1[[#This Row],[Quantity]]*Sheet1[[#This Row],[UnitPrice]]</f>
        <v>1427.46</v>
      </c>
    </row>
    <row r="465" spans="1:14" x14ac:dyDescent="0.3">
      <c r="A465" s="1">
        <v>45771</v>
      </c>
      <c r="B465" t="s">
        <v>591</v>
      </c>
      <c r="C465" t="s">
        <v>15</v>
      </c>
      <c r="D465" t="s">
        <v>16</v>
      </c>
      <c r="E465" t="s">
        <v>52</v>
      </c>
      <c r="F465">
        <v>10</v>
      </c>
      <c r="G465">
        <v>394.91</v>
      </c>
      <c r="H465" t="s">
        <v>53</v>
      </c>
      <c r="I465" t="s">
        <v>883</v>
      </c>
      <c r="J465" t="s">
        <v>30</v>
      </c>
      <c r="K465" t="s">
        <v>59</v>
      </c>
      <c r="L465" t="s">
        <v>60</v>
      </c>
      <c r="M465" t="s">
        <v>32</v>
      </c>
      <c r="N465">
        <f>Sheet1[[#This Row],[Quantity]]*Sheet1[[#This Row],[UnitPrice]]</f>
        <v>3949.1000000000004</v>
      </c>
    </row>
    <row r="466" spans="1:14" x14ac:dyDescent="0.3">
      <c r="A466" s="1">
        <v>44956</v>
      </c>
      <c r="B466" t="s">
        <v>884</v>
      </c>
      <c r="C466" t="s">
        <v>25</v>
      </c>
      <c r="D466" t="s">
        <v>26</v>
      </c>
      <c r="E466" t="s">
        <v>64</v>
      </c>
      <c r="F466">
        <v>1</v>
      </c>
      <c r="G466">
        <v>141.82</v>
      </c>
      <c r="H466" t="s">
        <v>28</v>
      </c>
      <c r="I466" t="s">
        <v>885</v>
      </c>
      <c r="J466" t="s">
        <v>30</v>
      </c>
      <c r="K466" t="s">
        <v>21</v>
      </c>
      <c r="L466" t="s">
        <v>22</v>
      </c>
      <c r="M466" t="s">
        <v>49</v>
      </c>
      <c r="N466">
        <f>Sheet1[[#This Row],[Quantity]]*Sheet1[[#This Row],[UnitPrice]]</f>
        <v>141.82</v>
      </c>
    </row>
    <row r="467" spans="1:14" x14ac:dyDescent="0.3">
      <c r="A467" s="1">
        <v>45284</v>
      </c>
      <c r="B467" t="s">
        <v>886</v>
      </c>
      <c r="C467" t="s">
        <v>63</v>
      </c>
      <c r="D467" t="s">
        <v>74</v>
      </c>
      <c r="E467" t="s">
        <v>64</v>
      </c>
      <c r="F467">
        <v>4</v>
      </c>
      <c r="G467">
        <v>393.62</v>
      </c>
      <c r="H467" t="s">
        <v>68</v>
      </c>
      <c r="I467" t="s">
        <v>887</v>
      </c>
      <c r="J467" t="s">
        <v>38</v>
      </c>
      <c r="K467" t="s">
        <v>45</v>
      </c>
      <c r="L467" t="s">
        <v>22</v>
      </c>
      <c r="M467" t="s">
        <v>61</v>
      </c>
      <c r="N467">
        <f>Sheet1[[#This Row],[Quantity]]*Sheet1[[#This Row],[UnitPrice]]</f>
        <v>1574.48</v>
      </c>
    </row>
    <row r="468" spans="1:14" x14ac:dyDescent="0.3">
      <c r="A468" s="1">
        <v>45165</v>
      </c>
      <c r="B468" t="s">
        <v>888</v>
      </c>
      <c r="C468" t="s">
        <v>90</v>
      </c>
      <c r="D468" t="s">
        <v>16</v>
      </c>
      <c r="E468" t="s">
        <v>52</v>
      </c>
      <c r="F468">
        <v>6</v>
      </c>
      <c r="G468">
        <v>80.44</v>
      </c>
      <c r="H468" t="s">
        <v>28</v>
      </c>
      <c r="I468" t="s">
        <v>889</v>
      </c>
      <c r="J468" t="s">
        <v>30</v>
      </c>
      <c r="K468" t="s">
        <v>31</v>
      </c>
      <c r="L468" t="s">
        <v>22</v>
      </c>
      <c r="M468" t="s">
        <v>61</v>
      </c>
      <c r="N468">
        <f>Sheet1[[#This Row],[Quantity]]*Sheet1[[#This Row],[UnitPrice]]</f>
        <v>482.64</v>
      </c>
    </row>
    <row r="469" spans="1:14" x14ac:dyDescent="0.3">
      <c r="A469" s="1">
        <v>45024</v>
      </c>
      <c r="B469" t="s">
        <v>890</v>
      </c>
      <c r="C469" t="s">
        <v>51</v>
      </c>
      <c r="D469" t="s">
        <v>16</v>
      </c>
      <c r="E469" t="s">
        <v>35</v>
      </c>
      <c r="F469">
        <v>8</v>
      </c>
      <c r="G469">
        <v>357.27</v>
      </c>
      <c r="H469" t="s">
        <v>18</v>
      </c>
      <c r="I469" t="s">
        <v>891</v>
      </c>
      <c r="J469" t="s">
        <v>44</v>
      </c>
      <c r="K469" t="s">
        <v>45</v>
      </c>
      <c r="L469" t="s">
        <v>22</v>
      </c>
      <c r="M469" t="s">
        <v>23</v>
      </c>
      <c r="N469">
        <f>Sheet1[[#This Row],[Quantity]]*Sheet1[[#This Row],[UnitPrice]]</f>
        <v>2858.16</v>
      </c>
    </row>
    <row r="470" spans="1:14" x14ac:dyDescent="0.3">
      <c r="A470" s="1">
        <v>45197</v>
      </c>
      <c r="B470" t="s">
        <v>892</v>
      </c>
      <c r="C470" t="s">
        <v>73</v>
      </c>
      <c r="D470" t="s">
        <v>47</v>
      </c>
      <c r="E470" t="s">
        <v>35</v>
      </c>
      <c r="F470">
        <v>9</v>
      </c>
      <c r="G470">
        <v>131.86000000000001</v>
      </c>
      <c r="H470" t="s">
        <v>68</v>
      </c>
      <c r="I470" t="s">
        <v>893</v>
      </c>
      <c r="J470" t="s">
        <v>38</v>
      </c>
      <c r="K470" t="s">
        <v>31</v>
      </c>
      <c r="L470" t="s">
        <v>39</v>
      </c>
      <c r="M470" t="s">
        <v>32</v>
      </c>
      <c r="N470">
        <f>Sheet1[[#This Row],[Quantity]]*Sheet1[[#This Row],[UnitPrice]]</f>
        <v>1186.7400000000002</v>
      </c>
    </row>
    <row r="471" spans="1:14" x14ac:dyDescent="0.3">
      <c r="A471" s="1">
        <v>45029</v>
      </c>
      <c r="B471" t="s">
        <v>894</v>
      </c>
      <c r="C471" t="s">
        <v>15</v>
      </c>
      <c r="D471" t="s">
        <v>26</v>
      </c>
      <c r="E471" t="s">
        <v>64</v>
      </c>
      <c r="F471">
        <v>8</v>
      </c>
      <c r="G471">
        <v>376.61</v>
      </c>
      <c r="H471" t="s">
        <v>28</v>
      </c>
      <c r="I471" t="s">
        <v>895</v>
      </c>
      <c r="J471" t="s">
        <v>38</v>
      </c>
      <c r="K471" t="s">
        <v>59</v>
      </c>
      <c r="L471" t="s">
        <v>60</v>
      </c>
      <c r="M471" t="s">
        <v>32</v>
      </c>
      <c r="N471">
        <f>Sheet1[[#This Row],[Quantity]]*Sheet1[[#This Row],[UnitPrice]]</f>
        <v>3012.88</v>
      </c>
    </row>
    <row r="472" spans="1:14" x14ac:dyDescent="0.3">
      <c r="A472" s="1">
        <v>45521</v>
      </c>
      <c r="B472" t="s">
        <v>896</v>
      </c>
      <c r="C472" t="s">
        <v>78</v>
      </c>
      <c r="D472" t="s">
        <v>26</v>
      </c>
      <c r="E472" t="s">
        <v>42</v>
      </c>
      <c r="F472">
        <v>3</v>
      </c>
      <c r="G472">
        <v>361.61</v>
      </c>
      <c r="H472" t="s">
        <v>18</v>
      </c>
      <c r="I472" t="s">
        <v>897</v>
      </c>
      <c r="J472" t="s">
        <v>20</v>
      </c>
      <c r="K472" t="s">
        <v>21</v>
      </c>
      <c r="L472" t="s">
        <v>22</v>
      </c>
      <c r="M472" t="s">
        <v>23</v>
      </c>
      <c r="N472">
        <f>Sheet1[[#This Row],[Quantity]]*Sheet1[[#This Row],[UnitPrice]]</f>
        <v>1084.83</v>
      </c>
    </row>
    <row r="473" spans="1:14" x14ac:dyDescent="0.3">
      <c r="A473" s="1">
        <v>44987</v>
      </c>
      <c r="B473" t="s">
        <v>898</v>
      </c>
      <c r="C473" t="s">
        <v>78</v>
      </c>
      <c r="D473" t="s">
        <v>16</v>
      </c>
      <c r="E473" t="s">
        <v>52</v>
      </c>
      <c r="F473">
        <v>7</v>
      </c>
      <c r="G473">
        <v>219.3</v>
      </c>
      <c r="H473" t="s">
        <v>18</v>
      </c>
      <c r="I473" t="s">
        <v>899</v>
      </c>
      <c r="J473" t="s">
        <v>44</v>
      </c>
      <c r="K473" t="s">
        <v>21</v>
      </c>
      <c r="L473" t="s">
        <v>39</v>
      </c>
      <c r="M473" t="s">
        <v>32</v>
      </c>
      <c r="N473">
        <f>Sheet1[[#This Row],[Quantity]]*Sheet1[[#This Row],[UnitPrice]]</f>
        <v>1535.1000000000001</v>
      </c>
    </row>
    <row r="474" spans="1:14" x14ac:dyDescent="0.3">
      <c r="A474" s="1">
        <v>45663</v>
      </c>
      <c r="B474" t="s">
        <v>528</v>
      </c>
      <c r="C474" t="s">
        <v>56</v>
      </c>
      <c r="D474" t="s">
        <v>16</v>
      </c>
      <c r="E474" t="s">
        <v>27</v>
      </c>
      <c r="F474">
        <v>4</v>
      </c>
      <c r="G474">
        <v>40.619999999999997</v>
      </c>
      <c r="H474" t="s">
        <v>36</v>
      </c>
      <c r="I474" t="s">
        <v>900</v>
      </c>
      <c r="J474" t="s">
        <v>30</v>
      </c>
      <c r="K474" t="s">
        <v>59</v>
      </c>
      <c r="L474" t="s">
        <v>22</v>
      </c>
      <c r="M474" t="s">
        <v>49</v>
      </c>
      <c r="N474">
        <f>Sheet1[[#This Row],[Quantity]]*Sheet1[[#This Row],[UnitPrice]]</f>
        <v>162.47999999999999</v>
      </c>
    </row>
    <row r="475" spans="1:14" x14ac:dyDescent="0.3">
      <c r="A475" s="1">
        <v>45171</v>
      </c>
      <c r="B475" t="s">
        <v>901</v>
      </c>
      <c r="C475" t="s">
        <v>34</v>
      </c>
      <c r="D475" t="s">
        <v>26</v>
      </c>
      <c r="E475" t="s">
        <v>27</v>
      </c>
      <c r="F475">
        <v>1</v>
      </c>
      <c r="G475">
        <v>11.7</v>
      </c>
      <c r="H475" t="s">
        <v>53</v>
      </c>
      <c r="I475" t="s">
        <v>902</v>
      </c>
      <c r="J475" t="s">
        <v>38</v>
      </c>
      <c r="K475" t="s">
        <v>31</v>
      </c>
      <c r="L475" t="s">
        <v>39</v>
      </c>
      <c r="M475" t="s">
        <v>23</v>
      </c>
      <c r="N475">
        <f>Sheet1[[#This Row],[Quantity]]*Sheet1[[#This Row],[UnitPrice]]</f>
        <v>11.7</v>
      </c>
    </row>
    <row r="476" spans="1:14" x14ac:dyDescent="0.3">
      <c r="A476" s="1">
        <v>44937</v>
      </c>
      <c r="B476" t="s">
        <v>223</v>
      </c>
      <c r="C476" t="s">
        <v>63</v>
      </c>
      <c r="D476" t="s">
        <v>47</v>
      </c>
      <c r="E476" t="s">
        <v>17</v>
      </c>
      <c r="F476">
        <v>10</v>
      </c>
      <c r="G476">
        <v>333.11</v>
      </c>
      <c r="H476" t="s">
        <v>53</v>
      </c>
      <c r="I476" t="s">
        <v>903</v>
      </c>
      <c r="J476" t="s">
        <v>20</v>
      </c>
      <c r="K476" t="s">
        <v>45</v>
      </c>
      <c r="L476" t="s">
        <v>60</v>
      </c>
      <c r="M476" t="s">
        <v>76</v>
      </c>
      <c r="N476">
        <f>Sheet1[[#This Row],[Quantity]]*Sheet1[[#This Row],[UnitPrice]]</f>
        <v>3331.1000000000004</v>
      </c>
    </row>
    <row r="477" spans="1:14" x14ac:dyDescent="0.3">
      <c r="A477" s="1">
        <v>45780</v>
      </c>
      <c r="B477" t="s">
        <v>904</v>
      </c>
      <c r="C477" t="s">
        <v>25</v>
      </c>
      <c r="D477" t="s">
        <v>16</v>
      </c>
      <c r="E477" t="s">
        <v>35</v>
      </c>
      <c r="F477">
        <v>7</v>
      </c>
      <c r="G477">
        <v>261.88</v>
      </c>
      <c r="H477" t="s">
        <v>53</v>
      </c>
      <c r="I477" t="s">
        <v>905</v>
      </c>
      <c r="J477" t="s">
        <v>20</v>
      </c>
      <c r="K477" t="s">
        <v>31</v>
      </c>
      <c r="L477" t="s">
        <v>60</v>
      </c>
      <c r="M477" t="s">
        <v>23</v>
      </c>
      <c r="N477">
        <f>Sheet1[[#This Row],[Quantity]]*Sheet1[[#This Row],[UnitPrice]]</f>
        <v>1833.1599999999999</v>
      </c>
    </row>
    <row r="478" spans="1:14" x14ac:dyDescent="0.3">
      <c r="A478" s="1">
        <v>45005</v>
      </c>
      <c r="B478" t="s">
        <v>906</v>
      </c>
      <c r="C478" t="s">
        <v>25</v>
      </c>
      <c r="D478" t="s">
        <v>26</v>
      </c>
      <c r="E478" t="s">
        <v>64</v>
      </c>
      <c r="F478">
        <v>8</v>
      </c>
      <c r="G478">
        <v>251.59</v>
      </c>
      <c r="H478" t="s">
        <v>28</v>
      </c>
      <c r="I478" t="s">
        <v>907</v>
      </c>
      <c r="J478" t="s">
        <v>20</v>
      </c>
      <c r="K478" t="s">
        <v>59</v>
      </c>
      <c r="L478" t="s">
        <v>22</v>
      </c>
      <c r="M478" t="s">
        <v>49</v>
      </c>
      <c r="N478">
        <f>Sheet1[[#This Row],[Quantity]]*Sheet1[[#This Row],[UnitPrice]]</f>
        <v>2012.72</v>
      </c>
    </row>
    <row r="479" spans="1:14" x14ac:dyDescent="0.3">
      <c r="A479" s="1">
        <v>44928</v>
      </c>
      <c r="B479" t="s">
        <v>908</v>
      </c>
      <c r="C479" t="s">
        <v>63</v>
      </c>
      <c r="D479" t="s">
        <v>47</v>
      </c>
      <c r="E479" t="s">
        <v>64</v>
      </c>
      <c r="F479">
        <v>6</v>
      </c>
      <c r="G479">
        <v>72.37</v>
      </c>
      <c r="H479" t="s">
        <v>28</v>
      </c>
      <c r="I479" t="s">
        <v>909</v>
      </c>
      <c r="J479" t="s">
        <v>58</v>
      </c>
      <c r="K479" t="s">
        <v>59</v>
      </c>
      <c r="L479" t="s">
        <v>22</v>
      </c>
      <c r="M479" t="s">
        <v>49</v>
      </c>
      <c r="N479">
        <f>Sheet1[[#This Row],[Quantity]]*Sheet1[[#This Row],[UnitPrice]]</f>
        <v>434.22</v>
      </c>
    </row>
    <row r="480" spans="1:14" x14ac:dyDescent="0.3">
      <c r="A480" s="1">
        <v>45035</v>
      </c>
      <c r="B480" t="s">
        <v>910</v>
      </c>
      <c r="C480" t="s">
        <v>34</v>
      </c>
      <c r="D480" t="s">
        <v>16</v>
      </c>
      <c r="E480" t="s">
        <v>17</v>
      </c>
      <c r="F480">
        <v>1</v>
      </c>
      <c r="G480">
        <v>90.99</v>
      </c>
      <c r="H480" t="s">
        <v>53</v>
      </c>
      <c r="I480" t="s">
        <v>911</v>
      </c>
      <c r="J480" t="s">
        <v>38</v>
      </c>
      <c r="K480" t="s">
        <v>31</v>
      </c>
      <c r="L480" t="s">
        <v>22</v>
      </c>
      <c r="M480" t="s">
        <v>76</v>
      </c>
      <c r="N480">
        <f>Sheet1[[#This Row],[Quantity]]*Sheet1[[#This Row],[UnitPrice]]</f>
        <v>90.99</v>
      </c>
    </row>
    <row r="481" spans="1:14" x14ac:dyDescent="0.3">
      <c r="A481" s="1">
        <v>45239</v>
      </c>
      <c r="B481" t="s">
        <v>198</v>
      </c>
      <c r="C481" t="s">
        <v>25</v>
      </c>
      <c r="D481" t="s">
        <v>16</v>
      </c>
      <c r="E481" t="s">
        <v>27</v>
      </c>
      <c r="F481">
        <v>8</v>
      </c>
      <c r="G481">
        <v>24.19</v>
      </c>
      <c r="H481" t="s">
        <v>36</v>
      </c>
      <c r="I481" t="s">
        <v>912</v>
      </c>
      <c r="J481" t="s">
        <v>38</v>
      </c>
      <c r="K481" t="s">
        <v>45</v>
      </c>
      <c r="L481" t="s">
        <v>39</v>
      </c>
      <c r="M481" t="s">
        <v>32</v>
      </c>
      <c r="N481">
        <f>Sheet1[[#This Row],[Quantity]]*Sheet1[[#This Row],[UnitPrice]]</f>
        <v>193.52</v>
      </c>
    </row>
    <row r="482" spans="1:14" x14ac:dyDescent="0.3">
      <c r="A482" s="1">
        <v>45426</v>
      </c>
      <c r="B482" t="s">
        <v>913</v>
      </c>
      <c r="C482" t="s">
        <v>101</v>
      </c>
      <c r="D482" t="s">
        <v>16</v>
      </c>
      <c r="E482" t="s">
        <v>52</v>
      </c>
      <c r="F482">
        <v>10</v>
      </c>
      <c r="G482">
        <v>252.39</v>
      </c>
      <c r="H482" t="s">
        <v>53</v>
      </c>
      <c r="I482" t="s">
        <v>914</v>
      </c>
      <c r="J482" t="s">
        <v>44</v>
      </c>
      <c r="K482" t="s">
        <v>31</v>
      </c>
      <c r="L482" t="s">
        <v>39</v>
      </c>
      <c r="M482" t="s">
        <v>84</v>
      </c>
      <c r="N482">
        <f>Sheet1[[#This Row],[Quantity]]*Sheet1[[#This Row],[UnitPrice]]</f>
        <v>2523.8999999999996</v>
      </c>
    </row>
    <row r="483" spans="1:14" x14ac:dyDescent="0.3">
      <c r="A483" s="1">
        <v>45777</v>
      </c>
      <c r="B483" t="s">
        <v>915</v>
      </c>
      <c r="C483" t="s">
        <v>25</v>
      </c>
      <c r="D483" t="s">
        <v>26</v>
      </c>
      <c r="E483" t="s">
        <v>42</v>
      </c>
      <c r="F483">
        <v>7</v>
      </c>
      <c r="G483">
        <v>227.57</v>
      </c>
      <c r="H483" t="s">
        <v>18</v>
      </c>
      <c r="I483" t="s">
        <v>916</v>
      </c>
      <c r="J483" t="s">
        <v>58</v>
      </c>
      <c r="K483" t="s">
        <v>45</v>
      </c>
      <c r="L483" t="s">
        <v>22</v>
      </c>
      <c r="M483" t="s">
        <v>76</v>
      </c>
      <c r="N483">
        <f>Sheet1[[#This Row],[Quantity]]*Sheet1[[#This Row],[UnitPrice]]</f>
        <v>1592.99</v>
      </c>
    </row>
    <row r="484" spans="1:14" x14ac:dyDescent="0.3">
      <c r="A484" s="1">
        <v>45580</v>
      </c>
      <c r="B484" t="s">
        <v>917</v>
      </c>
      <c r="C484" t="s">
        <v>15</v>
      </c>
      <c r="D484" t="s">
        <v>26</v>
      </c>
      <c r="E484" t="s">
        <v>42</v>
      </c>
      <c r="F484">
        <v>4</v>
      </c>
      <c r="G484">
        <v>201.54</v>
      </c>
      <c r="H484" t="s">
        <v>53</v>
      </c>
      <c r="I484" t="s">
        <v>918</v>
      </c>
      <c r="J484" t="s">
        <v>30</v>
      </c>
      <c r="K484" t="s">
        <v>59</v>
      </c>
      <c r="L484" t="s">
        <v>22</v>
      </c>
      <c r="M484" t="s">
        <v>84</v>
      </c>
      <c r="N484">
        <f>Sheet1[[#This Row],[Quantity]]*Sheet1[[#This Row],[UnitPrice]]</f>
        <v>806.16</v>
      </c>
    </row>
    <row r="485" spans="1:14" x14ac:dyDescent="0.3">
      <c r="A485" s="1">
        <v>45490</v>
      </c>
      <c r="B485" t="s">
        <v>383</v>
      </c>
      <c r="C485" t="s">
        <v>63</v>
      </c>
      <c r="D485" t="s">
        <v>26</v>
      </c>
      <c r="E485" t="s">
        <v>35</v>
      </c>
      <c r="F485">
        <v>3</v>
      </c>
      <c r="G485">
        <v>295.11</v>
      </c>
      <c r="H485" t="s">
        <v>36</v>
      </c>
      <c r="I485" t="s">
        <v>919</v>
      </c>
      <c r="J485" t="s">
        <v>58</v>
      </c>
      <c r="K485" t="s">
        <v>59</v>
      </c>
      <c r="L485" t="s">
        <v>22</v>
      </c>
      <c r="M485" t="s">
        <v>76</v>
      </c>
      <c r="N485">
        <f>Sheet1[[#This Row],[Quantity]]*Sheet1[[#This Row],[UnitPrice]]</f>
        <v>885.33</v>
      </c>
    </row>
    <row r="486" spans="1:14" x14ac:dyDescent="0.3">
      <c r="A486" s="1">
        <v>45691</v>
      </c>
      <c r="B486" t="s">
        <v>920</v>
      </c>
      <c r="C486" t="s">
        <v>73</v>
      </c>
      <c r="D486" t="s">
        <v>47</v>
      </c>
      <c r="E486" t="s">
        <v>27</v>
      </c>
      <c r="F486">
        <v>5</v>
      </c>
      <c r="G486">
        <v>63.15</v>
      </c>
      <c r="H486" t="s">
        <v>18</v>
      </c>
      <c r="I486" t="s">
        <v>921</v>
      </c>
      <c r="J486" t="s">
        <v>30</v>
      </c>
      <c r="K486" t="s">
        <v>21</v>
      </c>
      <c r="L486" t="s">
        <v>39</v>
      </c>
      <c r="M486" t="s">
        <v>49</v>
      </c>
      <c r="N486">
        <f>Sheet1[[#This Row],[Quantity]]*Sheet1[[#This Row],[UnitPrice]]</f>
        <v>315.75</v>
      </c>
    </row>
    <row r="487" spans="1:14" x14ac:dyDescent="0.3">
      <c r="A487" s="1">
        <v>45072</v>
      </c>
      <c r="B487" t="s">
        <v>922</v>
      </c>
      <c r="C487" t="s">
        <v>25</v>
      </c>
      <c r="D487" t="s">
        <v>74</v>
      </c>
      <c r="E487" t="s">
        <v>35</v>
      </c>
      <c r="F487">
        <v>5</v>
      </c>
      <c r="G487">
        <v>271.45</v>
      </c>
      <c r="H487" t="s">
        <v>68</v>
      </c>
      <c r="I487" t="s">
        <v>923</v>
      </c>
      <c r="J487" t="s">
        <v>44</v>
      </c>
      <c r="K487" t="s">
        <v>21</v>
      </c>
      <c r="L487" t="s">
        <v>60</v>
      </c>
      <c r="M487" t="s">
        <v>40</v>
      </c>
      <c r="N487">
        <f>Sheet1[[#This Row],[Quantity]]*Sheet1[[#This Row],[UnitPrice]]</f>
        <v>1357.25</v>
      </c>
    </row>
    <row r="488" spans="1:14" x14ac:dyDescent="0.3">
      <c r="A488" s="1">
        <v>45755</v>
      </c>
      <c r="B488" t="s">
        <v>96</v>
      </c>
      <c r="C488" t="s">
        <v>51</v>
      </c>
      <c r="D488" t="s">
        <v>26</v>
      </c>
      <c r="E488" t="s">
        <v>67</v>
      </c>
      <c r="F488">
        <v>8</v>
      </c>
      <c r="G488">
        <v>314.73</v>
      </c>
      <c r="H488" t="s">
        <v>53</v>
      </c>
      <c r="I488" t="s">
        <v>924</v>
      </c>
      <c r="J488" t="s">
        <v>38</v>
      </c>
      <c r="K488" t="s">
        <v>31</v>
      </c>
      <c r="L488" t="s">
        <v>39</v>
      </c>
      <c r="M488" t="s">
        <v>84</v>
      </c>
      <c r="N488">
        <f>Sheet1[[#This Row],[Quantity]]*Sheet1[[#This Row],[UnitPrice]]</f>
        <v>2517.84</v>
      </c>
    </row>
    <row r="489" spans="1:14" x14ac:dyDescent="0.3">
      <c r="A489" s="1">
        <v>45614</v>
      </c>
      <c r="B489" t="s">
        <v>925</v>
      </c>
      <c r="C489" t="s">
        <v>101</v>
      </c>
      <c r="D489" t="s">
        <v>74</v>
      </c>
      <c r="E489" t="s">
        <v>17</v>
      </c>
      <c r="F489">
        <v>10</v>
      </c>
      <c r="G489">
        <v>293.24</v>
      </c>
      <c r="H489" t="s">
        <v>53</v>
      </c>
      <c r="I489" t="s">
        <v>926</v>
      </c>
      <c r="J489" t="s">
        <v>38</v>
      </c>
      <c r="K489" t="s">
        <v>45</v>
      </c>
      <c r="L489" t="s">
        <v>39</v>
      </c>
      <c r="M489" t="s">
        <v>49</v>
      </c>
      <c r="N489">
        <f>Sheet1[[#This Row],[Quantity]]*Sheet1[[#This Row],[UnitPrice]]</f>
        <v>2932.4</v>
      </c>
    </row>
    <row r="490" spans="1:14" x14ac:dyDescent="0.3">
      <c r="A490" s="1">
        <v>45751</v>
      </c>
      <c r="B490" t="s">
        <v>927</v>
      </c>
      <c r="C490" t="s">
        <v>73</v>
      </c>
      <c r="D490" t="s">
        <v>16</v>
      </c>
      <c r="E490" t="s">
        <v>27</v>
      </c>
      <c r="F490">
        <v>3</v>
      </c>
      <c r="G490">
        <v>399.19</v>
      </c>
      <c r="H490" t="s">
        <v>28</v>
      </c>
      <c r="I490" t="s">
        <v>928</v>
      </c>
      <c r="J490" t="s">
        <v>44</v>
      </c>
      <c r="K490" t="s">
        <v>21</v>
      </c>
      <c r="L490" t="s">
        <v>60</v>
      </c>
      <c r="M490" t="s">
        <v>40</v>
      </c>
      <c r="N490">
        <f>Sheet1[[#This Row],[Quantity]]*Sheet1[[#This Row],[UnitPrice]]</f>
        <v>1197.57</v>
      </c>
    </row>
    <row r="491" spans="1:14" x14ac:dyDescent="0.3">
      <c r="A491" s="1">
        <v>45287</v>
      </c>
      <c r="B491" t="s">
        <v>89</v>
      </c>
      <c r="C491" t="s">
        <v>78</v>
      </c>
      <c r="D491" t="s">
        <v>74</v>
      </c>
      <c r="E491" t="s">
        <v>64</v>
      </c>
      <c r="F491">
        <v>10</v>
      </c>
      <c r="G491">
        <v>391.43</v>
      </c>
      <c r="H491" t="s">
        <v>36</v>
      </c>
      <c r="I491" t="s">
        <v>929</v>
      </c>
      <c r="J491" t="s">
        <v>30</v>
      </c>
      <c r="K491" t="s">
        <v>59</v>
      </c>
      <c r="L491" t="s">
        <v>60</v>
      </c>
      <c r="M491" t="s">
        <v>76</v>
      </c>
      <c r="N491">
        <f>Sheet1[[#This Row],[Quantity]]*Sheet1[[#This Row],[UnitPrice]]</f>
        <v>3914.3</v>
      </c>
    </row>
    <row r="492" spans="1:14" x14ac:dyDescent="0.3">
      <c r="A492" s="1">
        <v>45075</v>
      </c>
      <c r="B492" t="s">
        <v>98</v>
      </c>
      <c r="C492" t="s">
        <v>73</v>
      </c>
      <c r="D492" t="s">
        <v>74</v>
      </c>
      <c r="E492" t="s">
        <v>52</v>
      </c>
      <c r="F492">
        <v>6</v>
      </c>
      <c r="G492">
        <v>137.44999999999999</v>
      </c>
      <c r="H492" t="s">
        <v>68</v>
      </c>
      <c r="I492" t="s">
        <v>930</v>
      </c>
      <c r="J492" t="s">
        <v>44</v>
      </c>
      <c r="K492" t="s">
        <v>21</v>
      </c>
      <c r="L492" t="s">
        <v>60</v>
      </c>
      <c r="M492" t="s">
        <v>49</v>
      </c>
      <c r="N492">
        <f>Sheet1[[#This Row],[Quantity]]*Sheet1[[#This Row],[UnitPrice]]</f>
        <v>824.69999999999993</v>
      </c>
    </row>
    <row r="493" spans="1:14" x14ac:dyDescent="0.3">
      <c r="A493" s="1">
        <v>45051</v>
      </c>
      <c r="B493" t="s">
        <v>931</v>
      </c>
      <c r="C493" t="s">
        <v>90</v>
      </c>
      <c r="D493" t="s">
        <v>74</v>
      </c>
      <c r="E493" t="s">
        <v>27</v>
      </c>
      <c r="F493">
        <v>1</v>
      </c>
      <c r="G493">
        <v>132.06</v>
      </c>
      <c r="H493" t="s">
        <v>36</v>
      </c>
      <c r="I493" t="s">
        <v>932</v>
      </c>
      <c r="J493" t="s">
        <v>30</v>
      </c>
      <c r="K493" t="s">
        <v>59</v>
      </c>
      <c r="L493" t="s">
        <v>22</v>
      </c>
      <c r="M493" t="s">
        <v>40</v>
      </c>
      <c r="N493">
        <f>Sheet1[[#This Row],[Quantity]]*Sheet1[[#This Row],[UnitPrice]]</f>
        <v>132.06</v>
      </c>
    </row>
    <row r="494" spans="1:14" x14ac:dyDescent="0.3">
      <c r="A494" s="1">
        <v>45619</v>
      </c>
      <c r="B494" t="s">
        <v>888</v>
      </c>
      <c r="C494" t="s">
        <v>25</v>
      </c>
      <c r="D494" t="s">
        <v>47</v>
      </c>
      <c r="E494" t="s">
        <v>67</v>
      </c>
      <c r="F494">
        <v>4</v>
      </c>
      <c r="G494">
        <v>82.18</v>
      </c>
      <c r="H494" t="s">
        <v>36</v>
      </c>
      <c r="I494" t="s">
        <v>933</v>
      </c>
      <c r="J494" t="s">
        <v>20</v>
      </c>
      <c r="K494" t="s">
        <v>45</v>
      </c>
      <c r="L494" t="s">
        <v>22</v>
      </c>
      <c r="M494" t="s">
        <v>23</v>
      </c>
      <c r="N494">
        <f>Sheet1[[#This Row],[Quantity]]*Sheet1[[#This Row],[UnitPrice]]</f>
        <v>328.72</v>
      </c>
    </row>
    <row r="495" spans="1:14" x14ac:dyDescent="0.3">
      <c r="A495" s="1">
        <v>45815</v>
      </c>
      <c r="B495" t="s">
        <v>934</v>
      </c>
      <c r="C495" t="s">
        <v>15</v>
      </c>
      <c r="D495" t="s">
        <v>26</v>
      </c>
      <c r="E495" t="s">
        <v>42</v>
      </c>
      <c r="F495">
        <v>10</v>
      </c>
      <c r="G495">
        <v>382.95</v>
      </c>
      <c r="H495" t="s">
        <v>18</v>
      </c>
      <c r="I495" t="s">
        <v>935</v>
      </c>
      <c r="J495" t="s">
        <v>20</v>
      </c>
      <c r="K495" t="s">
        <v>59</v>
      </c>
      <c r="L495" t="s">
        <v>39</v>
      </c>
      <c r="M495" t="s">
        <v>23</v>
      </c>
      <c r="N495">
        <f>Sheet1[[#This Row],[Quantity]]*Sheet1[[#This Row],[UnitPrice]]</f>
        <v>3829.5</v>
      </c>
    </row>
    <row r="496" spans="1:14" x14ac:dyDescent="0.3">
      <c r="A496" s="1">
        <v>45757</v>
      </c>
      <c r="B496" t="s">
        <v>833</v>
      </c>
      <c r="C496" t="s">
        <v>34</v>
      </c>
      <c r="D496" t="s">
        <v>74</v>
      </c>
      <c r="E496" t="s">
        <v>64</v>
      </c>
      <c r="F496">
        <v>7</v>
      </c>
      <c r="G496">
        <v>373.69</v>
      </c>
      <c r="H496" t="s">
        <v>18</v>
      </c>
      <c r="I496" t="s">
        <v>936</v>
      </c>
      <c r="J496" t="s">
        <v>20</v>
      </c>
      <c r="K496" t="s">
        <v>21</v>
      </c>
      <c r="L496" t="s">
        <v>22</v>
      </c>
      <c r="M496" t="s">
        <v>32</v>
      </c>
      <c r="N496">
        <f>Sheet1[[#This Row],[Quantity]]*Sheet1[[#This Row],[UnitPrice]]</f>
        <v>2615.83</v>
      </c>
    </row>
    <row r="497" spans="1:14" x14ac:dyDescent="0.3">
      <c r="A497" s="1">
        <v>45007</v>
      </c>
      <c r="B497" t="s">
        <v>223</v>
      </c>
      <c r="C497" t="s">
        <v>51</v>
      </c>
      <c r="D497" t="s">
        <v>26</v>
      </c>
      <c r="E497" t="s">
        <v>52</v>
      </c>
      <c r="F497">
        <v>5</v>
      </c>
      <c r="G497">
        <v>394.28</v>
      </c>
      <c r="H497" t="s">
        <v>68</v>
      </c>
      <c r="I497" t="s">
        <v>937</v>
      </c>
      <c r="J497" t="s">
        <v>38</v>
      </c>
      <c r="K497" t="s">
        <v>31</v>
      </c>
      <c r="L497" t="s">
        <v>60</v>
      </c>
      <c r="M497" t="s">
        <v>76</v>
      </c>
      <c r="N497">
        <f>Sheet1[[#This Row],[Quantity]]*Sheet1[[#This Row],[UnitPrice]]</f>
        <v>1971.3999999999999</v>
      </c>
    </row>
    <row r="498" spans="1:14" x14ac:dyDescent="0.3">
      <c r="A498" s="1">
        <v>44931</v>
      </c>
      <c r="B498" t="s">
        <v>938</v>
      </c>
      <c r="C498" t="s">
        <v>78</v>
      </c>
      <c r="D498" t="s">
        <v>74</v>
      </c>
      <c r="E498" t="s">
        <v>27</v>
      </c>
      <c r="F498">
        <v>4</v>
      </c>
      <c r="G498">
        <v>13.69</v>
      </c>
      <c r="H498" t="s">
        <v>28</v>
      </c>
      <c r="I498" t="s">
        <v>939</v>
      </c>
      <c r="J498" t="s">
        <v>20</v>
      </c>
      <c r="K498" t="s">
        <v>59</v>
      </c>
      <c r="L498" t="s">
        <v>39</v>
      </c>
      <c r="M498" t="s">
        <v>32</v>
      </c>
      <c r="N498">
        <f>Sheet1[[#This Row],[Quantity]]*Sheet1[[#This Row],[UnitPrice]]</f>
        <v>54.76</v>
      </c>
    </row>
    <row r="499" spans="1:14" x14ac:dyDescent="0.3">
      <c r="A499" s="1">
        <v>45384</v>
      </c>
      <c r="B499" t="s">
        <v>754</v>
      </c>
      <c r="C499" t="s">
        <v>90</v>
      </c>
      <c r="D499" t="s">
        <v>26</v>
      </c>
      <c r="E499" t="s">
        <v>67</v>
      </c>
      <c r="F499">
        <v>9</v>
      </c>
      <c r="G499">
        <v>232.17</v>
      </c>
      <c r="H499" t="s">
        <v>36</v>
      </c>
      <c r="I499" t="s">
        <v>940</v>
      </c>
      <c r="J499" t="s">
        <v>30</v>
      </c>
      <c r="K499" t="s">
        <v>45</v>
      </c>
      <c r="L499" t="s">
        <v>39</v>
      </c>
      <c r="M499" t="s">
        <v>84</v>
      </c>
      <c r="N499">
        <f>Sheet1[[#This Row],[Quantity]]*Sheet1[[#This Row],[UnitPrice]]</f>
        <v>2089.5299999999997</v>
      </c>
    </row>
    <row r="500" spans="1:14" x14ac:dyDescent="0.3">
      <c r="A500" s="1">
        <v>45589</v>
      </c>
      <c r="B500" t="s">
        <v>941</v>
      </c>
      <c r="C500" t="s">
        <v>25</v>
      </c>
      <c r="D500" t="s">
        <v>74</v>
      </c>
      <c r="E500" t="s">
        <v>64</v>
      </c>
      <c r="F500">
        <v>3</v>
      </c>
      <c r="G500">
        <v>218.33</v>
      </c>
      <c r="H500" t="s">
        <v>53</v>
      </c>
      <c r="I500" t="s">
        <v>942</v>
      </c>
      <c r="J500" t="s">
        <v>44</v>
      </c>
      <c r="K500" t="s">
        <v>45</v>
      </c>
      <c r="L500" t="s">
        <v>60</v>
      </c>
      <c r="M500" t="s">
        <v>32</v>
      </c>
      <c r="N500">
        <f>Sheet1[[#This Row],[Quantity]]*Sheet1[[#This Row],[UnitPrice]]</f>
        <v>654.99</v>
      </c>
    </row>
    <row r="501" spans="1:14" x14ac:dyDescent="0.3">
      <c r="A501" s="1">
        <v>45306</v>
      </c>
      <c r="B501" t="s">
        <v>373</v>
      </c>
      <c r="C501" t="s">
        <v>25</v>
      </c>
      <c r="D501" t="s">
        <v>74</v>
      </c>
      <c r="E501" t="s">
        <v>67</v>
      </c>
      <c r="F501">
        <v>5</v>
      </c>
      <c r="G501">
        <v>236.66</v>
      </c>
      <c r="H501" t="s">
        <v>36</v>
      </c>
      <c r="I501" t="s">
        <v>943</v>
      </c>
      <c r="J501" t="s">
        <v>30</v>
      </c>
      <c r="K501" t="s">
        <v>59</v>
      </c>
      <c r="L501" t="s">
        <v>39</v>
      </c>
      <c r="M501" t="s">
        <v>49</v>
      </c>
      <c r="N501">
        <f>Sheet1[[#This Row],[Quantity]]*Sheet1[[#This Row],[UnitPrice]]</f>
        <v>1183.3</v>
      </c>
    </row>
    <row r="502" spans="1:14" x14ac:dyDescent="0.3">
      <c r="A502" s="1">
        <v>45038</v>
      </c>
      <c r="B502" t="s">
        <v>944</v>
      </c>
      <c r="C502" t="s">
        <v>73</v>
      </c>
      <c r="D502" t="s">
        <v>26</v>
      </c>
      <c r="E502" t="s">
        <v>35</v>
      </c>
      <c r="F502">
        <v>1</v>
      </c>
      <c r="G502">
        <v>19.88</v>
      </c>
      <c r="H502" t="s">
        <v>68</v>
      </c>
      <c r="I502" t="s">
        <v>945</v>
      </c>
      <c r="J502" t="s">
        <v>30</v>
      </c>
      <c r="K502" t="s">
        <v>59</v>
      </c>
      <c r="L502" t="s">
        <v>39</v>
      </c>
      <c r="M502" t="s">
        <v>23</v>
      </c>
      <c r="N502">
        <f>Sheet1[[#This Row],[Quantity]]*Sheet1[[#This Row],[UnitPrice]]</f>
        <v>19.88</v>
      </c>
    </row>
    <row r="503" spans="1:14" x14ac:dyDescent="0.3">
      <c r="A503" s="1">
        <v>45437</v>
      </c>
      <c r="B503" t="s">
        <v>700</v>
      </c>
      <c r="C503" t="s">
        <v>25</v>
      </c>
      <c r="D503" t="s">
        <v>16</v>
      </c>
      <c r="E503" t="s">
        <v>17</v>
      </c>
      <c r="F503">
        <v>5</v>
      </c>
      <c r="G503">
        <v>12.84</v>
      </c>
      <c r="H503" t="s">
        <v>53</v>
      </c>
      <c r="I503" t="s">
        <v>946</v>
      </c>
      <c r="J503" t="s">
        <v>58</v>
      </c>
      <c r="K503" t="s">
        <v>45</v>
      </c>
      <c r="L503" t="s">
        <v>60</v>
      </c>
      <c r="M503" t="s">
        <v>23</v>
      </c>
      <c r="N503">
        <f>Sheet1[[#This Row],[Quantity]]*Sheet1[[#This Row],[UnitPrice]]</f>
        <v>64.2</v>
      </c>
    </row>
    <row r="504" spans="1:14" x14ac:dyDescent="0.3">
      <c r="A504" s="1">
        <v>44953</v>
      </c>
      <c r="B504" t="s">
        <v>206</v>
      </c>
      <c r="C504" t="s">
        <v>78</v>
      </c>
      <c r="D504" t="s">
        <v>47</v>
      </c>
      <c r="E504" t="s">
        <v>64</v>
      </c>
      <c r="F504">
        <v>9</v>
      </c>
      <c r="G504">
        <v>113.9</v>
      </c>
      <c r="H504" t="s">
        <v>68</v>
      </c>
      <c r="I504" t="s">
        <v>947</v>
      </c>
      <c r="J504" t="s">
        <v>38</v>
      </c>
      <c r="K504" t="s">
        <v>21</v>
      </c>
      <c r="L504" t="s">
        <v>39</v>
      </c>
      <c r="M504" t="s">
        <v>40</v>
      </c>
      <c r="N504">
        <f>Sheet1[[#This Row],[Quantity]]*Sheet1[[#This Row],[UnitPrice]]</f>
        <v>1025.1000000000001</v>
      </c>
    </row>
    <row r="505" spans="1:14" x14ac:dyDescent="0.3">
      <c r="A505" s="1">
        <v>45721</v>
      </c>
      <c r="B505" t="s">
        <v>214</v>
      </c>
      <c r="C505" t="s">
        <v>56</v>
      </c>
      <c r="D505" t="s">
        <v>16</v>
      </c>
      <c r="E505" t="s">
        <v>17</v>
      </c>
      <c r="F505">
        <v>10</v>
      </c>
      <c r="G505">
        <v>313.01</v>
      </c>
      <c r="H505" t="s">
        <v>68</v>
      </c>
      <c r="I505" t="s">
        <v>948</v>
      </c>
      <c r="J505" t="s">
        <v>44</v>
      </c>
      <c r="K505" t="s">
        <v>45</v>
      </c>
      <c r="L505" t="s">
        <v>39</v>
      </c>
      <c r="M505" t="s">
        <v>76</v>
      </c>
      <c r="N505">
        <f>Sheet1[[#This Row],[Quantity]]*Sheet1[[#This Row],[UnitPrice]]</f>
        <v>3130.1</v>
      </c>
    </row>
    <row r="506" spans="1:14" x14ac:dyDescent="0.3">
      <c r="A506" s="1">
        <v>45553</v>
      </c>
      <c r="B506" t="s">
        <v>949</v>
      </c>
      <c r="C506" t="s">
        <v>34</v>
      </c>
      <c r="D506" t="s">
        <v>47</v>
      </c>
      <c r="E506" t="s">
        <v>52</v>
      </c>
      <c r="F506">
        <v>3</v>
      </c>
      <c r="G506">
        <v>276.79000000000002</v>
      </c>
      <c r="H506" t="s">
        <v>68</v>
      </c>
      <c r="I506" t="s">
        <v>950</v>
      </c>
      <c r="J506" t="s">
        <v>38</v>
      </c>
      <c r="K506" t="s">
        <v>45</v>
      </c>
      <c r="L506" t="s">
        <v>60</v>
      </c>
      <c r="M506" t="s">
        <v>76</v>
      </c>
      <c r="N506">
        <f>Sheet1[[#This Row],[Quantity]]*Sheet1[[#This Row],[UnitPrice]]</f>
        <v>830.37000000000012</v>
      </c>
    </row>
    <row r="507" spans="1:14" x14ac:dyDescent="0.3">
      <c r="A507" s="1">
        <v>45337</v>
      </c>
      <c r="B507" t="s">
        <v>951</v>
      </c>
      <c r="C507" t="s">
        <v>78</v>
      </c>
      <c r="D507" t="s">
        <v>47</v>
      </c>
      <c r="E507" t="s">
        <v>42</v>
      </c>
      <c r="F507">
        <v>4</v>
      </c>
      <c r="G507">
        <v>385.05</v>
      </c>
      <c r="H507" t="s">
        <v>53</v>
      </c>
      <c r="I507" t="s">
        <v>952</v>
      </c>
      <c r="J507" t="s">
        <v>44</v>
      </c>
      <c r="K507" t="s">
        <v>45</v>
      </c>
      <c r="L507" t="s">
        <v>60</v>
      </c>
      <c r="M507" t="s">
        <v>32</v>
      </c>
      <c r="N507">
        <f>Sheet1[[#This Row],[Quantity]]*Sheet1[[#This Row],[UnitPrice]]</f>
        <v>1540.2</v>
      </c>
    </row>
    <row r="508" spans="1:14" x14ac:dyDescent="0.3">
      <c r="A508" s="1">
        <v>45069</v>
      </c>
      <c r="B508" t="s">
        <v>660</v>
      </c>
      <c r="C508" t="s">
        <v>34</v>
      </c>
      <c r="D508" t="s">
        <v>26</v>
      </c>
      <c r="E508" t="s">
        <v>17</v>
      </c>
      <c r="F508">
        <v>4</v>
      </c>
      <c r="G508">
        <v>56.43</v>
      </c>
      <c r="H508" t="s">
        <v>36</v>
      </c>
      <c r="I508" t="s">
        <v>953</v>
      </c>
      <c r="J508" t="s">
        <v>58</v>
      </c>
      <c r="K508" t="s">
        <v>59</v>
      </c>
      <c r="L508" t="s">
        <v>39</v>
      </c>
      <c r="M508" t="s">
        <v>84</v>
      </c>
      <c r="N508">
        <f>Sheet1[[#This Row],[Quantity]]*Sheet1[[#This Row],[UnitPrice]]</f>
        <v>225.72</v>
      </c>
    </row>
    <row r="509" spans="1:14" x14ac:dyDescent="0.3">
      <c r="A509" s="1">
        <v>45472</v>
      </c>
      <c r="B509" t="s">
        <v>585</v>
      </c>
      <c r="C509" t="s">
        <v>56</v>
      </c>
      <c r="D509" t="s">
        <v>74</v>
      </c>
      <c r="E509" t="s">
        <v>17</v>
      </c>
      <c r="F509">
        <v>9</v>
      </c>
      <c r="G509">
        <v>127.4</v>
      </c>
      <c r="H509" t="s">
        <v>36</v>
      </c>
      <c r="I509" t="s">
        <v>954</v>
      </c>
      <c r="J509" t="s">
        <v>20</v>
      </c>
      <c r="K509" t="s">
        <v>31</v>
      </c>
      <c r="L509" t="s">
        <v>22</v>
      </c>
      <c r="M509" t="s">
        <v>23</v>
      </c>
      <c r="N509">
        <f>Sheet1[[#This Row],[Quantity]]*Sheet1[[#This Row],[UnitPrice]]</f>
        <v>1146.6000000000001</v>
      </c>
    </row>
    <row r="510" spans="1:14" x14ac:dyDescent="0.3">
      <c r="A510" s="1">
        <v>45502</v>
      </c>
      <c r="B510" t="s">
        <v>516</v>
      </c>
      <c r="C510" t="s">
        <v>34</v>
      </c>
      <c r="D510" t="s">
        <v>74</v>
      </c>
      <c r="E510" t="s">
        <v>67</v>
      </c>
      <c r="F510">
        <v>2</v>
      </c>
      <c r="G510">
        <v>106.96</v>
      </c>
      <c r="H510" t="s">
        <v>68</v>
      </c>
      <c r="I510" t="s">
        <v>955</v>
      </c>
      <c r="J510" t="s">
        <v>44</v>
      </c>
      <c r="K510" t="s">
        <v>21</v>
      </c>
      <c r="L510" t="s">
        <v>60</v>
      </c>
      <c r="M510" t="s">
        <v>49</v>
      </c>
      <c r="N510">
        <f>Sheet1[[#This Row],[Quantity]]*Sheet1[[#This Row],[UnitPrice]]</f>
        <v>213.92</v>
      </c>
    </row>
    <row r="511" spans="1:14" x14ac:dyDescent="0.3">
      <c r="A511" s="1">
        <v>45604</v>
      </c>
      <c r="B511" t="s">
        <v>956</v>
      </c>
      <c r="C511" t="s">
        <v>78</v>
      </c>
      <c r="D511" t="s">
        <v>16</v>
      </c>
      <c r="E511" t="s">
        <v>17</v>
      </c>
      <c r="F511">
        <v>5</v>
      </c>
      <c r="G511">
        <v>140.99</v>
      </c>
      <c r="H511" t="s">
        <v>68</v>
      </c>
      <c r="I511" t="s">
        <v>957</v>
      </c>
      <c r="J511" t="s">
        <v>44</v>
      </c>
      <c r="K511" t="s">
        <v>21</v>
      </c>
      <c r="L511" t="s">
        <v>39</v>
      </c>
      <c r="M511" t="s">
        <v>40</v>
      </c>
      <c r="N511">
        <f>Sheet1[[#This Row],[Quantity]]*Sheet1[[#This Row],[UnitPrice]]</f>
        <v>704.95</v>
      </c>
    </row>
    <row r="512" spans="1:14" x14ac:dyDescent="0.3">
      <c r="A512" s="1">
        <v>45570</v>
      </c>
      <c r="B512" t="s">
        <v>958</v>
      </c>
      <c r="C512" t="s">
        <v>90</v>
      </c>
      <c r="D512" t="s">
        <v>26</v>
      </c>
      <c r="E512" t="s">
        <v>67</v>
      </c>
      <c r="F512">
        <v>3</v>
      </c>
      <c r="G512">
        <v>54.47</v>
      </c>
      <c r="H512" t="s">
        <v>28</v>
      </c>
      <c r="I512" t="s">
        <v>959</v>
      </c>
      <c r="J512" t="s">
        <v>58</v>
      </c>
      <c r="K512" t="s">
        <v>59</v>
      </c>
      <c r="L512" t="s">
        <v>39</v>
      </c>
      <c r="M512" t="s">
        <v>23</v>
      </c>
      <c r="N512">
        <f>Sheet1[[#This Row],[Quantity]]*Sheet1[[#This Row],[UnitPrice]]</f>
        <v>163.41</v>
      </c>
    </row>
    <row r="513" spans="1:14" x14ac:dyDescent="0.3">
      <c r="A513" s="1">
        <v>45260</v>
      </c>
      <c r="B513" t="s">
        <v>773</v>
      </c>
      <c r="C513" t="s">
        <v>15</v>
      </c>
      <c r="D513" t="s">
        <v>74</v>
      </c>
      <c r="E513" t="s">
        <v>27</v>
      </c>
      <c r="F513">
        <v>7</v>
      </c>
      <c r="G513">
        <v>274.8</v>
      </c>
      <c r="H513" t="s">
        <v>68</v>
      </c>
      <c r="I513" t="s">
        <v>960</v>
      </c>
      <c r="J513" t="s">
        <v>58</v>
      </c>
      <c r="K513" t="s">
        <v>45</v>
      </c>
      <c r="L513" t="s">
        <v>39</v>
      </c>
      <c r="M513" t="s">
        <v>32</v>
      </c>
      <c r="N513">
        <f>Sheet1[[#This Row],[Quantity]]*Sheet1[[#This Row],[UnitPrice]]</f>
        <v>1923.6000000000001</v>
      </c>
    </row>
    <row r="514" spans="1:14" x14ac:dyDescent="0.3">
      <c r="A514" s="1">
        <v>45444</v>
      </c>
      <c r="B514" t="s">
        <v>961</v>
      </c>
      <c r="C514" t="s">
        <v>25</v>
      </c>
      <c r="D514" t="s">
        <v>16</v>
      </c>
      <c r="E514" t="s">
        <v>67</v>
      </c>
      <c r="F514">
        <v>1</v>
      </c>
      <c r="G514">
        <v>87.7</v>
      </c>
      <c r="H514" t="s">
        <v>28</v>
      </c>
      <c r="I514" t="s">
        <v>962</v>
      </c>
      <c r="J514" t="s">
        <v>30</v>
      </c>
      <c r="K514" t="s">
        <v>45</v>
      </c>
      <c r="L514" t="s">
        <v>39</v>
      </c>
      <c r="M514" t="s">
        <v>23</v>
      </c>
      <c r="N514">
        <f>Sheet1[[#This Row],[Quantity]]*Sheet1[[#This Row],[UnitPrice]]</f>
        <v>87.7</v>
      </c>
    </row>
    <row r="515" spans="1:14" x14ac:dyDescent="0.3">
      <c r="A515" s="1">
        <v>45328</v>
      </c>
      <c r="B515" t="s">
        <v>538</v>
      </c>
      <c r="C515" t="s">
        <v>78</v>
      </c>
      <c r="D515" t="s">
        <v>16</v>
      </c>
      <c r="E515" t="s">
        <v>42</v>
      </c>
      <c r="F515">
        <v>7</v>
      </c>
      <c r="G515">
        <v>141.83000000000001</v>
      </c>
      <c r="H515" t="s">
        <v>36</v>
      </c>
      <c r="I515" t="s">
        <v>963</v>
      </c>
      <c r="J515" t="s">
        <v>44</v>
      </c>
      <c r="K515" t="s">
        <v>31</v>
      </c>
      <c r="L515" t="s">
        <v>39</v>
      </c>
      <c r="M515" t="s">
        <v>84</v>
      </c>
      <c r="N515">
        <f>Sheet1[[#This Row],[Quantity]]*Sheet1[[#This Row],[UnitPrice]]</f>
        <v>992.81000000000006</v>
      </c>
    </row>
    <row r="516" spans="1:14" x14ac:dyDescent="0.3">
      <c r="A516" s="1">
        <v>45602</v>
      </c>
      <c r="B516" t="s">
        <v>964</v>
      </c>
      <c r="C516" t="s">
        <v>56</v>
      </c>
      <c r="D516" t="s">
        <v>47</v>
      </c>
      <c r="E516" t="s">
        <v>64</v>
      </c>
      <c r="F516">
        <v>5</v>
      </c>
      <c r="G516">
        <v>185.4</v>
      </c>
      <c r="H516" t="s">
        <v>18</v>
      </c>
      <c r="I516" t="s">
        <v>965</v>
      </c>
      <c r="J516" t="s">
        <v>58</v>
      </c>
      <c r="K516" t="s">
        <v>21</v>
      </c>
      <c r="L516" t="s">
        <v>39</v>
      </c>
      <c r="M516" t="s">
        <v>76</v>
      </c>
      <c r="N516">
        <f>Sheet1[[#This Row],[Quantity]]*Sheet1[[#This Row],[UnitPrice]]</f>
        <v>927</v>
      </c>
    </row>
    <row r="517" spans="1:14" x14ac:dyDescent="0.3">
      <c r="A517" s="1">
        <v>45600</v>
      </c>
      <c r="B517" t="s">
        <v>966</v>
      </c>
      <c r="C517" t="s">
        <v>90</v>
      </c>
      <c r="D517" t="s">
        <v>74</v>
      </c>
      <c r="E517" t="s">
        <v>52</v>
      </c>
      <c r="F517">
        <v>8</v>
      </c>
      <c r="G517">
        <v>285.94</v>
      </c>
      <c r="H517" t="s">
        <v>53</v>
      </c>
      <c r="I517" t="s">
        <v>967</v>
      </c>
      <c r="J517" t="s">
        <v>30</v>
      </c>
      <c r="K517" t="s">
        <v>59</v>
      </c>
      <c r="L517" t="s">
        <v>39</v>
      </c>
      <c r="M517" t="s">
        <v>49</v>
      </c>
      <c r="N517">
        <f>Sheet1[[#This Row],[Quantity]]*Sheet1[[#This Row],[UnitPrice]]</f>
        <v>2287.52</v>
      </c>
    </row>
    <row r="518" spans="1:14" x14ac:dyDescent="0.3">
      <c r="A518" s="1">
        <v>45821</v>
      </c>
      <c r="B518" t="s">
        <v>968</v>
      </c>
      <c r="C518" t="s">
        <v>73</v>
      </c>
      <c r="D518" t="s">
        <v>16</v>
      </c>
      <c r="E518" t="s">
        <v>67</v>
      </c>
      <c r="F518">
        <v>5</v>
      </c>
      <c r="G518">
        <v>254.62</v>
      </c>
      <c r="H518" t="s">
        <v>28</v>
      </c>
      <c r="I518" t="s">
        <v>969</v>
      </c>
      <c r="J518" t="s">
        <v>30</v>
      </c>
      <c r="K518" t="s">
        <v>31</v>
      </c>
      <c r="L518" t="s">
        <v>39</v>
      </c>
      <c r="M518" t="s">
        <v>40</v>
      </c>
      <c r="N518">
        <f>Sheet1[[#This Row],[Quantity]]*Sheet1[[#This Row],[UnitPrice]]</f>
        <v>1273.0999999999999</v>
      </c>
    </row>
    <row r="519" spans="1:14" x14ac:dyDescent="0.3">
      <c r="A519" s="1">
        <v>45098</v>
      </c>
      <c r="B519" t="s">
        <v>966</v>
      </c>
      <c r="C519" t="s">
        <v>73</v>
      </c>
      <c r="D519" t="s">
        <v>16</v>
      </c>
      <c r="E519" t="s">
        <v>27</v>
      </c>
      <c r="F519">
        <v>7</v>
      </c>
      <c r="G519">
        <v>269.37</v>
      </c>
      <c r="H519" t="s">
        <v>53</v>
      </c>
      <c r="I519" t="s">
        <v>970</v>
      </c>
      <c r="J519" t="s">
        <v>38</v>
      </c>
      <c r="K519" t="s">
        <v>45</v>
      </c>
      <c r="L519" t="s">
        <v>39</v>
      </c>
      <c r="M519" t="s">
        <v>76</v>
      </c>
      <c r="N519">
        <f>Sheet1[[#This Row],[Quantity]]*Sheet1[[#This Row],[UnitPrice]]</f>
        <v>1885.5900000000001</v>
      </c>
    </row>
    <row r="520" spans="1:14" x14ac:dyDescent="0.3">
      <c r="A520" s="1">
        <v>45279</v>
      </c>
      <c r="B520" t="s">
        <v>971</v>
      </c>
      <c r="C520" t="s">
        <v>78</v>
      </c>
      <c r="D520" t="s">
        <v>47</v>
      </c>
      <c r="E520" t="s">
        <v>64</v>
      </c>
      <c r="F520">
        <v>1</v>
      </c>
      <c r="G520">
        <v>318.93</v>
      </c>
      <c r="H520" t="s">
        <v>28</v>
      </c>
      <c r="I520" t="s">
        <v>972</v>
      </c>
      <c r="J520" t="s">
        <v>20</v>
      </c>
      <c r="K520" t="s">
        <v>21</v>
      </c>
      <c r="L520" t="s">
        <v>22</v>
      </c>
      <c r="M520" t="s">
        <v>84</v>
      </c>
      <c r="N520">
        <f>Sheet1[[#This Row],[Quantity]]*Sheet1[[#This Row],[UnitPrice]]</f>
        <v>318.93</v>
      </c>
    </row>
    <row r="521" spans="1:14" x14ac:dyDescent="0.3">
      <c r="A521" s="1">
        <v>44947</v>
      </c>
      <c r="B521" t="s">
        <v>884</v>
      </c>
      <c r="C521" t="s">
        <v>90</v>
      </c>
      <c r="D521" t="s">
        <v>16</v>
      </c>
      <c r="E521" t="s">
        <v>64</v>
      </c>
      <c r="F521">
        <v>2</v>
      </c>
      <c r="G521">
        <v>329.82</v>
      </c>
      <c r="H521" t="s">
        <v>36</v>
      </c>
      <c r="I521" t="s">
        <v>973</v>
      </c>
      <c r="J521" t="s">
        <v>38</v>
      </c>
      <c r="K521" t="s">
        <v>31</v>
      </c>
      <c r="L521" t="s">
        <v>22</v>
      </c>
      <c r="M521" t="s">
        <v>23</v>
      </c>
      <c r="N521">
        <f>Sheet1[[#This Row],[Quantity]]*Sheet1[[#This Row],[UnitPrice]]</f>
        <v>659.64</v>
      </c>
    </row>
    <row r="522" spans="1:14" x14ac:dyDescent="0.3">
      <c r="A522" s="1">
        <v>45049</v>
      </c>
      <c r="B522" t="s">
        <v>383</v>
      </c>
      <c r="C522" t="s">
        <v>25</v>
      </c>
      <c r="D522" t="s">
        <v>16</v>
      </c>
      <c r="E522" t="s">
        <v>27</v>
      </c>
      <c r="F522">
        <v>8</v>
      </c>
      <c r="G522">
        <v>359.55</v>
      </c>
      <c r="H522" t="s">
        <v>53</v>
      </c>
      <c r="I522" t="s">
        <v>974</v>
      </c>
      <c r="J522" t="s">
        <v>44</v>
      </c>
      <c r="K522" t="s">
        <v>31</v>
      </c>
      <c r="L522" t="s">
        <v>22</v>
      </c>
      <c r="M522" t="s">
        <v>76</v>
      </c>
      <c r="N522">
        <f>Sheet1[[#This Row],[Quantity]]*Sheet1[[#This Row],[UnitPrice]]</f>
        <v>2876.4</v>
      </c>
    </row>
    <row r="523" spans="1:14" x14ac:dyDescent="0.3">
      <c r="A523" s="1">
        <v>45385</v>
      </c>
      <c r="B523" t="s">
        <v>975</v>
      </c>
      <c r="C523" t="s">
        <v>34</v>
      </c>
      <c r="D523" t="s">
        <v>47</v>
      </c>
      <c r="E523" t="s">
        <v>67</v>
      </c>
      <c r="F523">
        <v>5</v>
      </c>
      <c r="G523">
        <v>366.17</v>
      </c>
      <c r="H523" t="s">
        <v>53</v>
      </c>
      <c r="I523" t="s">
        <v>976</v>
      </c>
      <c r="J523" t="s">
        <v>30</v>
      </c>
      <c r="K523" t="s">
        <v>21</v>
      </c>
      <c r="L523" t="s">
        <v>60</v>
      </c>
      <c r="M523" t="s">
        <v>76</v>
      </c>
      <c r="N523">
        <f>Sheet1[[#This Row],[Quantity]]*Sheet1[[#This Row],[UnitPrice]]</f>
        <v>1830.8500000000001</v>
      </c>
    </row>
    <row r="524" spans="1:14" x14ac:dyDescent="0.3">
      <c r="A524" s="1">
        <v>45613</v>
      </c>
      <c r="B524" t="s">
        <v>208</v>
      </c>
      <c r="C524" t="s">
        <v>15</v>
      </c>
      <c r="D524" t="s">
        <v>74</v>
      </c>
      <c r="E524" t="s">
        <v>64</v>
      </c>
      <c r="F524">
        <v>9</v>
      </c>
      <c r="G524">
        <v>303.77999999999997</v>
      </c>
      <c r="H524" t="s">
        <v>68</v>
      </c>
      <c r="I524" t="s">
        <v>977</v>
      </c>
      <c r="J524" t="s">
        <v>44</v>
      </c>
      <c r="K524" t="s">
        <v>45</v>
      </c>
      <c r="L524" t="s">
        <v>60</v>
      </c>
      <c r="M524" t="s">
        <v>61</v>
      </c>
      <c r="N524">
        <f>Sheet1[[#This Row],[Quantity]]*Sheet1[[#This Row],[UnitPrice]]</f>
        <v>2734.0199999999995</v>
      </c>
    </row>
    <row r="525" spans="1:14" x14ac:dyDescent="0.3">
      <c r="A525" s="1">
        <v>45206</v>
      </c>
      <c r="B525" t="s">
        <v>978</v>
      </c>
      <c r="C525" t="s">
        <v>90</v>
      </c>
      <c r="D525" t="s">
        <v>74</v>
      </c>
      <c r="E525" t="s">
        <v>27</v>
      </c>
      <c r="F525">
        <v>2</v>
      </c>
      <c r="G525">
        <v>124.07</v>
      </c>
      <c r="H525" t="s">
        <v>36</v>
      </c>
      <c r="I525" t="s">
        <v>979</v>
      </c>
      <c r="J525" t="s">
        <v>30</v>
      </c>
      <c r="K525" t="s">
        <v>31</v>
      </c>
      <c r="L525" t="s">
        <v>22</v>
      </c>
      <c r="M525" t="s">
        <v>23</v>
      </c>
      <c r="N525">
        <f>Sheet1[[#This Row],[Quantity]]*Sheet1[[#This Row],[UnitPrice]]</f>
        <v>248.14</v>
      </c>
    </row>
    <row r="526" spans="1:14" x14ac:dyDescent="0.3">
      <c r="A526" s="1">
        <v>45059</v>
      </c>
      <c r="B526" t="s">
        <v>842</v>
      </c>
      <c r="C526" t="s">
        <v>15</v>
      </c>
      <c r="D526" t="s">
        <v>74</v>
      </c>
      <c r="E526" t="s">
        <v>17</v>
      </c>
      <c r="F526">
        <v>6</v>
      </c>
      <c r="G526">
        <v>301.10000000000002</v>
      </c>
      <c r="H526" t="s">
        <v>36</v>
      </c>
      <c r="I526" t="s">
        <v>980</v>
      </c>
      <c r="J526" t="s">
        <v>30</v>
      </c>
      <c r="K526" t="s">
        <v>59</v>
      </c>
      <c r="L526" t="s">
        <v>22</v>
      </c>
      <c r="M526" t="s">
        <v>23</v>
      </c>
      <c r="N526">
        <f>Sheet1[[#This Row],[Quantity]]*Sheet1[[#This Row],[UnitPrice]]</f>
        <v>1806.6000000000001</v>
      </c>
    </row>
    <row r="527" spans="1:14" x14ac:dyDescent="0.3">
      <c r="A527" s="1">
        <v>45479</v>
      </c>
      <c r="B527" t="s">
        <v>981</v>
      </c>
      <c r="C527" t="s">
        <v>78</v>
      </c>
      <c r="D527" t="s">
        <v>16</v>
      </c>
      <c r="E527" t="s">
        <v>27</v>
      </c>
      <c r="F527">
        <v>4</v>
      </c>
      <c r="G527">
        <v>92.68</v>
      </c>
      <c r="H527" t="s">
        <v>28</v>
      </c>
      <c r="I527" t="s">
        <v>982</v>
      </c>
      <c r="J527" t="s">
        <v>20</v>
      </c>
      <c r="K527" t="s">
        <v>31</v>
      </c>
      <c r="L527" t="s">
        <v>22</v>
      </c>
      <c r="M527" t="s">
        <v>23</v>
      </c>
      <c r="N527">
        <f>Sheet1[[#This Row],[Quantity]]*Sheet1[[#This Row],[UnitPrice]]</f>
        <v>370.72</v>
      </c>
    </row>
    <row r="528" spans="1:14" x14ac:dyDescent="0.3">
      <c r="A528" s="1">
        <v>45458</v>
      </c>
      <c r="B528" t="s">
        <v>983</v>
      </c>
      <c r="C528" t="s">
        <v>56</v>
      </c>
      <c r="D528" t="s">
        <v>74</v>
      </c>
      <c r="E528" t="s">
        <v>42</v>
      </c>
      <c r="F528">
        <v>3</v>
      </c>
      <c r="G528">
        <v>212.07</v>
      </c>
      <c r="H528" t="s">
        <v>18</v>
      </c>
      <c r="I528" t="s">
        <v>984</v>
      </c>
      <c r="J528" t="s">
        <v>58</v>
      </c>
      <c r="K528" t="s">
        <v>59</v>
      </c>
      <c r="L528" t="s">
        <v>39</v>
      </c>
      <c r="M528" t="s">
        <v>23</v>
      </c>
      <c r="N528">
        <f>Sheet1[[#This Row],[Quantity]]*Sheet1[[#This Row],[UnitPrice]]</f>
        <v>636.21</v>
      </c>
    </row>
    <row r="529" spans="1:14" x14ac:dyDescent="0.3">
      <c r="A529" s="1">
        <v>45522</v>
      </c>
      <c r="B529" t="s">
        <v>985</v>
      </c>
      <c r="C529" t="s">
        <v>90</v>
      </c>
      <c r="D529" t="s">
        <v>74</v>
      </c>
      <c r="E529" t="s">
        <v>17</v>
      </c>
      <c r="F529">
        <v>4</v>
      </c>
      <c r="G529">
        <v>363.77</v>
      </c>
      <c r="H529" t="s">
        <v>68</v>
      </c>
      <c r="I529" t="s">
        <v>986</v>
      </c>
      <c r="J529" t="s">
        <v>20</v>
      </c>
      <c r="K529" t="s">
        <v>31</v>
      </c>
      <c r="L529" t="s">
        <v>39</v>
      </c>
      <c r="M529" t="s">
        <v>61</v>
      </c>
      <c r="N529">
        <f>Sheet1[[#This Row],[Quantity]]*Sheet1[[#This Row],[UnitPrice]]</f>
        <v>1455.08</v>
      </c>
    </row>
    <row r="530" spans="1:14" x14ac:dyDescent="0.3">
      <c r="A530" s="1">
        <v>45498</v>
      </c>
      <c r="B530" t="s">
        <v>154</v>
      </c>
      <c r="C530" t="s">
        <v>25</v>
      </c>
      <c r="D530" t="s">
        <v>26</v>
      </c>
      <c r="E530" t="s">
        <v>67</v>
      </c>
      <c r="F530">
        <v>3</v>
      </c>
      <c r="G530">
        <v>202.35</v>
      </c>
      <c r="H530" t="s">
        <v>18</v>
      </c>
      <c r="I530" t="s">
        <v>987</v>
      </c>
      <c r="J530" t="s">
        <v>20</v>
      </c>
      <c r="K530" t="s">
        <v>31</v>
      </c>
      <c r="L530" t="s">
        <v>39</v>
      </c>
      <c r="M530" t="s">
        <v>32</v>
      </c>
      <c r="N530">
        <f>Sheet1[[#This Row],[Quantity]]*Sheet1[[#This Row],[UnitPrice]]</f>
        <v>607.04999999999995</v>
      </c>
    </row>
    <row r="531" spans="1:14" x14ac:dyDescent="0.3">
      <c r="A531" s="1">
        <v>45808</v>
      </c>
      <c r="B531" t="s">
        <v>728</v>
      </c>
      <c r="C531" t="s">
        <v>51</v>
      </c>
      <c r="D531" t="s">
        <v>74</v>
      </c>
      <c r="E531" t="s">
        <v>67</v>
      </c>
      <c r="F531">
        <v>8</v>
      </c>
      <c r="G531">
        <v>24.61</v>
      </c>
      <c r="H531" t="s">
        <v>28</v>
      </c>
      <c r="I531" t="s">
        <v>988</v>
      </c>
      <c r="J531" t="s">
        <v>30</v>
      </c>
      <c r="K531" t="s">
        <v>31</v>
      </c>
      <c r="L531" t="s">
        <v>39</v>
      </c>
      <c r="M531" t="s">
        <v>23</v>
      </c>
      <c r="N531">
        <f>Sheet1[[#This Row],[Quantity]]*Sheet1[[#This Row],[UnitPrice]]</f>
        <v>196.88</v>
      </c>
    </row>
    <row r="532" spans="1:14" x14ac:dyDescent="0.3">
      <c r="A532" s="1">
        <v>45273</v>
      </c>
      <c r="B532" t="s">
        <v>989</v>
      </c>
      <c r="C532" t="s">
        <v>73</v>
      </c>
      <c r="D532" t="s">
        <v>26</v>
      </c>
      <c r="E532" t="s">
        <v>64</v>
      </c>
      <c r="F532">
        <v>5</v>
      </c>
      <c r="G532">
        <v>290.39999999999998</v>
      </c>
      <c r="H532" t="s">
        <v>68</v>
      </c>
      <c r="I532" t="s">
        <v>990</v>
      </c>
      <c r="J532" t="s">
        <v>20</v>
      </c>
      <c r="K532" t="s">
        <v>59</v>
      </c>
      <c r="L532" t="s">
        <v>22</v>
      </c>
      <c r="M532" t="s">
        <v>76</v>
      </c>
      <c r="N532">
        <f>Sheet1[[#This Row],[Quantity]]*Sheet1[[#This Row],[UnitPrice]]</f>
        <v>1452</v>
      </c>
    </row>
    <row r="533" spans="1:14" x14ac:dyDescent="0.3">
      <c r="A533" s="1">
        <v>45022</v>
      </c>
      <c r="B533" t="s">
        <v>991</v>
      </c>
      <c r="C533" t="s">
        <v>51</v>
      </c>
      <c r="D533" t="s">
        <v>26</v>
      </c>
      <c r="E533" t="s">
        <v>35</v>
      </c>
      <c r="F533">
        <v>6</v>
      </c>
      <c r="G533">
        <v>167.17</v>
      </c>
      <c r="H533" t="s">
        <v>36</v>
      </c>
      <c r="I533" t="s">
        <v>992</v>
      </c>
      <c r="J533" t="s">
        <v>20</v>
      </c>
      <c r="K533" t="s">
        <v>45</v>
      </c>
      <c r="L533" t="s">
        <v>39</v>
      </c>
      <c r="M533" t="s">
        <v>32</v>
      </c>
      <c r="N533">
        <f>Sheet1[[#This Row],[Quantity]]*Sheet1[[#This Row],[UnitPrice]]</f>
        <v>1003.02</v>
      </c>
    </row>
    <row r="534" spans="1:14" x14ac:dyDescent="0.3">
      <c r="A534" s="1">
        <v>45288</v>
      </c>
      <c r="B534" t="s">
        <v>993</v>
      </c>
      <c r="C534" t="s">
        <v>101</v>
      </c>
      <c r="D534" t="s">
        <v>74</v>
      </c>
      <c r="E534" t="s">
        <v>64</v>
      </c>
      <c r="F534">
        <v>10</v>
      </c>
      <c r="G534">
        <v>203.5</v>
      </c>
      <c r="H534" t="s">
        <v>36</v>
      </c>
      <c r="I534" t="s">
        <v>994</v>
      </c>
      <c r="J534" t="s">
        <v>58</v>
      </c>
      <c r="K534" t="s">
        <v>21</v>
      </c>
      <c r="L534" t="s">
        <v>39</v>
      </c>
      <c r="M534" t="s">
        <v>32</v>
      </c>
      <c r="N534">
        <f>Sheet1[[#This Row],[Quantity]]*Sheet1[[#This Row],[UnitPrice]]</f>
        <v>2035</v>
      </c>
    </row>
    <row r="535" spans="1:14" x14ac:dyDescent="0.3">
      <c r="A535" s="1">
        <v>45164</v>
      </c>
      <c r="B535" t="s">
        <v>995</v>
      </c>
      <c r="C535" t="s">
        <v>73</v>
      </c>
      <c r="D535" t="s">
        <v>47</v>
      </c>
      <c r="E535" t="s">
        <v>17</v>
      </c>
      <c r="F535">
        <v>6</v>
      </c>
      <c r="G535">
        <v>32.590000000000003</v>
      </c>
      <c r="H535" t="s">
        <v>53</v>
      </c>
      <c r="I535" t="s">
        <v>996</v>
      </c>
      <c r="J535" t="s">
        <v>44</v>
      </c>
      <c r="K535" t="s">
        <v>31</v>
      </c>
      <c r="L535" t="s">
        <v>22</v>
      </c>
      <c r="M535" t="s">
        <v>23</v>
      </c>
      <c r="N535">
        <f>Sheet1[[#This Row],[Quantity]]*Sheet1[[#This Row],[UnitPrice]]</f>
        <v>195.54000000000002</v>
      </c>
    </row>
    <row r="536" spans="1:14" x14ac:dyDescent="0.3">
      <c r="A536" s="1">
        <v>45640</v>
      </c>
      <c r="B536" t="s">
        <v>748</v>
      </c>
      <c r="C536" t="s">
        <v>78</v>
      </c>
      <c r="D536" t="s">
        <v>26</v>
      </c>
      <c r="E536" t="s">
        <v>67</v>
      </c>
      <c r="F536">
        <v>10</v>
      </c>
      <c r="G536">
        <v>106.79</v>
      </c>
      <c r="H536" t="s">
        <v>36</v>
      </c>
      <c r="I536" t="s">
        <v>997</v>
      </c>
      <c r="J536" t="s">
        <v>38</v>
      </c>
      <c r="K536" t="s">
        <v>21</v>
      </c>
      <c r="L536" t="s">
        <v>22</v>
      </c>
      <c r="M536" t="s">
        <v>23</v>
      </c>
      <c r="N536">
        <f>Sheet1[[#This Row],[Quantity]]*Sheet1[[#This Row],[UnitPrice]]</f>
        <v>1067.9000000000001</v>
      </c>
    </row>
    <row r="537" spans="1:14" x14ac:dyDescent="0.3">
      <c r="A537" s="1">
        <v>45698</v>
      </c>
      <c r="B537" t="s">
        <v>683</v>
      </c>
      <c r="C537" t="s">
        <v>90</v>
      </c>
      <c r="D537" t="s">
        <v>16</v>
      </c>
      <c r="E537" t="s">
        <v>67</v>
      </c>
      <c r="F537">
        <v>6</v>
      </c>
      <c r="G537">
        <v>61.68</v>
      </c>
      <c r="H537" t="s">
        <v>28</v>
      </c>
      <c r="I537" t="s">
        <v>998</v>
      </c>
      <c r="J537" t="s">
        <v>58</v>
      </c>
      <c r="K537" t="s">
        <v>31</v>
      </c>
      <c r="L537" t="s">
        <v>39</v>
      </c>
      <c r="M537" t="s">
        <v>49</v>
      </c>
      <c r="N537">
        <f>Sheet1[[#This Row],[Quantity]]*Sheet1[[#This Row],[UnitPrice]]</f>
        <v>370.08</v>
      </c>
    </row>
    <row r="538" spans="1:14" x14ac:dyDescent="0.3">
      <c r="A538" s="1">
        <v>45231</v>
      </c>
      <c r="B538" t="s">
        <v>999</v>
      </c>
      <c r="C538" t="s">
        <v>78</v>
      </c>
      <c r="D538" t="s">
        <v>26</v>
      </c>
      <c r="E538" t="s">
        <v>17</v>
      </c>
      <c r="F538">
        <v>2</v>
      </c>
      <c r="G538">
        <v>299.49</v>
      </c>
      <c r="H538" t="s">
        <v>68</v>
      </c>
      <c r="I538" t="s">
        <v>1000</v>
      </c>
      <c r="J538" t="s">
        <v>44</v>
      </c>
      <c r="K538" t="s">
        <v>31</v>
      </c>
      <c r="L538" t="s">
        <v>60</v>
      </c>
      <c r="M538" t="s">
        <v>76</v>
      </c>
      <c r="N538">
        <f>Sheet1[[#This Row],[Quantity]]*Sheet1[[#This Row],[UnitPrice]]</f>
        <v>598.98</v>
      </c>
    </row>
    <row r="539" spans="1:14" x14ac:dyDescent="0.3">
      <c r="A539" s="1">
        <v>45804</v>
      </c>
      <c r="B539" t="s">
        <v>1001</v>
      </c>
      <c r="C539" t="s">
        <v>15</v>
      </c>
      <c r="D539" t="s">
        <v>74</v>
      </c>
      <c r="E539" t="s">
        <v>17</v>
      </c>
      <c r="F539">
        <v>1</v>
      </c>
      <c r="G539">
        <v>397.26</v>
      </c>
      <c r="H539" t="s">
        <v>28</v>
      </c>
      <c r="I539" t="s">
        <v>1002</v>
      </c>
      <c r="J539" t="s">
        <v>30</v>
      </c>
      <c r="K539" t="s">
        <v>45</v>
      </c>
      <c r="L539" t="s">
        <v>22</v>
      </c>
      <c r="M539" t="s">
        <v>84</v>
      </c>
      <c r="N539">
        <f>Sheet1[[#This Row],[Quantity]]*Sheet1[[#This Row],[UnitPrice]]</f>
        <v>397.26</v>
      </c>
    </row>
    <row r="540" spans="1:14" x14ac:dyDescent="0.3">
      <c r="A540" s="1">
        <v>45348</v>
      </c>
      <c r="B540" t="s">
        <v>1003</v>
      </c>
      <c r="C540" t="s">
        <v>34</v>
      </c>
      <c r="D540" t="s">
        <v>74</v>
      </c>
      <c r="E540" t="s">
        <v>17</v>
      </c>
      <c r="F540">
        <v>3</v>
      </c>
      <c r="G540">
        <v>235.19</v>
      </c>
      <c r="H540" t="s">
        <v>36</v>
      </c>
      <c r="I540" t="s">
        <v>1004</v>
      </c>
      <c r="J540" t="s">
        <v>30</v>
      </c>
      <c r="K540" t="s">
        <v>31</v>
      </c>
      <c r="L540" t="s">
        <v>22</v>
      </c>
      <c r="M540" t="s">
        <v>49</v>
      </c>
      <c r="N540">
        <f>Sheet1[[#This Row],[Quantity]]*Sheet1[[#This Row],[UnitPrice]]</f>
        <v>705.56999999999994</v>
      </c>
    </row>
    <row r="541" spans="1:14" x14ac:dyDescent="0.3">
      <c r="A541" s="1">
        <v>45342</v>
      </c>
      <c r="B541" t="s">
        <v>888</v>
      </c>
      <c r="C541" t="s">
        <v>101</v>
      </c>
      <c r="D541" t="s">
        <v>47</v>
      </c>
      <c r="E541" t="s">
        <v>27</v>
      </c>
      <c r="F541">
        <v>8</v>
      </c>
      <c r="G541">
        <v>327.76</v>
      </c>
      <c r="H541" t="s">
        <v>18</v>
      </c>
      <c r="I541" t="s">
        <v>1005</v>
      </c>
      <c r="J541" t="s">
        <v>44</v>
      </c>
      <c r="K541" t="s">
        <v>31</v>
      </c>
      <c r="L541" t="s">
        <v>22</v>
      </c>
      <c r="M541" t="s">
        <v>84</v>
      </c>
      <c r="N541">
        <f>Sheet1[[#This Row],[Quantity]]*Sheet1[[#This Row],[UnitPrice]]</f>
        <v>2622.08</v>
      </c>
    </row>
    <row r="542" spans="1:14" x14ac:dyDescent="0.3">
      <c r="A542" s="1">
        <v>45678</v>
      </c>
      <c r="B542" t="s">
        <v>496</v>
      </c>
      <c r="C542" t="s">
        <v>34</v>
      </c>
      <c r="D542" t="s">
        <v>47</v>
      </c>
      <c r="E542" t="s">
        <v>27</v>
      </c>
      <c r="F542">
        <v>1</v>
      </c>
      <c r="G542">
        <v>148.44</v>
      </c>
      <c r="H542" t="s">
        <v>53</v>
      </c>
      <c r="I542" t="s">
        <v>1006</v>
      </c>
      <c r="J542" t="s">
        <v>30</v>
      </c>
      <c r="K542" t="s">
        <v>21</v>
      </c>
      <c r="L542" t="s">
        <v>39</v>
      </c>
      <c r="M542" t="s">
        <v>84</v>
      </c>
      <c r="N542">
        <f>Sheet1[[#This Row],[Quantity]]*Sheet1[[#This Row],[UnitPrice]]</f>
        <v>148.44</v>
      </c>
    </row>
    <row r="543" spans="1:14" x14ac:dyDescent="0.3">
      <c r="A543" s="1">
        <v>45331</v>
      </c>
      <c r="B543" t="s">
        <v>538</v>
      </c>
      <c r="C543" t="s">
        <v>73</v>
      </c>
      <c r="D543" t="s">
        <v>26</v>
      </c>
      <c r="E543" t="s">
        <v>67</v>
      </c>
      <c r="F543">
        <v>3</v>
      </c>
      <c r="G543">
        <v>9.0500000000000007</v>
      </c>
      <c r="H543" t="s">
        <v>36</v>
      </c>
      <c r="I543" t="s">
        <v>1007</v>
      </c>
      <c r="J543" t="s">
        <v>38</v>
      </c>
      <c r="K543" t="s">
        <v>45</v>
      </c>
      <c r="L543" t="s">
        <v>39</v>
      </c>
      <c r="M543" t="s">
        <v>40</v>
      </c>
      <c r="N543">
        <f>Sheet1[[#This Row],[Quantity]]*Sheet1[[#This Row],[UnitPrice]]</f>
        <v>27.150000000000002</v>
      </c>
    </row>
    <row r="544" spans="1:14" x14ac:dyDescent="0.3">
      <c r="A544" s="1">
        <v>44982</v>
      </c>
      <c r="B544" t="s">
        <v>246</v>
      </c>
      <c r="C544" t="s">
        <v>15</v>
      </c>
      <c r="D544" t="s">
        <v>16</v>
      </c>
      <c r="E544" t="s">
        <v>35</v>
      </c>
      <c r="F544">
        <v>6</v>
      </c>
      <c r="G544">
        <v>308.27999999999997</v>
      </c>
      <c r="H544" t="s">
        <v>18</v>
      </c>
      <c r="I544" t="s">
        <v>1008</v>
      </c>
      <c r="J544" t="s">
        <v>30</v>
      </c>
      <c r="K544" t="s">
        <v>45</v>
      </c>
      <c r="L544" t="s">
        <v>39</v>
      </c>
      <c r="M544" t="s">
        <v>23</v>
      </c>
      <c r="N544">
        <f>Sheet1[[#This Row],[Quantity]]*Sheet1[[#This Row],[UnitPrice]]</f>
        <v>1849.6799999999998</v>
      </c>
    </row>
    <row r="545" spans="1:14" x14ac:dyDescent="0.3">
      <c r="A545" s="1">
        <v>44978</v>
      </c>
      <c r="B545" t="s">
        <v>344</v>
      </c>
      <c r="C545" t="s">
        <v>73</v>
      </c>
      <c r="D545" t="s">
        <v>26</v>
      </c>
      <c r="E545" t="s">
        <v>67</v>
      </c>
      <c r="F545">
        <v>10</v>
      </c>
      <c r="G545">
        <v>358.38</v>
      </c>
      <c r="H545" t="s">
        <v>18</v>
      </c>
      <c r="I545" t="s">
        <v>1009</v>
      </c>
      <c r="J545" t="s">
        <v>44</v>
      </c>
      <c r="K545" t="s">
        <v>31</v>
      </c>
      <c r="L545" t="s">
        <v>39</v>
      </c>
      <c r="M545" t="s">
        <v>84</v>
      </c>
      <c r="N545">
        <f>Sheet1[[#This Row],[Quantity]]*Sheet1[[#This Row],[UnitPrice]]</f>
        <v>3583.8</v>
      </c>
    </row>
    <row r="546" spans="1:14" x14ac:dyDescent="0.3">
      <c r="A546" s="1">
        <v>45481</v>
      </c>
      <c r="B546" t="s">
        <v>815</v>
      </c>
      <c r="C546" t="s">
        <v>73</v>
      </c>
      <c r="D546" t="s">
        <v>16</v>
      </c>
      <c r="E546" t="s">
        <v>27</v>
      </c>
      <c r="F546">
        <v>4</v>
      </c>
      <c r="G546">
        <v>268.16000000000003</v>
      </c>
      <c r="H546" t="s">
        <v>53</v>
      </c>
      <c r="I546" t="s">
        <v>1010</v>
      </c>
      <c r="J546" t="s">
        <v>20</v>
      </c>
      <c r="K546" t="s">
        <v>31</v>
      </c>
      <c r="L546" t="s">
        <v>22</v>
      </c>
      <c r="M546" t="s">
        <v>49</v>
      </c>
      <c r="N546">
        <f>Sheet1[[#This Row],[Quantity]]*Sheet1[[#This Row],[UnitPrice]]</f>
        <v>1072.6400000000001</v>
      </c>
    </row>
    <row r="547" spans="1:14" x14ac:dyDescent="0.3">
      <c r="A547" s="1">
        <v>45466</v>
      </c>
      <c r="B547" t="s">
        <v>886</v>
      </c>
      <c r="C547" t="s">
        <v>101</v>
      </c>
      <c r="D547" t="s">
        <v>74</v>
      </c>
      <c r="E547" t="s">
        <v>52</v>
      </c>
      <c r="F547">
        <v>4</v>
      </c>
      <c r="G547">
        <v>157.13</v>
      </c>
      <c r="H547" t="s">
        <v>36</v>
      </c>
      <c r="I547" t="s">
        <v>1011</v>
      </c>
      <c r="J547" t="s">
        <v>20</v>
      </c>
      <c r="K547" t="s">
        <v>45</v>
      </c>
      <c r="L547" t="s">
        <v>22</v>
      </c>
      <c r="M547" t="s">
        <v>61</v>
      </c>
      <c r="N547">
        <f>Sheet1[[#This Row],[Quantity]]*Sheet1[[#This Row],[UnitPrice]]</f>
        <v>628.52</v>
      </c>
    </row>
    <row r="548" spans="1:14" x14ac:dyDescent="0.3">
      <c r="A548" s="1">
        <v>45813</v>
      </c>
      <c r="B548" t="s">
        <v>186</v>
      </c>
      <c r="C548" t="s">
        <v>25</v>
      </c>
      <c r="D548" t="s">
        <v>26</v>
      </c>
      <c r="E548" t="s">
        <v>42</v>
      </c>
      <c r="F548">
        <v>6</v>
      </c>
      <c r="G548">
        <v>277.18</v>
      </c>
      <c r="H548" t="s">
        <v>68</v>
      </c>
      <c r="I548" t="s">
        <v>1012</v>
      </c>
      <c r="J548" t="s">
        <v>20</v>
      </c>
      <c r="K548" t="s">
        <v>59</v>
      </c>
      <c r="L548" t="s">
        <v>39</v>
      </c>
      <c r="M548" t="s">
        <v>32</v>
      </c>
      <c r="N548">
        <f>Sheet1[[#This Row],[Quantity]]*Sheet1[[#This Row],[UnitPrice]]</f>
        <v>1663.08</v>
      </c>
    </row>
    <row r="549" spans="1:14" x14ac:dyDescent="0.3">
      <c r="A549" s="1">
        <v>45046</v>
      </c>
      <c r="B549" t="s">
        <v>1013</v>
      </c>
      <c r="C549" t="s">
        <v>51</v>
      </c>
      <c r="D549" t="s">
        <v>47</v>
      </c>
      <c r="E549" t="s">
        <v>42</v>
      </c>
      <c r="F549">
        <v>7</v>
      </c>
      <c r="G549">
        <v>306.58</v>
      </c>
      <c r="H549" t="s">
        <v>68</v>
      </c>
      <c r="I549" t="s">
        <v>1014</v>
      </c>
      <c r="J549" t="s">
        <v>58</v>
      </c>
      <c r="K549" t="s">
        <v>59</v>
      </c>
      <c r="L549" t="s">
        <v>22</v>
      </c>
      <c r="M549" t="s">
        <v>61</v>
      </c>
      <c r="N549">
        <f>Sheet1[[#This Row],[Quantity]]*Sheet1[[#This Row],[UnitPrice]]</f>
        <v>2146.06</v>
      </c>
    </row>
    <row r="550" spans="1:14" x14ac:dyDescent="0.3">
      <c r="A550" s="1">
        <v>45672</v>
      </c>
      <c r="B550" t="s">
        <v>444</v>
      </c>
      <c r="C550" t="s">
        <v>15</v>
      </c>
      <c r="D550" t="s">
        <v>26</v>
      </c>
      <c r="E550" t="s">
        <v>27</v>
      </c>
      <c r="F550">
        <v>7</v>
      </c>
      <c r="G550">
        <v>147</v>
      </c>
      <c r="H550" t="s">
        <v>28</v>
      </c>
      <c r="I550" t="s">
        <v>1015</v>
      </c>
      <c r="J550" t="s">
        <v>58</v>
      </c>
      <c r="K550" t="s">
        <v>31</v>
      </c>
      <c r="L550" t="s">
        <v>22</v>
      </c>
      <c r="M550" t="s">
        <v>76</v>
      </c>
      <c r="N550">
        <f>Sheet1[[#This Row],[Quantity]]*Sheet1[[#This Row],[UnitPrice]]</f>
        <v>1029</v>
      </c>
    </row>
    <row r="551" spans="1:14" x14ac:dyDescent="0.3">
      <c r="A551" s="1">
        <v>45040</v>
      </c>
      <c r="B551" t="s">
        <v>459</v>
      </c>
      <c r="C551" t="s">
        <v>25</v>
      </c>
      <c r="D551" t="s">
        <v>47</v>
      </c>
      <c r="E551" t="s">
        <v>67</v>
      </c>
      <c r="F551">
        <v>2</v>
      </c>
      <c r="G551">
        <v>214.89</v>
      </c>
      <c r="H551" t="s">
        <v>68</v>
      </c>
      <c r="I551" t="s">
        <v>1016</v>
      </c>
      <c r="J551" t="s">
        <v>38</v>
      </c>
      <c r="K551" t="s">
        <v>45</v>
      </c>
      <c r="L551" t="s">
        <v>22</v>
      </c>
      <c r="M551" t="s">
        <v>49</v>
      </c>
      <c r="N551">
        <f>Sheet1[[#This Row],[Quantity]]*Sheet1[[#This Row],[UnitPrice]]</f>
        <v>429.78</v>
      </c>
    </row>
    <row r="552" spans="1:14" x14ac:dyDescent="0.3">
      <c r="A552" s="1">
        <v>45161</v>
      </c>
      <c r="B552" t="s">
        <v>1017</v>
      </c>
      <c r="C552" t="s">
        <v>56</v>
      </c>
      <c r="D552" t="s">
        <v>47</v>
      </c>
      <c r="E552" t="s">
        <v>27</v>
      </c>
      <c r="F552">
        <v>7</v>
      </c>
      <c r="G552">
        <v>261.86</v>
      </c>
      <c r="H552" t="s">
        <v>53</v>
      </c>
      <c r="I552" t="s">
        <v>1018</v>
      </c>
      <c r="J552" t="s">
        <v>20</v>
      </c>
      <c r="K552" t="s">
        <v>21</v>
      </c>
      <c r="L552" t="s">
        <v>39</v>
      </c>
      <c r="M552" t="s">
        <v>76</v>
      </c>
      <c r="N552">
        <f>Sheet1[[#This Row],[Quantity]]*Sheet1[[#This Row],[UnitPrice]]</f>
        <v>1833.02</v>
      </c>
    </row>
    <row r="553" spans="1:14" x14ac:dyDescent="0.3">
      <c r="A553" s="1">
        <v>45435</v>
      </c>
      <c r="B553" t="s">
        <v>1019</v>
      </c>
      <c r="C553" t="s">
        <v>51</v>
      </c>
      <c r="D553" t="s">
        <v>26</v>
      </c>
      <c r="E553" t="s">
        <v>27</v>
      </c>
      <c r="F553">
        <v>8</v>
      </c>
      <c r="G553">
        <v>46.17</v>
      </c>
      <c r="H553" t="s">
        <v>18</v>
      </c>
      <c r="I553" t="s">
        <v>1020</v>
      </c>
      <c r="J553" t="s">
        <v>58</v>
      </c>
      <c r="K553" t="s">
        <v>31</v>
      </c>
      <c r="L553" t="s">
        <v>22</v>
      </c>
      <c r="M553" t="s">
        <v>32</v>
      </c>
      <c r="N553">
        <f>Sheet1[[#This Row],[Quantity]]*Sheet1[[#This Row],[UnitPrice]]</f>
        <v>369.36</v>
      </c>
    </row>
    <row r="554" spans="1:14" x14ac:dyDescent="0.3">
      <c r="A554" s="1">
        <v>45772</v>
      </c>
      <c r="B554" t="s">
        <v>1021</v>
      </c>
      <c r="C554" t="s">
        <v>78</v>
      </c>
      <c r="D554" t="s">
        <v>26</v>
      </c>
      <c r="E554" t="s">
        <v>64</v>
      </c>
      <c r="F554">
        <v>10</v>
      </c>
      <c r="G554">
        <v>32.119999999999997</v>
      </c>
      <c r="H554" t="s">
        <v>28</v>
      </c>
      <c r="I554" t="s">
        <v>1022</v>
      </c>
      <c r="J554" t="s">
        <v>20</v>
      </c>
      <c r="K554" t="s">
        <v>21</v>
      </c>
      <c r="L554" t="s">
        <v>39</v>
      </c>
      <c r="M554" t="s">
        <v>40</v>
      </c>
      <c r="N554">
        <f>Sheet1[[#This Row],[Quantity]]*Sheet1[[#This Row],[UnitPrice]]</f>
        <v>321.2</v>
      </c>
    </row>
    <row r="555" spans="1:14" x14ac:dyDescent="0.3">
      <c r="A555" s="1">
        <v>45008</v>
      </c>
      <c r="B555" t="s">
        <v>614</v>
      </c>
      <c r="C555" t="s">
        <v>63</v>
      </c>
      <c r="D555" t="s">
        <v>74</v>
      </c>
      <c r="E555" t="s">
        <v>64</v>
      </c>
      <c r="F555">
        <v>9</v>
      </c>
      <c r="G555">
        <v>323.48</v>
      </c>
      <c r="H555" t="s">
        <v>68</v>
      </c>
      <c r="I555" t="s">
        <v>1023</v>
      </c>
      <c r="J555" t="s">
        <v>58</v>
      </c>
      <c r="K555" t="s">
        <v>21</v>
      </c>
      <c r="L555" t="s">
        <v>60</v>
      </c>
      <c r="M555" t="s">
        <v>32</v>
      </c>
      <c r="N555">
        <f>Sheet1[[#This Row],[Quantity]]*Sheet1[[#This Row],[UnitPrice]]</f>
        <v>2911.32</v>
      </c>
    </row>
    <row r="556" spans="1:14" x14ac:dyDescent="0.3">
      <c r="A556" s="1">
        <v>45148</v>
      </c>
      <c r="B556" t="s">
        <v>844</v>
      </c>
      <c r="C556" t="s">
        <v>90</v>
      </c>
      <c r="D556" t="s">
        <v>47</v>
      </c>
      <c r="E556" t="s">
        <v>67</v>
      </c>
      <c r="F556">
        <v>9</v>
      </c>
      <c r="G556">
        <v>342.44</v>
      </c>
      <c r="H556" t="s">
        <v>68</v>
      </c>
      <c r="I556" t="s">
        <v>1024</v>
      </c>
      <c r="J556" t="s">
        <v>20</v>
      </c>
      <c r="K556" t="s">
        <v>31</v>
      </c>
      <c r="L556" t="s">
        <v>60</v>
      </c>
      <c r="M556" t="s">
        <v>32</v>
      </c>
      <c r="N556">
        <f>Sheet1[[#This Row],[Quantity]]*Sheet1[[#This Row],[UnitPrice]]</f>
        <v>3081.96</v>
      </c>
    </row>
    <row r="557" spans="1:14" x14ac:dyDescent="0.3">
      <c r="A557" s="1">
        <v>45801</v>
      </c>
      <c r="B557" t="s">
        <v>315</v>
      </c>
      <c r="C557" t="s">
        <v>34</v>
      </c>
      <c r="D557" t="s">
        <v>47</v>
      </c>
      <c r="E557" t="s">
        <v>67</v>
      </c>
      <c r="F557">
        <v>7</v>
      </c>
      <c r="G557">
        <v>387.3</v>
      </c>
      <c r="H557" t="s">
        <v>68</v>
      </c>
      <c r="I557" t="s">
        <v>1025</v>
      </c>
      <c r="J557" t="s">
        <v>38</v>
      </c>
      <c r="K557" t="s">
        <v>21</v>
      </c>
      <c r="L557" t="s">
        <v>22</v>
      </c>
      <c r="M557" t="s">
        <v>23</v>
      </c>
      <c r="N557">
        <f>Sheet1[[#This Row],[Quantity]]*Sheet1[[#This Row],[UnitPrice]]</f>
        <v>2711.1</v>
      </c>
    </row>
    <row r="558" spans="1:14" x14ac:dyDescent="0.3">
      <c r="A558" s="1">
        <v>45828</v>
      </c>
      <c r="B558" t="s">
        <v>614</v>
      </c>
      <c r="C558" t="s">
        <v>90</v>
      </c>
      <c r="D558" t="s">
        <v>74</v>
      </c>
      <c r="E558" t="s">
        <v>42</v>
      </c>
      <c r="F558">
        <v>6</v>
      </c>
      <c r="G558">
        <v>390.14</v>
      </c>
      <c r="H558" t="s">
        <v>28</v>
      </c>
      <c r="I558" t="s">
        <v>1026</v>
      </c>
      <c r="J558" t="s">
        <v>38</v>
      </c>
      <c r="K558" t="s">
        <v>59</v>
      </c>
      <c r="L558" t="s">
        <v>60</v>
      </c>
      <c r="M558" t="s">
        <v>40</v>
      </c>
      <c r="N558">
        <f>Sheet1[[#This Row],[Quantity]]*Sheet1[[#This Row],[UnitPrice]]</f>
        <v>2340.84</v>
      </c>
    </row>
    <row r="559" spans="1:14" x14ac:dyDescent="0.3">
      <c r="A559" s="1">
        <v>45280</v>
      </c>
      <c r="B559" t="s">
        <v>1027</v>
      </c>
      <c r="C559" t="s">
        <v>63</v>
      </c>
      <c r="D559" t="s">
        <v>47</v>
      </c>
      <c r="E559" t="s">
        <v>27</v>
      </c>
      <c r="F559">
        <v>10</v>
      </c>
      <c r="G559">
        <v>269.86</v>
      </c>
      <c r="H559" t="s">
        <v>28</v>
      </c>
      <c r="I559" t="s">
        <v>1028</v>
      </c>
      <c r="J559" t="s">
        <v>58</v>
      </c>
      <c r="K559" t="s">
        <v>21</v>
      </c>
      <c r="L559" t="s">
        <v>39</v>
      </c>
      <c r="M559" t="s">
        <v>76</v>
      </c>
      <c r="N559">
        <f>Sheet1[[#This Row],[Quantity]]*Sheet1[[#This Row],[UnitPrice]]</f>
        <v>2698.6000000000004</v>
      </c>
    </row>
    <row r="560" spans="1:14" x14ac:dyDescent="0.3">
      <c r="A560" s="1">
        <v>45035</v>
      </c>
      <c r="B560" t="s">
        <v>1029</v>
      </c>
      <c r="C560" t="s">
        <v>15</v>
      </c>
      <c r="D560" t="s">
        <v>26</v>
      </c>
      <c r="E560" t="s">
        <v>67</v>
      </c>
      <c r="F560">
        <v>2</v>
      </c>
      <c r="G560">
        <v>66.95</v>
      </c>
      <c r="H560" t="s">
        <v>68</v>
      </c>
      <c r="I560" t="s">
        <v>1030</v>
      </c>
      <c r="J560" t="s">
        <v>38</v>
      </c>
      <c r="K560" t="s">
        <v>45</v>
      </c>
      <c r="L560" t="s">
        <v>60</v>
      </c>
      <c r="M560" t="s">
        <v>76</v>
      </c>
      <c r="N560">
        <f>Sheet1[[#This Row],[Quantity]]*Sheet1[[#This Row],[UnitPrice]]</f>
        <v>133.9</v>
      </c>
    </row>
    <row r="561" spans="1:14" x14ac:dyDescent="0.3">
      <c r="A561" s="1">
        <v>45538</v>
      </c>
      <c r="B561" t="s">
        <v>1031</v>
      </c>
      <c r="C561" t="s">
        <v>34</v>
      </c>
      <c r="D561" t="s">
        <v>26</v>
      </c>
      <c r="E561" t="s">
        <v>42</v>
      </c>
      <c r="F561">
        <v>5</v>
      </c>
      <c r="G561">
        <v>227.11</v>
      </c>
      <c r="H561" t="s">
        <v>68</v>
      </c>
      <c r="I561" t="s">
        <v>1032</v>
      </c>
      <c r="J561" t="s">
        <v>44</v>
      </c>
      <c r="K561" t="s">
        <v>59</v>
      </c>
      <c r="L561" t="s">
        <v>39</v>
      </c>
      <c r="M561" t="s">
        <v>84</v>
      </c>
      <c r="N561">
        <f>Sheet1[[#This Row],[Quantity]]*Sheet1[[#This Row],[UnitPrice]]</f>
        <v>1135.5500000000002</v>
      </c>
    </row>
    <row r="562" spans="1:14" x14ac:dyDescent="0.3">
      <c r="A562" s="1">
        <v>44928</v>
      </c>
      <c r="B562" t="s">
        <v>1033</v>
      </c>
      <c r="C562" t="s">
        <v>73</v>
      </c>
      <c r="D562" t="s">
        <v>26</v>
      </c>
      <c r="E562" t="s">
        <v>42</v>
      </c>
      <c r="F562">
        <v>9</v>
      </c>
      <c r="G562">
        <v>244.52</v>
      </c>
      <c r="H562" t="s">
        <v>18</v>
      </c>
      <c r="I562" t="s">
        <v>1034</v>
      </c>
      <c r="J562" t="s">
        <v>38</v>
      </c>
      <c r="K562" t="s">
        <v>31</v>
      </c>
      <c r="L562" t="s">
        <v>39</v>
      </c>
      <c r="M562" t="s">
        <v>49</v>
      </c>
      <c r="N562">
        <f>Sheet1[[#This Row],[Quantity]]*Sheet1[[#This Row],[UnitPrice]]</f>
        <v>2200.6800000000003</v>
      </c>
    </row>
    <row r="563" spans="1:14" x14ac:dyDescent="0.3">
      <c r="A563" s="1">
        <v>45636</v>
      </c>
      <c r="B563" t="s">
        <v>379</v>
      </c>
      <c r="C563" t="s">
        <v>63</v>
      </c>
      <c r="D563" t="s">
        <v>74</v>
      </c>
      <c r="E563" t="s">
        <v>67</v>
      </c>
      <c r="F563">
        <v>1</v>
      </c>
      <c r="G563">
        <v>247.71</v>
      </c>
      <c r="H563" t="s">
        <v>36</v>
      </c>
      <c r="I563" t="s">
        <v>1035</v>
      </c>
      <c r="J563" t="s">
        <v>30</v>
      </c>
      <c r="K563" t="s">
        <v>31</v>
      </c>
      <c r="L563" t="s">
        <v>60</v>
      </c>
      <c r="M563" t="s">
        <v>84</v>
      </c>
      <c r="N563">
        <f>Sheet1[[#This Row],[Quantity]]*Sheet1[[#This Row],[UnitPrice]]</f>
        <v>247.71</v>
      </c>
    </row>
    <row r="564" spans="1:14" x14ac:dyDescent="0.3">
      <c r="A564" s="1">
        <v>44987</v>
      </c>
      <c r="B564" t="s">
        <v>383</v>
      </c>
      <c r="C564" t="s">
        <v>51</v>
      </c>
      <c r="D564" t="s">
        <v>26</v>
      </c>
      <c r="E564" t="s">
        <v>27</v>
      </c>
      <c r="F564">
        <v>1</v>
      </c>
      <c r="G564">
        <v>169.87</v>
      </c>
      <c r="H564" t="s">
        <v>68</v>
      </c>
      <c r="I564" t="s">
        <v>1036</v>
      </c>
      <c r="J564" t="s">
        <v>58</v>
      </c>
      <c r="K564" t="s">
        <v>21</v>
      </c>
      <c r="L564" t="s">
        <v>22</v>
      </c>
      <c r="M564" t="s">
        <v>32</v>
      </c>
      <c r="N564">
        <f>Sheet1[[#This Row],[Quantity]]*Sheet1[[#This Row],[UnitPrice]]</f>
        <v>169.87</v>
      </c>
    </row>
    <row r="565" spans="1:14" x14ac:dyDescent="0.3">
      <c r="A565" s="1">
        <v>45424</v>
      </c>
      <c r="B565" t="s">
        <v>1037</v>
      </c>
      <c r="C565" t="s">
        <v>56</v>
      </c>
      <c r="D565" t="s">
        <v>26</v>
      </c>
      <c r="E565" t="s">
        <v>64</v>
      </c>
      <c r="F565">
        <v>8</v>
      </c>
      <c r="G565">
        <v>95.79</v>
      </c>
      <c r="H565" t="s">
        <v>53</v>
      </c>
      <c r="I565" t="s">
        <v>1038</v>
      </c>
      <c r="J565" t="s">
        <v>58</v>
      </c>
      <c r="K565" t="s">
        <v>31</v>
      </c>
      <c r="L565" t="s">
        <v>39</v>
      </c>
      <c r="M565" t="s">
        <v>61</v>
      </c>
      <c r="N565">
        <f>Sheet1[[#This Row],[Quantity]]*Sheet1[[#This Row],[UnitPrice]]</f>
        <v>766.32</v>
      </c>
    </row>
    <row r="566" spans="1:14" x14ac:dyDescent="0.3">
      <c r="A566" s="1">
        <v>45476</v>
      </c>
      <c r="B566" t="s">
        <v>1039</v>
      </c>
      <c r="C566" t="s">
        <v>25</v>
      </c>
      <c r="D566" t="s">
        <v>26</v>
      </c>
      <c r="E566" t="s">
        <v>27</v>
      </c>
      <c r="F566">
        <v>5</v>
      </c>
      <c r="G566">
        <v>73</v>
      </c>
      <c r="H566" t="s">
        <v>36</v>
      </c>
      <c r="I566" t="s">
        <v>1040</v>
      </c>
      <c r="J566" t="s">
        <v>30</v>
      </c>
      <c r="K566" t="s">
        <v>59</v>
      </c>
      <c r="L566" t="s">
        <v>60</v>
      </c>
      <c r="M566" t="s">
        <v>76</v>
      </c>
      <c r="N566">
        <f>Sheet1[[#This Row],[Quantity]]*Sheet1[[#This Row],[UnitPrice]]</f>
        <v>365</v>
      </c>
    </row>
    <row r="567" spans="1:14" x14ac:dyDescent="0.3">
      <c r="A567" s="1">
        <v>45686</v>
      </c>
      <c r="B567" t="s">
        <v>1041</v>
      </c>
      <c r="C567" t="s">
        <v>101</v>
      </c>
      <c r="D567" t="s">
        <v>16</v>
      </c>
      <c r="E567" t="s">
        <v>35</v>
      </c>
      <c r="F567">
        <v>3</v>
      </c>
      <c r="G567">
        <v>69.33</v>
      </c>
      <c r="H567" t="s">
        <v>18</v>
      </c>
      <c r="I567" t="s">
        <v>1042</v>
      </c>
      <c r="J567" t="s">
        <v>38</v>
      </c>
      <c r="K567" t="s">
        <v>31</v>
      </c>
      <c r="L567" t="s">
        <v>60</v>
      </c>
      <c r="M567" t="s">
        <v>76</v>
      </c>
      <c r="N567">
        <f>Sheet1[[#This Row],[Quantity]]*Sheet1[[#This Row],[UnitPrice]]</f>
        <v>207.99</v>
      </c>
    </row>
    <row r="568" spans="1:14" x14ac:dyDescent="0.3">
      <c r="A568" s="1">
        <v>45020</v>
      </c>
      <c r="B568" t="s">
        <v>683</v>
      </c>
      <c r="C568" t="s">
        <v>56</v>
      </c>
      <c r="D568" t="s">
        <v>16</v>
      </c>
      <c r="E568" t="s">
        <v>52</v>
      </c>
      <c r="F568">
        <v>3</v>
      </c>
      <c r="G568">
        <v>141.97999999999999</v>
      </c>
      <c r="H568" t="s">
        <v>18</v>
      </c>
      <c r="I568" t="s">
        <v>1043</v>
      </c>
      <c r="J568" t="s">
        <v>44</v>
      </c>
      <c r="K568" t="s">
        <v>59</v>
      </c>
      <c r="L568" t="s">
        <v>39</v>
      </c>
      <c r="M568" t="s">
        <v>84</v>
      </c>
      <c r="N568">
        <f>Sheet1[[#This Row],[Quantity]]*Sheet1[[#This Row],[UnitPrice]]</f>
        <v>425.93999999999994</v>
      </c>
    </row>
    <row r="569" spans="1:14" x14ac:dyDescent="0.3">
      <c r="A569" s="1">
        <v>45653</v>
      </c>
      <c r="B569" t="s">
        <v>192</v>
      </c>
      <c r="C569" t="s">
        <v>63</v>
      </c>
      <c r="D569" t="s">
        <v>16</v>
      </c>
      <c r="E569" t="s">
        <v>27</v>
      </c>
      <c r="F569">
        <v>6</v>
      </c>
      <c r="G569">
        <v>254.72</v>
      </c>
      <c r="H569" t="s">
        <v>36</v>
      </c>
      <c r="I569" t="s">
        <v>1044</v>
      </c>
      <c r="J569" t="s">
        <v>30</v>
      </c>
      <c r="K569" t="s">
        <v>45</v>
      </c>
      <c r="L569" t="s">
        <v>60</v>
      </c>
      <c r="M569" t="s">
        <v>40</v>
      </c>
      <c r="N569">
        <f>Sheet1[[#This Row],[Quantity]]*Sheet1[[#This Row],[UnitPrice]]</f>
        <v>1528.32</v>
      </c>
    </row>
    <row r="570" spans="1:14" x14ac:dyDescent="0.3">
      <c r="A570" s="1">
        <v>45191</v>
      </c>
      <c r="B570" t="s">
        <v>1045</v>
      </c>
      <c r="C570" t="s">
        <v>51</v>
      </c>
      <c r="D570" t="s">
        <v>16</v>
      </c>
      <c r="E570" t="s">
        <v>42</v>
      </c>
      <c r="F570">
        <v>9</v>
      </c>
      <c r="G570">
        <v>166.32</v>
      </c>
      <c r="H570" t="s">
        <v>68</v>
      </c>
      <c r="I570" t="s">
        <v>1046</v>
      </c>
      <c r="J570" t="s">
        <v>58</v>
      </c>
      <c r="K570" t="s">
        <v>21</v>
      </c>
      <c r="L570" t="s">
        <v>22</v>
      </c>
      <c r="M570" t="s">
        <v>40</v>
      </c>
      <c r="N570">
        <f>Sheet1[[#This Row],[Quantity]]*Sheet1[[#This Row],[UnitPrice]]</f>
        <v>1496.8799999999999</v>
      </c>
    </row>
    <row r="571" spans="1:14" x14ac:dyDescent="0.3">
      <c r="A571" s="1">
        <v>45044</v>
      </c>
      <c r="B571" t="s">
        <v>348</v>
      </c>
      <c r="C571" t="s">
        <v>25</v>
      </c>
      <c r="D571" t="s">
        <v>74</v>
      </c>
      <c r="E571" t="s">
        <v>27</v>
      </c>
      <c r="F571">
        <v>5</v>
      </c>
      <c r="G571">
        <v>217.67</v>
      </c>
      <c r="H571" t="s">
        <v>53</v>
      </c>
      <c r="I571" t="s">
        <v>1047</v>
      </c>
      <c r="J571" t="s">
        <v>20</v>
      </c>
      <c r="K571" t="s">
        <v>59</v>
      </c>
      <c r="L571" t="s">
        <v>22</v>
      </c>
      <c r="M571" t="s">
        <v>40</v>
      </c>
      <c r="N571">
        <f>Sheet1[[#This Row],[Quantity]]*Sheet1[[#This Row],[UnitPrice]]</f>
        <v>1088.3499999999999</v>
      </c>
    </row>
    <row r="572" spans="1:14" x14ac:dyDescent="0.3">
      <c r="A572" s="1">
        <v>45078</v>
      </c>
      <c r="B572" t="s">
        <v>496</v>
      </c>
      <c r="C572" t="s">
        <v>78</v>
      </c>
      <c r="D572" t="s">
        <v>47</v>
      </c>
      <c r="E572" t="s">
        <v>27</v>
      </c>
      <c r="F572">
        <v>5</v>
      </c>
      <c r="G572">
        <v>197.52</v>
      </c>
      <c r="H572" t="s">
        <v>53</v>
      </c>
      <c r="I572" t="s">
        <v>1048</v>
      </c>
      <c r="J572" t="s">
        <v>58</v>
      </c>
      <c r="K572" t="s">
        <v>59</v>
      </c>
      <c r="L572" t="s">
        <v>39</v>
      </c>
      <c r="M572" t="s">
        <v>32</v>
      </c>
      <c r="N572">
        <f>Sheet1[[#This Row],[Quantity]]*Sheet1[[#This Row],[UnitPrice]]</f>
        <v>987.6</v>
      </c>
    </row>
    <row r="573" spans="1:14" x14ac:dyDescent="0.3">
      <c r="A573" s="1">
        <v>44974</v>
      </c>
      <c r="B573" t="s">
        <v>601</v>
      </c>
      <c r="C573" t="s">
        <v>73</v>
      </c>
      <c r="D573" t="s">
        <v>16</v>
      </c>
      <c r="E573" t="s">
        <v>42</v>
      </c>
      <c r="F573">
        <v>3</v>
      </c>
      <c r="G573">
        <v>336.99</v>
      </c>
      <c r="H573" t="s">
        <v>68</v>
      </c>
      <c r="I573" t="s">
        <v>1049</v>
      </c>
      <c r="J573" t="s">
        <v>38</v>
      </c>
      <c r="K573" t="s">
        <v>45</v>
      </c>
      <c r="L573" t="s">
        <v>60</v>
      </c>
      <c r="M573" t="s">
        <v>40</v>
      </c>
      <c r="N573">
        <f>Sheet1[[#This Row],[Quantity]]*Sheet1[[#This Row],[UnitPrice]]</f>
        <v>1010.97</v>
      </c>
    </row>
    <row r="574" spans="1:14" x14ac:dyDescent="0.3">
      <c r="A574" s="1">
        <v>45092</v>
      </c>
      <c r="B574" t="s">
        <v>1050</v>
      </c>
      <c r="C574" t="s">
        <v>78</v>
      </c>
      <c r="D574" t="s">
        <v>26</v>
      </c>
      <c r="E574" t="s">
        <v>67</v>
      </c>
      <c r="F574">
        <v>8</v>
      </c>
      <c r="G574">
        <v>61.24</v>
      </c>
      <c r="H574" t="s">
        <v>36</v>
      </c>
      <c r="I574" t="s">
        <v>1051</v>
      </c>
      <c r="J574" t="s">
        <v>38</v>
      </c>
      <c r="K574" t="s">
        <v>21</v>
      </c>
      <c r="L574" t="s">
        <v>22</v>
      </c>
      <c r="M574" t="s">
        <v>32</v>
      </c>
      <c r="N574">
        <f>Sheet1[[#This Row],[Quantity]]*Sheet1[[#This Row],[UnitPrice]]</f>
        <v>489.92</v>
      </c>
    </row>
    <row r="575" spans="1:14" x14ac:dyDescent="0.3">
      <c r="A575" s="1">
        <v>45097</v>
      </c>
      <c r="B575" t="s">
        <v>1052</v>
      </c>
      <c r="C575" t="s">
        <v>63</v>
      </c>
      <c r="D575" t="s">
        <v>26</v>
      </c>
      <c r="E575" t="s">
        <v>52</v>
      </c>
      <c r="F575">
        <v>7</v>
      </c>
      <c r="G575">
        <v>227.58</v>
      </c>
      <c r="H575" t="s">
        <v>36</v>
      </c>
      <c r="I575" t="s">
        <v>1053</v>
      </c>
      <c r="J575" t="s">
        <v>30</v>
      </c>
      <c r="K575" t="s">
        <v>59</v>
      </c>
      <c r="L575" t="s">
        <v>22</v>
      </c>
      <c r="M575" t="s">
        <v>84</v>
      </c>
      <c r="N575">
        <f>Sheet1[[#This Row],[Quantity]]*Sheet1[[#This Row],[UnitPrice]]</f>
        <v>1593.0600000000002</v>
      </c>
    </row>
    <row r="576" spans="1:14" x14ac:dyDescent="0.3">
      <c r="A576" s="1">
        <v>45593</v>
      </c>
      <c r="B576" t="s">
        <v>1054</v>
      </c>
      <c r="C576" t="s">
        <v>90</v>
      </c>
      <c r="D576" t="s">
        <v>16</v>
      </c>
      <c r="E576" t="s">
        <v>17</v>
      </c>
      <c r="F576">
        <v>9</v>
      </c>
      <c r="G576">
        <v>326.93</v>
      </c>
      <c r="H576" t="s">
        <v>53</v>
      </c>
      <c r="I576" t="s">
        <v>1055</v>
      </c>
      <c r="J576" t="s">
        <v>38</v>
      </c>
      <c r="K576" t="s">
        <v>21</v>
      </c>
      <c r="L576" t="s">
        <v>22</v>
      </c>
      <c r="M576" t="s">
        <v>49</v>
      </c>
      <c r="N576">
        <f>Sheet1[[#This Row],[Quantity]]*Sheet1[[#This Row],[UnitPrice]]</f>
        <v>2942.37</v>
      </c>
    </row>
    <row r="577" spans="1:14" x14ac:dyDescent="0.3">
      <c r="A577" s="1">
        <v>45279</v>
      </c>
      <c r="B577" t="s">
        <v>1056</v>
      </c>
      <c r="C577" t="s">
        <v>90</v>
      </c>
      <c r="D577" t="s">
        <v>47</v>
      </c>
      <c r="E577" t="s">
        <v>64</v>
      </c>
      <c r="F577">
        <v>10</v>
      </c>
      <c r="G577">
        <v>171.08</v>
      </c>
      <c r="H577" t="s">
        <v>28</v>
      </c>
      <c r="I577" t="s">
        <v>1057</v>
      </c>
      <c r="J577" t="s">
        <v>30</v>
      </c>
      <c r="K577" t="s">
        <v>21</v>
      </c>
      <c r="L577" t="s">
        <v>22</v>
      </c>
      <c r="M577" t="s">
        <v>84</v>
      </c>
      <c r="N577">
        <f>Sheet1[[#This Row],[Quantity]]*Sheet1[[#This Row],[UnitPrice]]</f>
        <v>1710.8000000000002</v>
      </c>
    </row>
    <row r="578" spans="1:14" x14ac:dyDescent="0.3">
      <c r="A578" s="1">
        <v>45780</v>
      </c>
      <c r="B578" t="s">
        <v>246</v>
      </c>
      <c r="C578" t="s">
        <v>15</v>
      </c>
      <c r="D578" t="s">
        <v>16</v>
      </c>
      <c r="E578" t="s">
        <v>27</v>
      </c>
      <c r="F578">
        <v>3</v>
      </c>
      <c r="G578">
        <v>384.42</v>
      </c>
      <c r="H578" t="s">
        <v>28</v>
      </c>
      <c r="I578" t="s">
        <v>1058</v>
      </c>
      <c r="J578" t="s">
        <v>20</v>
      </c>
      <c r="K578" t="s">
        <v>45</v>
      </c>
      <c r="L578" t="s">
        <v>39</v>
      </c>
      <c r="M578" t="s">
        <v>23</v>
      </c>
      <c r="N578">
        <f>Sheet1[[#This Row],[Quantity]]*Sheet1[[#This Row],[UnitPrice]]</f>
        <v>1153.26</v>
      </c>
    </row>
    <row r="579" spans="1:14" x14ac:dyDescent="0.3">
      <c r="A579" s="1">
        <v>45458</v>
      </c>
      <c r="B579" t="s">
        <v>553</v>
      </c>
      <c r="C579" t="s">
        <v>51</v>
      </c>
      <c r="D579" t="s">
        <v>74</v>
      </c>
      <c r="E579" t="s">
        <v>17</v>
      </c>
      <c r="F579">
        <v>4</v>
      </c>
      <c r="G579">
        <v>252.82</v>
      </c>
      <c r="H579" t="s">
        <v>36</v>
      </c>
      <c r="I579" t="s">
        <v>1059</v>
      </c>
      <c r="J579" t="s">
        <v>20</v>
      </c>
      <c r="K579" t="s">
        <v>59</v>
      </c>
      <c r="L579" t="s">
        <v>22</v>
      </c>
      <c r="M579" t="s">
        <v>23</v>
      </c>
      <c r="N579">
        <f>Sheet1[[#This Row],[Quantity]]*Sheet1[[#This Row],[UnitPrice]]</f>
        <v>1011.28</v>
      </c>
    </row>
    <row r="580" spans="1:14" x14ac:dyDescent="0.3">
      <c r="A580" s="1">
        <v>45506</v>
      </c>
      <c r="B580" t="s">
        <v>985</v>
      </c>
      <c r="C580" t="s">
        <v>51</v>
      </c>
      <c r="D580" t="s">
        <v>47</v>
      </c>
      <c r="E580" t="s">
        <v>35</v>
      </c>
      <c r="F580">
        <v>2</v>
      </c>
      <c r="G580">
        <v>316.95999999999998</v>
      </c>
      <c r="H580" t="s">
        <v>36</v>
      </c>
      <c r="I580" t="s">
        <v>1060</v>
      </c>
      <c r="J580" t="s">
        <v>20</v>
      </c>
      <c r="K580" t="s">
        <v>31</v>
      </c>
      <c r="L580" t="s">
        <v>39</v>
      </c>
      <c r="M580" t="s">
        <v>40</v>
      </c>
      <c r="N580">
        <f>Sheet1[[#This Row],[Quantity]]*Sheet1[[#This Row],[UnitPrice]]</f>
        <v>633.91999999999996</v>
      </c>
    </row>
    <row r="581" spans="1:14" x14ac:dyDescent="0.3">
      <c r="A581" s="1">
        <v>45030</v>
      </c>
      <c r="B581" t="s">
        <v>1061</v>
      </c>
      <c r="C581" t="s">
        <v>56</v>
      </c>
      <c r="D581" t="s">
        <v>26</v>
      </c>
      <c r="E581" t="s">
        <v>17</v>
      </c>
      <c r="F581">
        <v>6</v>
      </c>
      <c r="G581">
        <v>38.64</v>
      </c>
      <c r="H581" t="s">
        <v>36</v>
      </c>
      <c r="I581" t="s">
        <v>1062</v>
      </c>
      <c r="J581" t="s">
        <v>38</v>
      </c>
      <c r="K581" t="s">
        <v>31</v>
      </c>
      <c r="L581" t="s">
        <v>39</v>
      </c>
      <c r="M581" t="s">
        <v>40</v>
      </c>
      <c r="N581">
        <f>Sheet1[[#This Row],[Quantity]]*Sheet1[[#This Row],[UnitPrice]]</f>
        <v>231.84</v>
      </c>
    </row>
    <row r="582" spans="1:14" x14ac:dyDescent="0.3">
      <c r="A582" s="1">
        <v>45560</v>
      </c>
      <c r="B582" t="s">
        <v>1063</v>
      </c>
      <c r="C582" t="s">
        <v>63</v>
      </c>
      <c r="D582" t="s">
        <v>74</v>
      </c>
      <c r="E582" t="s">
        <v>52</v>
      </c>
      <c r="F582">
        <v>2</v>
      </c>
      <c r="G582">
        <v>143.61000000000001</v>
      </c>
      <c r="H582" t="s">
        <v>53</v>
      </c>
      <c r="I582" t="s">
        <v>1064</v>
      </c>
      <c r="J582" t="s">
        <v>58</v>
      </c>
      <c r="K582" t="s">
        <v>59</v>
      </c>
      <c r="L582" t="s">
        <v>39</v>
      </c>
      <c r="M582" t="s">
        <v>76</v>
      </c>
      <c r="N582">
        <f>Sheet1[[#This Row],[Quantity]]*Sheet1[[#This Row],[UnitPrice]]</f>
        <v>287.22000000000003</v>
      </c>
    </row>
    <row r="583" spans="1:14" x14ac:dyDescent="0.3">
      <c r="A583" s="1">
        <v>45642</v>
      </c>
      <c r="B583" t="s">
        <v>1065</v>
      </c>
      <c r="C583" t="s">
        <v>78</v>
      </c>
      <c r="D583" t="s">
        <v>26</v>
      </c>
      <c r="E583" t="s">
        <v>64</v>
      </c>
      <c r="F583">
        <v>3</v>
      </c>
      <c r="G583">
        <v>95.32</v>
      </c>
      <c r="H583" t="s">
        <v>53</v>
      </c>
      <c r="I583" t="s">
        <v>1066</v>
      </c>
      <c r="J583" t="s">
        <v>30</v>
      </c>
      <c r="K583" t="s">
        <v>21</v>
      </c>
      <c r="L583" t="s">
        <v>39</v>
      </c>
      <c r="M583" t="s">
        <v>49</v>
      </c>
      <c r="N583">
        <f>Sheet1[[#This Row],[Quantity]]*Sheet1[[#This Row],[UnitPrice]]</f>
        <v>285.95999999999998</v>
      </c>
    </row>
    <row r="584" spans="1:14" x14ac:dyDescent="0.3">
      <c r="A584" s="1">
        <v>45451</v>
      </c>
      <c r="B584" t="s">
        <v>311</v>
      </c>
      <c r="C584" t="s">
        <v>101</v>
      </c>
      <c r="D584" t="s">
        <v>74</v>
      </c>
      <c r="E584" t="s">
        <v>52</v>
      </c>
      <c r="F584">
        <v>1</v>
      </c>
      <c r="G584">
        <v>149.71</v>
      </c>
      <c r="H584" t="s">
        <v>53</v>
      </c>
      <c r="I584" t="s">
        <v>1067</v>
      </c>
      <c r="J584" t="s">
        <v>38</v>
      </c>
      <c r="K584" t="s">
        <v>45</v>
      </c>
      <c r="L584" t="s">
        <v>22</v>
      </c>
      <c r="M584" t="s">
        <v>23</v>
      </c>
      <c r="N584">
        <f>Sheet1[[#This Row],[Quantity]]*Sheet1[[#This Row],[UnitPrice]]</f>
        <v>149.71</v>
      </c>
    </row>
    <row r="585" spans="1:14" x14ac:dyDescent="0.3">
      <c r="A585" s="1">
        <v>45304</v>
      </c>
      <c r="B585" t="s">
        <v>1068</v>
      </c>
      <c r="C585" t="s">
        <v>15</v>
      </c>
      <c r="D585" t="s">
        <v>16</v>
      </c>
      <c r="E585" t="s">
        <v>67</v>
      </c>
      <c r="F585">
        <v>9</v>
      </c>
      <c r="G585">
        <v>108.95</v>
      </c>
      <c r="H585" t="s">
        <v>68</v>
      </c>
      <c r="I585" t="s">
        <v>1069</v>
      </c>
      <c r="J585" t="s">
        <v>44</v>
      </c>
      <c r="K585" t="s">
        <v>59</v>
      </c>
      <c r="L585" t="s">
        <v>60</v>
      </c>
      <c r="M585" t="s">
        <v>23</v>
      </c>
      <c r="N585">
        <f>Sheet1[[#This Row],[Quantity]]*Sheet1[[#This Row],[UnitPrice]]</f>
        <v>980.55000000000007</v>
      </c>
    </row>
    <row r="586" spans="1:14" x14ac:dyDescent="0.3">
      <c r="A586" s="1">
        <v>45597</v>
      </c>
      <c r="B586" t="s">
        <v>1070</v>
      </c>
      <c r="C586" t="s">
        <v>78</v>
      </c>
      <c r="D586" t="s">
        <v>16</v>
      </c>
      <c r="E586" t="s">
        <v>42</v>
      </c>
      <c r="F586">
        <v>7</v>
      </c>
      <c r="G586">
        <v>313.77</v>
      </c>
      <c r="H586" t="s">
        <v>68</v>
      </c>
      <c r="I586" t="s">
        <v>1071</v>
      </c>
      <c r="J586" t="s">
        <v>30</v>
      </c>
      <c r="K586" t="s">
        <v>31</v>
      </c>
      <c r="L586" t="s">
        <v>22</v>
      </c>
      <c r="M586" t="s">
        <v>40</v>
      </c>
      <c r="N586">
        <f>Sheet1[[#This Row],[Quantity]]*Sheet1[[#This Row],[UnitPrice]]</f>
        <v>2196.39</v>
      </c>
    </row>
    <row r="587" spans="1:14" x14ac:dyDescent="0.3">
      <c r="A587" s="1">
        <v>45111</v>
      </c>
      <c r="B587" t="s">
        <v>680</v>
      </c>
      <c r="C587" t="s">
        <v>15</v>
      </c>
      <c r="D587" t="s">
        <v>16</v>
      </c>
      <c r="E587" t="s">
        <v>35</v>
      </c>
      <c r="F587">
        <v>5</v>
      </c>
      <c r="G587">
        <v>170.54</v>
      </c>
      <c r="H587" t="s">
        <v>53</v>
      </c>
      <c r="I587" t="s">
        <v>1072</v>
      </c>
      <c r="J587" t="s">
        <v>20</v>
      </c>
      <c r="K587" t="s">
        <v>59</v>
      </c>
      <c r="L587" t="s">
        <v>39</v>
      </c>
      <c r="M587" t="s">
        <v>84</v>
      </c>
      <c r="N587">
        <f>Sheet1[[#This Row],[Quantity]]*Sheet1[[#This Row],[UnitPrice]]</f>
        <v>852.69999999999993</v>
      </c>
    </row>
    <row r="588" spans="1:14" x14ac:dyDescent="0.3">
      <c r="A588" s="1">
        <v>45023</v>
      </c>
      <c r="B588" t="s">
        <v>1073</v>
      </c>
      <c r="C588" t="s">
        <v>56</v>
      </c>
      <c r="D588" t="s">
        <v>74</v>
      </c>
      <c r="E588" t="s">
        <v>42</v>
      </c>
      <c r="F588">
        <v>4</v>
      </c>
      <c r="G588">
        <v>69.930000000000007</v>
      </c>
      <c r="H588" t="s">
        <v>68</v>
      </c>
      <c r="I588" t="s">
        <v>1074</v>
      </c>
      <c r="J588" t="s">
        <v>38</v>
      </c>
      <c r="K588" t="s">
        <v>45</v>
      </c>
      <c r="L588" t="s">
        <v>22</v>
      </c>
      <c r="M588" t="s">
        <v>40</v>
      </c>
      <c r="N588">
        <f>Sheet1[[#This Row],[Quantity]]*Sheet1[[#This Row],[UnitPrice]]</f>
        <v>279.72000000000003</v>
      </c>
    </row>
    <row r="589" spans="1:14" x14ac:dyDescent="0.3">
      <c r="A589" s="1">
        <v>45184</v>
      </c>
      <c r="B589" t="s">
        <v>483</v>
      </c>
      <c r="C589" t="s">
        <v>90</v>
      </c>
      <c r="D589" t="s">
        <v>16</v>
      </c>
      <c r="E589" t="s">
        <v>64</v>
      </c>
      <c r="F589">
        <v>10</v>
      </c>
      <c r="G589">
        <v>150.51</v>
      </c>
      <c r="H589" t="s">
        <v>68</v>
      </c>
      <c r="I589" t="s">
        <v>1075</v>
      </c>
      <c r="J589" t="s">
        <v>38</v>
      </c>
      <c r="K589" t="s">
        <v>59</v>
      </c>
      <c r="L589" t="s">
        <v>39</v>
      </c>
      <c r="M589" t="s">
        <v>40</v>
      </c>
      <c r="N589">
        <f>Sheet1[[#This Row],[Quantity]]*Sheet1[[#This Row],[UnitPrice]]</f>
        <v>1505.1</v>
      </c>
    </row>
    <row r="590" spans="1:14" x14ac:dyDescent="0.3">
      <c r="A590" s="1">
        <v>45421</v>
      </c>
      <c r="B590" t="s">
        <v>239</v>
      </c>
      <c r="C590" t="s">
        <v>25</v>
      </c>
      <c r="D590" t="s">
        <v>16</v>
      </c>
      <c r="E590" t="s">
        <v>17</v>
      </c>
      <c r="F590">
        <v>6</v>
      </c>
      <c r="G590">
        <v>373.91</v>
      </c>
      <c r="H590" t="s">
        <v>36</v>
      </c>
      <c r="I590" t="s">
        <v>1076</v>
      </c>
      <c r="J590" t="s">
        <v>38</v>
      </c>
      <c r="K590" t="s">
        <v>59</v>
      </c>
      <c r="L590" t="s">
        <v>39</v>
      </c>
      <c r="M590" t="s">
        <v>32</v>
      </c>
      <c r="N590">
        <f>Sheet1[[#This Row],[Quantity]]*Sheet1[[#This Row],[UnitPrice]]</f>
        <v>2243.46</v>
      </c>
    </row>
    <row r="591" spans="1:14" x14ac:dyDescent="0.3">
      <c r="A591" s="1">
        <v>44988</v>
      </c>
      <c r="B591" t="s">
        <v>335</v>
      </c>
      <c r="C591" t="s">
        <v>101</v>
      </c>
      <c r="D591" t="s">
        <v>74</v>
      </c>
      <c r="E591" t="s">
        <v>67</v>
      </c>
      <c r="F591">
        <v>6</v>
      </c>
      <c r="G591">
        <v>321.2</v>
      </c>
      <c r="H591" t="s">
        <v>18</v>
      </c>
      <c r="I591" t="s">
        <v>1077</v>
      </c>
      <c r="J591" t="s">
        <v>38</v>
      </c>
      <c r="K591" t="s">
        <v>59</v>
      </c>
      <c r="L591" t="s">
        <v>22</v>
      </c>
      <c r="M591" t="s">
        <v>40</v>
      </c>
      <c r="N591">
        <f>Sheet1[[#This Row],[Quantity]]*Sheet1[[#This Row],[UnitPrice]]</f>
        <v>1927.1999999999998</v>
      </c>
    </row>
    <row r="592" spans="1:14" x14ac:dyDescent="0.3">
      <c r="A592" s="1">
        <v>45165</v>
      </c>
      <c r="B592" t="s">
        <v>1078</v>
      </c>
      <c r="C592" t="s">
        <v>34</v>
      </c>
      <c r="D592" t="s">
        <v>74</v>
      </c>
      <c r="E592" t="s">
        <v>64</v>
      </c>
      <c r="F592">
        <v>1</v>
      </c>
      <c r="G592">
        <v>144.03</v>
      </c>
      <c r="H592" t="s">
        <v>18</v>
      </c>
      <c r="I592" t="s">
        <v>1079</v>
      </c>
      <c r="J592" t="s">
        <v>38</v>
      </c>
      <c r="K592" t="s">
        <v>21</v>
      </c>
      <c r="L592" t="s">
        <v>60</v>
      </c>
      <c r="M592" t="s">
        <v>61</v>
      </c>
      <c r="N592">
        <f>Sheet1[[#This Row],[Quantity]]*Sheet1[[#This Row],[UnitPrice]]</f>
        <v>144.03</v>
      </c>
    </row>
    <row r="593" spans="1:14" x14ac:dyDescent="0.3">
      <c r="A593" s="1">
        <v>45426</v>
      </c>
      <c r="B593" t="s">
        <v>516</v>
      </c>
      <c r="C593" t="s">
        <v>78</v>
      </c>
      <c r="D593" t="s">
        <v>16</v>
      </c>
      <c r="E593" t="s">
        <v>52</v>
      </c>
      <c r="F593">
        <v>9</v>
      </c>
      <c r="G593">
        <v>109.9</v>
      </c>
      <c r="H593" t="s">
        <v>28</v>
      </c>
      <c r="I593" t="s">
        <v>1080</v>
      </c>
      <c r="J593" t="s">
        <v>20</v>
      </c>
      <c r="K593" t="s">
        <v>21</v>
      </c>
      <c r="L593" t="s">
        <v>60</v>
      </c>
      <c r="M593" t="s">
        <v>84</v>
      </c>
      <c r="N593">
        <f>Sheet1[[#This Row],[Quantity]]*Sheet1[[#This Row],[UnitPrice]]</f>
        <v>989.1</v>
      </c>
    </row>
    <row r="594" spans="1:14" x14ac:dyDescent="0.3">
      <c r="A594" s="1">
        <v>45114</v>
      </c>
      <c r="B594" t="s">
        <v>1081</v>
      </c>
      <c r="C594" t="s">
        <v>34</v>
      </c>
      <c r="D594" t="s">
        <v>74</v>
      </c>
      <c r="E594" t="s">
        <v>35</v>
      </c>
      <c r="F594">
        <v>2</v>
      </c>
      <c r="G594">
        <v>360.57</v>
      </c>
      <c r="H594" t="s">
        <v>53</v>
      </c>
      <c r="I594" t="s">
        <v>1082</v>
      </c>
      <c r="J594" t="s">
        <v>30</v>
      </c>
      <c r="K594" t="s">
        <v>45</v>
      </c>
      <c r="L594" t="s">
        <v>22</v>
      </c>
      <c r="M594" t="s">
        <v>40</v>
      </c>
      <c r="N594">
        <f>Sheet1[[#This Row],[Quantity]]*Sheet1[[#This Row],[UnitPrice]]</f>
        <v>721.14</v>
      </c>
    </row>
    <row r="595" spans="1:14" x14ac:dyDescent="0.3">
      <c r="A595" s="1">
        <v>45265</v>
      </c>
      <c r="B595" t="s">
        <v>46</v>
      </c>
      <c r="C595" t="s">
        <v>73</v>
      </c>
      <c r="D595" t="s">
        <v>16</v>
      </c>
      <c r="E595" t="s">
        <v>27</v>
      </c>
      <c r="F595">
        <v>3</v>
      </c>
      <c r="G595">
        <v>271.89</v>
      </c>
      <c r="H595" t="s">
        <v>68</v>
      </c>
      <c r="I595" t="s">
        <v>1083</v>
      </c>
      <c r="J595" t="s">
        <v>30</v>
      </c>
      <c r="K595" t="s">
        <v>59</v>
      </c>
      <c r="L595" t="s">
        <v>39</v>
      </c>
      <c r="M595" t="s">
        <v>84</v>
      </c>
      <c r="N595">
        <f>Sheet1[[#This Row],[Quantity]]*Sheet1[[#This Row],[UnitPrice]]</f>
        <v>815.67</v>
      </c>
    </row>
    <row r="596" spans="1:14" x14ac:dyDescent="0.3">
      <c r="A596" s="1">
        <v>45436</v>
      </c>
      <c r="B596" t="s">
        <v>115</v>
      </c>
      <c r="C596" t="s">
        <v>63</v>
      </c>
      <c r="D596" t="s">
        <v>47</v>
      </c>
      <c r="E596" t="s">
        <v>17</v>
      </c>
      <c r="F596">
        <v>7</v>
      </c>
      <c r="G596">
        <v>306.42</v>
      </c>
      <c r="H596" t="s">
        <v>28</v>
      </c>
      <c r="I596" t="s">
        <v>1084</v>
      </c>
      <c r="J596" t="s">
        <v>58</v>
      </c>
      <c r="K596" t="s">
        <v>59</v>
      </c>
      <c r="L596" t="s">
        <v>39</v>
      </c>
      <c r="M596" t="s">
        <v>40</v>
      </c>
      <c r="N596">
        <f>Sheet1[[#This Row],[Quantity]]*Sheet1[[#This Row],[UnitPrice]]</f>
        <v>2144.94</v>
      </c>
    </row>
    <row r="597" spans="1:14" x14ac:dyDescent="0.3">
      <c r="A597" s="1">
        <v>45212</v>
      </c>
      <c r="B597" t="s">
        <v>135</v>
      </c>
      <c r="C597" t="s">
        <v>34</v>
      </c>
      <c r="D597" t="s">
        <v>16</v>
      </c>
      <c r="E597" t="s">
        <v>35</v>
      </c>
      <c r="F597">
        <v>4</v>
      </c>
      <c r="G597">
        <v>218.66</v>
      </c>
      <c r="H597" t="s">
        <v>18</v>
      </c>
      <c r="I597" t="s">
        <v>1085</v>
      </c>
      <c r="J597" t="s">
        <v>30</v>
      </c>
      <c r="K597" t="s">
        <v>31</v>
      </c>
      <c r="L597" t="s">
        <v>39</v>
      </c>
      <c r="M597" t="s">
        <v>40</v>
      </c>
      <c r="N597">
        <f>Sheet1[[#This Row],[Quantity]]*Sheet1[[#This Row],[UnitPrice]]</f>
        <v>874.64</v>
      </c>
    </row>
    <row r="598" spans="1:14" x14ac:dyDescent="0.3">
      <c r="A598" s="1">
        <v>45561</v>
      </c>
      <c r="B598" t="s">
        <v>541</v>
      </c>
      <c r="C598" t="s">
        <v>15</v>
      </c>
      <c r="D598" t="s">
        <v>47</v>
      </c>
      <c r="E598" t="s">
        <v>52</v>
      </c>
      <c r="F598">
        <v>7</v>
      </c>
      <c r="G598">
        <v>347.24</v>
      </c>
      <c r="H598" t="s">
        <v>28</v>
      </c>
      <c r="I598" t="s">
        <v>1086</v>
      </c>
      <c r="J598" t="s">
        <v>44</v>
      </c>
      <c r="K598" t="s">
        <v>45</v>
      </c>
      <c r="L598" t="s">
        <v>22</v>
      </c>
      <c r="M598" t="s">
        <v>32</v>
      </c>
      <c r="N598">
        <f>Sheet1[[#This Row],[Quantity]]*Sheet1[[#This Row],[UnitPrice]]</f>
        <v>2430.6800000000003</v>
      </c>
    </row>
    <row r="599" spans="1:14" x14ac:dyDescent="0.3">
      <c r="A599" s="1">
        <v>45601</v>
      </c>
      <c r="B599" t="s">
        <v>1087</v>
      </c>
      <c r="C599" t="s">
        <v>51</v>
      </c>
      <c r="D599" t="s">
        <v>74</v>
      </c>
      <c r="E599" t="s">
        <v>67</v>
      </c>
      <c r="F599">
        <v>5</v>
      </c>
      <c r="G599">
        <v>273.04000000000002</v>
      </c>
      <c r="H599" t="s">
        <v>36</v>
      </c>
      <c r="I599" t="s">
        <v>1088</v>
      </c>
      <c r="J599" t="s">
        <v>38</v>
      </c>
      <c r="K599" t="s">
        <v>21</v>
      </c>
      <c r="L599" t="s">
        <v>22</v>
      </c>
      <c r="M599" t="s">
        <v>84</v>
      </c>
      <c r="N599">
        <f>Sheet1[[#This Row],[Quantity]]*Sheet1[[#This Row],[UnitPrice]]</f>
        <v>1365.2</v>
      </c>
    </row>
    <row r="600" spans="1:14" x14ac:dyDescent="0.3">
      <c r="A600" s="1">
        <v>44993</v>
      </c>
      <c r="B600" t="s">
        <v>1089</v>
      </c>
      <c r="C600" t="s">
        <v>90</v>
      </c>
      <c r="D600" t="s">
        <v>74</v>
      </c>
      <c r="E600" t="s">
        <v>27</v>
      </c>
      <c r="F600">
        <v>1</v>
      </c>
      <c r="G600">
        <v>119.82</v>
      </c>
      <c r="H600" t="s">
        <v>18</v>
      </c>
      <c r="I600" t="s">
        <v>1090</v>
      </c>
      <c r="J600" t="s">
        <v>38</v>
      </c>
      <c r="K600" t="s">
        <v>21</v>
      </c>
      <c r="L600" t="s">
        <v>39</v>
      </c>
      <c r="M600" t="s">
        <v>76</v>
      </c>
      <c r="N600">
        <f>Sheet1[[#This Row],[Quantity]]*Sheet1[[#This Row],[UnitPrice]]</f>
        <v>119.82</v>
      </c>
    </row>
    <row r="601" spans="1:14" x14ac:dyDescent="0.3">
      <c r="A601" s="1">
        <v>45230</v>
      </c>
      <c r="B601" t="s">
        <v>1091</v>
      </c>
      <c r="C601" t="s">
        <v>15</v>
      </c>
      <c r="D601" t="s">
        <v>26</v>
      </c>
      <c r="E601" t="s">
        <v>67</v>
      </c>
      <c r="F601">
        <v>7</v>
      </c>
      <c r="G601">
        <v>126.74</v>
      </c>
      <c r="H601" t="s">
        <v>53</v>
      </c>
      <c r="I601" t="s">
        <v>1092</v>
      </c>
      <c r="J601" t="s">
        <v>44</v>
      </c>
      <c r="K601" t="s">
        <v>45</v>
      </c>
      <c r="L601" t="s">
        <v>22</v>
      </c>
      <c r="M601" t="s">
        <v>84</v>
      </c>
      <c r="N601">
        <f>Sheet1[[#This Row],[Quantity]]*Sheet1[[#This Row],[UnitPrice]]</f>
        <v>887.18</v>
      </c>
    </row>
    <row r="602" spans="1:14" x14ac:dyDescent="0.3">
      <c r="A602" s="1">
        <v>45712</v>
      </c>
      <c r="B602" t="s">
        <v>658</v>
      </c>
      <c r="C602" t="s">
        <v>56</v>
      </c>
      <c r="D602" t="s">
        <v>16</v>
      </c>
      <c r="E602" t="s">
        <v>42</v>
      </c>
      <c r="F602">
        <v>9</v>
      </c>
      <c r="G602">
        <v>117.55</v>
      </c>
      <c r="H602" t="s">
        <v>68</v>
      </c>
      <c r="I602" t="s">
        <v>1093</v>
      </c>
      <c r="J602" t="s">
        <v>20</v>
      </c>
      <c r="K602" t="s">
        <v>59</v>
      </c>
      <c r="L602" t="s">
        <v>60</v>
      </c>
      <c r="M602" t="s">
        <v>49</v>
      </c>
      <c r="N602">
        <f>Sheet1[[#This Row],[Quantity]]*Sheet1[[#This Row],[UnitPrice]]</f>
        <v>1057.95</v>
      </c>
    </row>
    <row r="603" spans="1:14" x14ac:dyDescent="0.3">
      <c r="A603" s="1">
        <v>45545</v>
      </c>
      <c r="B603" t="s">
        <v>127</v>
      </c>
      <c r="C603" t="s">
        <v>78</v>
      </c>
      <c r="D603" t="s">
        <v>16</v>
      </c>
      <c r="E603" t="s">
        <v>27</v>
      </c>
      <c r="F603">
        <v>8</v>
      </c>
      <c r="G603">
        <v>98.91</v>
      </c>
      <c r="H603" t="s">
        <v>28</v>
      </c>
      <c r="I603" t="s">
        <v>1094</v>
      </c>
      <c r="J603" t="s">
        <v>30</v>
      </c>
      <c r="K603" t="s">
        <v>31</v>
      </c>
      <c r="L603" t="s">
        <v>39</v>
      </c>
      <c r="M603" t="s">
        <v>84</v>
      </c>
      <c r="N603">
        <f>Sheet1[[#This Row],[Quantity]]*Sheet1[[#This Row],[UnitPrice]]</f>
        <v>791.28</v>
      </c>
    </row>
    <row r="604" spans="1:14" x14ac:dyDescent="0.3">
      <c r="A604" s="1">
        <v>45262</v>
      </c>
      <c r="B604" t="s">
        <v>579</v>
      </c>
      <c r="C604" t="s">
        <v>15</v>
      </c>
      <c r="D604" t="s">
        <v>74</v>
      </c>
      <c r="E604" t="s">
        <v>67</v>
      </c>
      <c r="F604">
        <v>8</v>
      </c>
      <c r="G604">
        <v>79.760000000000005</v>
      </c>
      <c r="H604" t="s">
        <v>36</v>
      </c>
      <c r="I604" t="s">
        <v>1095</v>
      </c>
      <c r="J604" t="s">
        <v>30</v>
      </c>
      <c r="K604" t="s">
        <v>45</v>
      </c>
      <c r="L604" t="s">
        <v>39</v>
      </c>
      <c r="M604" t="s">
        <v>23</v>
      </c>
      <c r="N604">
        <f>Sheet1[[#This Row],[Quantity]]*Sheet1[[#This Row],[UnitPrice]]</f>
        <v>638.08000000000004</v>
      </c>
    </row>
    <row r="605" spans="1:14" x14ac:dyDescent="0.3">
      <c r="A605" s="1">
        <v>45220</v>
      </c>
      <c r="B605" t="s">
        <v>1096</v>
      </c>
      <c r="C605" t="s">
        <v>56</v>
      </c>
      <c r="D605" t="s">
        <v>47</v>
      </c>
      <c r="E605" t="s">
        <v>35</v>
      </c>
      <c r="F605">
        <v>7</v>
      </c>
      <c r="G605">
        <v>190.63</v>
      </c>
      <c r="H605" t="s">
        <v>36</v>
      </c>
      <c r="I605" t="s">
        <v>1097</v>
      </c>
      <c r="J605" t="s">
        <v>58</v>
      </c>
      <c r="K605" t="s">
        <v>45</v>
      </c>
      <c r="L605" t="s">
        <v>22</v>
      </c>
      <c r="M605" t="s">
        <v>23</v>
      </c>
      <c r="N605">
        <f>Sheet1[[#This Row],[Quantity]]*Sheet1[[#This Row],[UnitPrice]]</f>
        <v>1334.4099999999999</v>
      </c>
    </row>
    <row r="606" spans="1:14" x14ac:dyDescent="0.3">
      <c r="A606" s="1">
        <v>45646</v>
      </c>
      <c r="B606" t="s">
        <v>1098</v>
      </c>
      <c r="C606" t="s">
        <v>73</v>
      </c>
      <c r="D606" t="s">
        <v>26</v>
      </c>
      <c r="E606" t="s">
        <v>52</v>
      </c>
      <c r="F606">
        <v>3</v>
      </c>
      <c r="G606">
        <v>345.32</v>
      </c>
      <c r="H606" t="s">
        <v>28</v>
      </c>
      <c r="I606" t="s">
        <v>1099</v>
      </c>
      <c r="J606" t="s">
        <v>58</v>
      </c>
      <c r="K606" t="s">
        <v>21</v>
      </c>
      <c r="L606" t="s">
        <v>39</v>
      </c>
      <c r="M606" t="s">
        <v>40</v>
      </c>
      <c r="N606">
        <f>Sheet1[[#This Row],[Quantity]]*Sheet1[[#This Row],[UnitPrice]]</f>
        <v>1035.96</v>
      </c>
    </row>
    <row r="607" spans="1:14" x14ac:dyDescent="0.3">
      <c r="A607" s="1">
        <v>45122</v>
      </c>
      <c r="B607" t="s">
        <v>1100</v>
      </c>
      <c r="C607" t="s">
        <v>25</v>
      </c>
      <c r="D607" t="s">
        <v>47</v>
      </c>
      <c r="E607" t="s">
        <v>27</v>
      </c>
      <c r="F607">
        <v>9</v>
      </c>
      <c r="G607">
        <v>262.77</v>
      </c>
      <c r="H607" t="s">
        <v>18</v>
      </c>
      <c r="I607" t="s">
        <v>1101</v>
      </c>
      <c r="J607" t="s">
        <v>58</v>
      </c>
      <c r="K607" t="s">
        <v>59</v>
      </c>
      <c r="L607" t="s">
        <v>22</v>
      </c>
      <c r="M607" t="s">
        <v>23</v>
      </c>
      <c r="N607">
        <f>Sheet1[[#This Row],[Quantity]]*Sheet1[[#This Row],[UnitPrice]]</f>
        <v>2364.9299999999998</v>
      </c>
    </row>
    <row r="608" spans="1:14" x14ac:dyDescent="0.3">
      <c r="A608" s="1">
        <v>45002</v>
      </c>
      <c r="B608" t="s">
        <v>1102</v>
      </c>
      <c r="C608" t="s">
        <v>73</v>
      </c>
      <c r="D608" t="s">
        <v>26</v>
      </c>
      <c r="E608" t="s">
        <v>17</v>
      </c>
      <c r="F608">
        <v>3</v>
      </c>
      <c r="G608">
        <v>258.06</v>
      </c>
      <c r="H608" t="s">
        <v>53</v>
      </c>
      <c r="I608" t="s">
        <v>1103</v>
      </c>
      <c r="J608" t="s">
        <v>20</v>
      </c>
      <c r="K608" t="s">
        <v>45</v>
      </c>
      <c r="L608" t="s">
        <v>60</v>
      </c>
      <c r="M608" t="s">
        <v>40</v>
      </c>
      <c r="N608">
        <f>Sheet1[[#This Row],[Quantity]]*Sheet1[[#This Row],[UnitPrice]]</f>
        <v>774.18000000000006</v>
      </c>
    </row>
    <row r="609" spans="1:14" x14ac:dyDescent="0.3">
      <c r="A609" s="1">
        <v>45811</v>
      </c>
      <c r="B609" t="s">
        <v>804</v>
      </c>
      <c r="C609" t="s">
        <v>73</v>
      </c>
      <c r="D609" t="s">
        <v>47</v>
      </c>
      <c r="E609" t="s">
        <v>17</v>
      </c>
      <c r="F609">
        <v>6</v>
      </c>
      <c r="G609">
        <v>191.08</v>
      </c>
      <c r="H609" t="s">
        <v>68</v>
      </c>
      <c r="I609" t="s">
        <v>1104</v>
      </c>
      <c r="J609" t="s">
        <v>58</v>
      </c>
      <c r="K609" t="s">
        <v>59</v>
      </c>
      <c r="L609" t="s">
        <v>22</v>
      </c>
      <c r="M609" t="s">
        <v>84</v>
      </c>
      <c r="N609">
        <f>Sheet1[[#This Row],[Quantity]]*Sheet1[[#This Row],[UnitPrice]]</f>
        <v>1146.48</v>
      </c>
    </row>
    <row r="610" spans="1:14" x14ac:dyDescent="0.3">
      <c r="A610" s="1">
        <v>45677</v>
      </c>
      <c r="B610" t="s">
        <v>765</v>
      </c>
      <c r="C610" t="s">
        <v>56</v>
      </c>
      <c r="D610" t="s">
        <v>47</v>
      </c>
      <c r="E610" t="s">
        <v>35</v>
      </c>
      <c r="F610">
        <v>6</v>
      </c>
      <c r="G610">
        <v>29.62</v>
      </c>
      <c r="H610" t="s">
        <v>18</v>
      </c>
      <c r="I610" t="s">
        <v>1105</v>
      </c>
      <c r="J610" t="s">
        <v>44</v>
      </c>
      <c r="K610" t="s">
        <v>45</v>
      </c>
      <c r="L610" t="s">
        <v>39</v>
      </c>
      <c r="M610" t="s">
        <v>49</v>
      </c>
      <c r="N610">
        <f>Sheet1[[#This Row],[Quantity]]*Sheet1[[#This Row],[UnitPrice]]</f>
        <v>177.72</v>
      </c>
    </row>
    <row r="611" spans="1:14" x14ac:dyDescent="0.3">
      <c r="A611" s="1">
        <v>45012</v>
      </c>
      <c r="B611" t="s">
        <v>1106</v>
      </c>
      <c r="C611" t="s">
        <v>56</v>
      </c>
      <c r="D611" t="s">
        <v>26</v>
      </c>
      <c r="E611" t="s">
        <v>52</v>
      </c>
      <c r="F611">
        <v>6</v>
      </c>
      <c r="G611">
        <v>65.260000000000005</v>
      </c>
      <c r="H611" t="s">
        <v>36</v>
      </c>
      <c r="I611" t="s">
        <v>1107</v>
      </c>
      <c r="J611" t="s">
        <v>20</v>
      </c>
      <c r="K611" t="s">
        <v>45</v>
      </c>
      <c r="L611" t="s">
        <v>39</v>
      </c>
      <c r="M611" t="s">
        <v>49</v>
      </c>
      <c r="N611">
        <f>Sheet1[[#This Row],[Quantity]]*Sheet1[[#This Row],[UnitPrice]]</f>
        <v>391.56000000000006</v>
      </c>
    </row>
    <row r="612" spans="1:14" x14ac:dyDescent="0.3">
      <c r="A612" s="1">
        <v>45246</v>
      </c>
      <c r="B612" t="s">
        <v>351</v>
      </c>
      <c r="C612" t="s">
        <v>34</v>
      </c>
      <c r="D612" t="s">
        <v>26</v>
      </c>
      <c r="E612" t="s">
        <v>64</v>
      </c>
      <c r="F612">
        <v>4</v>
      </c>
      <c r="G612">
        <v>158.44</v>
      </c>
      <c r="H612" t="s">
        <v>28</v>
      </c>
      <c r="I612" t="s">
        <v>1108</v>
      </c>
      <c r="J612" t="s">
        <v>38</v>
      </c>
      <c r="K612" t="s">
        <v>59</v>
      </c>
      <c r="L612" t="s">
        <v>60</v>
      </c>
      <c r="M612" t="s">
        <v>32</v>
      </c>
      <c r="N612">
        <f>Sheet1[[#This Row],[Quantity]]*Sheet1[[#This Row],[UnitPrice]]</f>
        <v>633.76</v>
      </c>
    </row>
    <row r="613" spans="1:14" x14ac:dyDescent="0.3">
      <c r="A613" s="1">
        <v>45390</v>
      </c>
      <c r="B613" t="s">
        <v>1109</v>
      </c>
      <c r="C613" t="s">
        <v>78</v>
      </c>
      <c r="D613" t="s">
        <v>74</v>
      </c>
      <c r="E613" t="s">
        <v>35</v>
      </c>
      <c r="F613">
        <v>1</v>
      </c>
      <c r="G613">
        <v>112.51</v>
      </c>
      <c r="H613" t="s">
        <v>53</v>
      </c>
      <c r="I613" t="s">
        <v>1110</v>
      </c>
      <c r="J613" t="s">
        <v>30</v>
      </c>
      <c r="K613" t="s">
        <v>45</v>
      </c>
      <c r="L613" t="s">
        <v>22</v>
      </c>
      <c r="M613" t="s">
        <v>49</v>
      </c>
      <c r="N613">
        <f>Sheet1[[#This Row],[Quantity]]*Sheet1[[#This Row],[UnitPrice]]</f>
        <v>112.51</v>
      </c>
    </row>
    <row r="614" spans="1:14" x14ac:dyDescent="0.3">
      <c r="A614" s="1">
        <v>45013</v>
      </c>
      <c r="B614" t="s">
        <v>1111</v>
      </c>
      <c r="C614" t="s">
        <v>25</v>
      </c>
      <c r="D614" t="s">
        <v>26</v>
      </c>
      <c r="E614" t="s">
        <v>67</v>
      </c>
      <c r="F614">
        <v>6</v>
      </c>
      <c r="G614">
        <v>345.56</v>
      </c>
      <c r="H614" t="s">
        <v>28</v>
      </c>
      <c r="I614" t="s">
        <v>1112</v>
      </c>
      <c r="J614" t="s">
        <v>20</v>
      </c>
      <c r="K614" t="s">
        <v>31</v>
      </c>
      <c r="L614" t="s">
        <v>22</v>
      </c>
      <c r="M614" t="s">
        <v>84</v>
      </c>
      <c r="N614">
        <f>Sheet1[[#This Row],[Quantity]]*Sheet1[[#This Row],[UnitPrice]]</f>
        <v>2073.36</v>
      </c>
    </row>
    <row r="615" spans="1:14" x14ac:dyDescent="0.3">
      <c r="A615" s="1">
        <v>45666</v>
      </c>
      <c r="B615" t="s">
        <v>653</v>
      </c>
      <c r="C615" t="s">
        <v>25</v>
      </c>
      <c r="D615" t="s">
        <v>16</v>
      </c>
      <c r="E615" t="s">
        <v>52</v>
      </c>
      <c r="F615">
        <v>5</v>
      </c>
      <c r="G615">
        <v>14.99</v>
      </c>
      <c r="H615" t="s">
        <v>68</v>
      </c>
      <c r="I615" t="s">
        <v>1113</v>
      </c>
      <c r="J615" t="s">
        <v>44</v>
      </c>
      <c r="K615" t="s">
        <v>31</v>
      </c>
      <c r="L615" t="s">
        <v>60</v>
      </c>
      <c r="M615" t="s">
        <v>32</v>
      </c>
      <c r="N615">
        <f>Sheet1[[#This Row],[Quantity]]*Sheet1[[#This Row],[UnitPrice]]</f>
        <v>74.95</v>
      </c>
    </row>
    <row r="616" spans="1:14" x14ac:dyDescent="0.3">
      <c r="A616" s="1">
        <v>45757</v>
      </c>
      <c r="B616" t="s">
        <v>850</v>
      </c>
      <c r="C616" t="s">
        <v>15</v>
      </c>
      <c r="D616" t="s">
        <v>47</v>
      </c>
      <c r="E616" t="s">
        <v>67</v>
      </c>
      <c r="F616">
        <v>5</v>
      </c>
      <c r="G616">
        <v>337.03</v>
      </c>
      <c r="H616" t="s">
        <v>53</v>
      </c>
      <c r="I616" t="s">
        <v>1114</v>
      </c>
      <c r="J616" t="s">
        <v>30</v>
      </c>
      <c r="K616" t="s">
        <v>45</v>
      </c>
      <c r="L616" t="s">
        <v>22</v>
      </c>
      <c r="M616" t="s">
        <v>32</v>
      </c>
      <c r="N616">
        <f>Sheet1[[#This Row],[Quantity]]*Sheet1[[#This Row],[UnitPrice]]</f>
        <v>1685.1499999999999</v>
      </c>
    </row>
    <row r="617" spans="1:14" x14ac:dyDescent="0.3">
      <c r="A617" s="1">
        <v>45779</v>
      </c>
      <c r="B617" t="s">
        <v>632</v>
      </c>
      <c r="C617" t="s">
        <v>25</v>
      </c>
      <c r="D617" t="s">
        <v>16</v>
      </c>
      <c r="E617" t="s">
        <v>52</v>
      </c>
      <c r="F617">
        <v>9</v>
      </c>
      <c r="G617">
        <v>368.69</v>
      </c>
      <c r="H617" t="s">
        <v>53</v>
      </c>
      <c r="I617" t="s">
        <v>1115</v>
      </c>
      <c r="J617" t="s">
        <v>44</v>
      </c>
      <c r="K617" t="s">
        <v>59</v>
      </c>
      <c r="L617" t="s">
        <v>60</v>
      </c>
      <c r="M617" t="s">
        <v>40</v>
      </c>
      <c r="N617">
        <f>Sheet1[[#This Row],[Quantity]]*Sheet1[[#This Row],[UnitPrice]]</f>
        <v>3318.21</v>
      </c>
    </row>
    <row r="618" spans="1:14" x14ac:dyDescent="0.3">
      <c r="A618" s="1">
        <v>45706</v>
      </c>
      <c r="B618" t="s">
        <v>267</v>
      </c>
      <c r="C618" t="s">
        <v>34</v>
      </c>
      <c r="D618" t="s">
        <v>47</v>
      </c>
      <c r="E618" t="s">
        <v>42</v>
      </c>
      <c r="F618">
        <v>3</v>
      </c>
      <c r="G618">
        <v>252.16</v>
      </c>
      <c r="H618" t="s">
        <v>53</v>
      </c>
      <c r="I618" t="s">
        <v>1116</v>
      </c>
      <c r="J618" t="s">
        <v>38</v>
      </c>
      <c r="K618" t="s">
        <v>21</v>
      </c>
      <c r="L618" t="s">
        <v>39</v>
      </c>
      <c r="M618" t="s">
        <v>84</v>
      </c>
      <c r="N618">
        <f>Sheet1[[#This Row],[Quantity]]*Sheet1[[#This Row],[UnitPrice]]</f>
        <v>756.48</v>
      </c>
    </row>
    <row r="619" spans="1:14" x14ac:dyDescent="0.3">
      <c r="A619" s="1">
        <v>44948</v>
      </c>
      <c r="B619" t="s">
        <v>587</v>
      </c>
      <c r="C619" t="s">
        <v>56</v>
      </c>
      <c r="D619" t="s">
        <v>16</v>
      </c>
      <c r="E619" t="s">
        <v>67</v>
      </c>
      <c r="F619">
        <v>2</v>
      </c>
      <c r="G619">
        <v>106.93</v>
      </c>
      <c r="H619" t="s">
        <v>53</v>
      </c>
      <c r="I619" t="s">
        <v>1117</v>
      </c>
      <c r="J619" t="s">
        <v>44</v>
      </c>
      <c r="K619" t="s">
        <v>45</v>
      </c>
      <c r="L619" t="s">
        <v>39</v>
      </c>
      <c r="M619" t="s">
        <v>61</v>
      </c>
      <c r="N619">
        <f>Sheet1[[#This Row],[Quantity]]*Sheet1[[#This Row],[UnitPrice]]</f>
        <v>213.86</v>
      </c>
    </row>
    <row r="620" spans="1:14" x14ac:dyDescent="0.3">
      <c r="A620" s="1">
        <v>45787</v>
      </c>
      <c r="B620" t="s">
        <v>524</v>
      </c>
      <c r="C620" t="s">
        <v>63</v>
      </c>
      <c r="D620" t="s">
        <v>47</v>
      </c>
      <c r="E620" t="s">
        <v>52</v>
      </c>
      <c r="F620">
        <v>9</v>
      </c>
      <c r="G620">
        <v>261.39999999999998</v>
      </c>
      <c r="H620" t="s">
        <v>68</v>
      </c>
      <c r="I620" t="s">
        <v>1118</v>
      </c>
      <c r="J620" t="s">
        <v>20</v>
      </c>
      <c r="K620" t="s">
        <v>45</v>
      </c>
      <c r="L620" t="s">
        <v>39</v>
      </c>
      <c r="M620" t="s">
        <v>23</v>
      </c>
      <c r="N620">
        <f>Sheet1[[#This Row],[Quantity]]*Sheet1[[#This Row],[UnitPrice]]</f>
        <v>2352.6</v>
      </c>
    </row>
    <row r="621" spans="1:14" x14ac:dyDescent="0.3">
      <c r="A621" s="1">
        <v>45370</v>
      </c>
      <c r="B621" t="s">
        <v>50</v>
      </c>
      <c r="C621" t="s">
        <v>63</v>
      </c>
      <c r="D621" t="s">
        <v>47</v>
      </c>
      <c r="E621" t="s">
        <v>52</v>
      </c>
      <c r="F621">
        <v>1</v>
      </c>
      <c r="G621">
        <v>241.46</v>
      </c>
      <c r="H621" t="s">
        <v>18</v>
      </c>
      <c r="I621" t="s">
        <v>1119</v>
      </c>
      <c r="J621" t="s">
        <v>30</v>
      </c>
      <c r="K621" t="s">
        <v>21</v>
      </c>
      <c r="L621" t="s">
        <v>39</v>
      </c>
      <c r="M621" t="s">
        <v>84</v>
      </c>
      <c r="N621">
        <f>Sheet1[[#This Row],[Quantity]]*Sheet1[[#This Row],[UnitPrice]]</f>
        <v>241.46</v>
      </c>
    </row>
    <row r="622" spans="1:14" x14ac:dyDescent="0.3">
      <c r="A622" s="1">
        <v>45470</v>
      </c>
      <c r="B622" t="s">
        <v>985</v>
      </c>
      <c r="C622" t="s">
        <v>25</v>
      </c>
      <c r="D622" t="s">
        <v>74</v>
      </c>
      <c r="E622" t="s">
        <v>27</v>
      </c>
      <c r="F622">
        <v>5</v>
      </c>
      <c r="G622">
        <v>295.77999999999997</v>
      </c>
      <c r="H622" t="s">
        <v>68</v>
      </c>
      <c r="I622" t="s">
        <v>1120</v>
      </c>
      <c r="J622" t="s">
        <v>38</v>
      </c>
      <c r="K622" t="s">
        <v>59</v>
      </c>
      <c r="L622" t="s">
        <v>39</v>
      </c>
      <c r="M622" t="s">
        <v>32</v>
      </c>
      <c r="N622">
        <f>Sheet1[[#This Row],[Quantity]]*Sheet1[[#This Row],[UnitPrice]]</f>
        <v>1478.8999999999999</v>
      </c>
    </row>
    <row r="623" spans="1:14" x14ac:dyDescent="0.3">
      <c r="A623" s="1">
        <v>45544</v>
      </c>
      <c r="B623" t="s">
        <v>401</v>
      </c>
      <c r="C623" t="s">
        <v>90</v>
      </c>
      <c r="D623" t="s">
        <v>74</v>
      </c>
      <c r="E623" t="s">
        <v>64</v>
      </c>
      <c r="F623">
        <v>3</v>
      </c>
      <c r="G623">
        <v>156.02000000000001</v>
      </c>
      <c r="H623" t="s">
        <v>53</v>
      </c>
      <c r="I623" t="s">
        <v>1121</v>
      </c>
      <c r="J623" t="s">
        <v>30</v>
      </c>
      <c r="K623" t="s">
        <v>59</v>
      </c>
      <c r="L623" t="s">
        <v>22</v>
      </c>
      <c r="M623" t="s">
        <v>49</v>
      </c>
      <c r="N623">
        <f>Sheet1[[#This Row],[Quantity]]*Sheet1[[#This Row],[UnitPrice]]</f>
        <v>468.06000000000006</v>
      </c>
    </row>
    <row r="624" spans="1:14" x14ac:dyDescent="0.3">
      <c r="A624" s="1">
        <v>45702</v>
      </c>
      <c r="B624" t="s">
        <v>496</v>
      </c>
      <c r="C624" t="s">
        <v>15</v>
      </c>
      <c r="D624" t="s">
        <v>26</v>
      </c>
      <c r="E624" t="s">
        <v>17</v>
      </c>
      <c r="F624">
        <v>3</v>
      </c>
      <c r="G624">
        <v>150.62</v>
      </c>
      <c r="H624" t="s">
        <v>53</v>
      </c>
      <c r="I624" t="s">
        <v>1122</v>
      </c>
      <c r="J624" t="s">
        <v>58</v>
      </c>
      <c r="K624" t="s">
        <v>45</v>
      </c>
      <c r="L624" t="s">
        <v>39</v>
      </c>
      <c r="M624" t="s">
        <v>40</v>
      </c>
      <c r="N624">
        <f>Sheet1[[#This Row],[Quantity]]*Sheet1[[#This Row],[UnitPrice]]</f>
        <v>451.86</v>
      </c>
    </row>
    <row r="625" spans="1:14" x14ac:dyDescent="0.3">
      <c r="A625" s="1">
        <v>45747</v>
      </c>
      <c r="B625" t="s">
        <v>748</v>
      </c>
      <c r="C625" t="s">
        <v>63</v>
      </c>
      <c r="D625" t="s">
        <v>47</v>
      </c>
      <c r="E625" t="s">
        <v>67</v>
      </c>
      <c r="F625">
        <v>2</v>
      </c>
      <c r="G625">
        <v>53.91</v>
      </c>
      <c r="H625" t="s">
        <v>36</v>
      </c>
      <c r="I625" t="s">
        <v>1123</v>
      </c>
      <c r="J625" t="s">
        <v>58</v>
      </c>
      <c r="K625" t="s">
        <v>45</v>
      </c>
      <c r="L625" t="s">
        <v>22</v>
      </c>
      <c r="M625" t="s">
        <v>49</v>
      </c>
      <c r="N625">
        <f>Sheet1[[#This Row],[Quantity]]*Sheet1[[#This Row],[UnitPrice]]</f>
        <v>107.82</v>
      </c>
    </row>
    <row r="626" spans="1:14" x14ac:dyDescent="0.3">
      <c r="A626" s="1">
        <v>45793</v>
      </c>
      <c r="B626" t="s">
        <v>1124</v>
      </c>
      <c r="C626" t="s">
        <v>51</v>
      </c>
      <c r="D626" t="s">
        <v>47</v>
      </c>
      <c r="E626" t="s">
        <v>17</v>
      </c>
      <c r="F626">
        <v>3</v>
      </c>
      <c r="G626">
        <v>291.25</v>
      </c>
      <c r="H626" t="s">
        <v>36</v>
      </c>
      <c r="I626" t="s">
        <v>1125</v>
      </c>
      <c r="J626" t="s">
        <v>38</v>
      </c>
      <c r="K626" t="s">
        <v>31</v>
      </c>
      <c r="L626" t="s">
        <v>39</v>
      </c>
      <c r="M626" t="s">
        <v>40</v>
      </c>
      <c r="N626">
        <f>Sheet1[[#This Row],[Quantity]]*Sheet1[[#This Row],[UnitPrice]]</f>
        <v>873.75</v>
      </c>
    </row>
    <row r="627" spans="1:14" x14ac:dyDescent="0.3">
      <c r="A627" s="1">
        <v>45575</v>
      </c>
      <c r="B627" t="s">
        <v>1126</v>
      </c>
      <c r="C627" t="s">
        <v>15</v>
      </c>
      <c r="D627" t="s">
        <v>74</v>
      </c>
      <c r="E627" t="s">
        <v>42</v>
      </c>
      <c r="F627">
        <v>3</v>
      </c>
      <c r="G627">
        <v>233.52</v>
      </c>
      <c r="H627" t="s">
        <v>28</v>
      </c>
      <c r="I627" t="s">
        <v>1127</v>
      </c>
      <c r="J627" t="s">
        <v>30</v>
      </c>
      <c r="K627" t="s">
        <v>21</v>
      </c>
      <c r="L627" t="s">
        <v>22</v>
      </c>
      <c r="M627" t="s">
        <v>32</v>
      </c>
      <c r="N627">
        <f>Sheet1[[#This Row],[Quantity]]*Sheet1[[#This Row],[UnitPrice]]</f>
        <v>700.56000000000006</v>
      </c>
    </row>
    <row r="628" spans="1:14" x14ac:dyDescent="0.3">
      <c r="A628" s="1">
        <v>45784</v>
      </c>
      <c r="B628" t="s">
        <v>931</v>
      </c>
      <c r="C628" t="s">
        <v>56</v>
      </c>
      <c r="D628" t="s">
        <v>16</v>
      </c>
      <c r="E628" t="s">
        <v>42</v>
      </c>
      <c r="F628">
        <v>6</v>
      </c>
      <c r="G628">
        <v>28.45</v>
      </c>
      <c r="H628" t="s">
        <v>68</v>
      </c>
      <c r="I628" t="s">
        <v>1128</v>
      </c>
      <c r="J628" t="s">
        <v>30</v>
      </c>
      <c r="K628" t="s">
        <v>31</v>
      </c>
      <c r="L628" t="s">
        <v>22</v>
      </c>
      <c r="M628" t="s">
        <v>76</v>
      </c>
      <c r="N628">
        <f>Sheet1[[#This Row],[Quantity]]*Sheet1[[#This Row],[UnitPrice]]</f>
        <v>170.7</v>
      </c>
    </row>
    <row r="629" spans="1:14" x14ac:dyDescent="0.3">
      <c r="A629" s="1">
        <v>45520</v>
      </c>
      <c r="B629" t="s">
        <v>724</v>
      </c>
      <c r="C629" t="s">
        <v>51</v>
      </c>
      <c r="D629" t="s">
        <v>74</v>
      </c>
      <c r="E629" t="s">
        <v>67</v>
      </c>
      <c r="F629">
        <v>1</v>
      </c>
      <c r="G629">
        <v>273.41000000000003</v>
      </c>
      <c r="H629" t="s">
        <v>53</v>
      </c>
      <c r="I629" t="s">
        <v>1129</v>
      </c>
      <c r="J629" t="s">
        <v>38</v>
      </c>
      <c r="K629" t="s">
        <v>21</v>
      </c>
      <c r="L629" t="s">
        <v>39</v>
      </c>
      <c r="M629" t="s">
        <v>40</v>
      </c>
      <c r="N629">
        <f>Sheet1[[#This Row],[Quantity]]*Sheet1[[#This Row],[UnitPrice]]</f>
        <v>273.41000000000003</v>
      </c>
    </row>
    <row r="630" spans="1:14" x14ac:dyDescent="0.3">
      <c r="A630" s="1">
        <v>45524</v>
      </c>
      <c r="B630" t="s">
        <v>1130</v>
      </c>
      <c r="C630" t="s">
        <v>73</v>
      </c>
      <c r="D630" t="s">
        <v>47</v>
      </c>
      <c r="E630" t="s">
        <v>67</v>
      </c>
      <c r="F630">
        <v>2</v>
      </c>
      <c r="G630">
        <v>332.57</v>
      </c>
      <c r="H630" t="s">
        <v>68</v>
      </c>
      <c r="I630" t="s">
        <v>1131</v>
      </c>
      <c r="J630" t="s">
        <v>58</v>
      </c>
      <c r="K630" t="s">
        <v>45</v>
      </c>
      <c r="L630" t="s">
        <v>39</v>
      </c>
      <c r="M630" t="s">
        <v>84</v>
      </c>
      <c r="N630">
        <f>Sheet1[[#This Row],[Quantity]]*Sheet1[[#This Row],[UnitPrice]]</f>
        <v>665.14</v>
      </c>
    </row>
    <row r="631" spans="1:14" x14ac:dyDescent="0.3">
      <c r="A631" s="1">
        <v>45754</v>
      </c>
      <c r="B631" t="s">
        <v>1132</v>
      </c>
      <c r="C631" t="s">
        <v>51</v>
      </c>
      <c r="D631" t="s">
        <v>16</v>
      </c>
      <c r="E631" t="s">
        <v>67</v>
      </c>
      <c r="F631">
        <v>2</v>
      </c>
      <c r="G631">
        <v>349.79</v>
      </c>
      <c r="H631" t="s">
        <v>18</v>
      </c>
      <c r="I631" t="s">
        <v>1133</v>
      </c>
      <c r="J631" t="s">
        <v>38</v>
      </c>
      <c r="K631" t="s">
        <v>21</v>
      </c>
      <c r="L631" t="s">
        <v>22</v>
      </c>
      <c r="M631" t="s">
        <v>49</v>
      </c>
      <c r="N631">
        <f>Sheet1[[#This Row],[Quantity]]*Sheet1[[#This Row],[UnitPrice]]</f>
        <v>699.58</v>
      </c>
    </row>
    <row r="632" spans="1:14" x14ac:dyDescent="0.3">
      <c r="A632" s="1">
        <v>45085</v>
      </c>
      <c r="B632" t="s">
        <v>269</v>
      </c>
      <c r="C632" t="s">
        <v>34</v>
      </c>
      <c r="D632" t="s">
        <v>26</v>
      </c>
      <c r="E632" t="s">
        <v>17</v>
      </c>
      <c r="F632">
        <v>5</v>
      </c>
      <c r="G632">
        <v>295.37</v>
      </c>
      <c r="H632" t="s">
        <v>36</v>
      </c>
      <c r="I632" t="s">
        <v>1134</v>
      </c>
      <c r="J632" t="s">
        <v>38</v>
      </c>
      <c r="K632" t="s">
        <v>59</v>
      </c>
      <c r="L632" t="s">
        <v>39</v>
      </c>
      <c r="M632" t="s">
        <v>32</v>
      </c>
      <c r="N632">
        <f>Sheet1[[#This Row],[Quantity]]*Sheet1[[#This Row],[UnitPrice]]</f>
        <v>1476.85</v>
      </c>
    </row>
    <row r="633" spans="1:14" x14ac:dyDescent="0.3">
      <c r="A633" s="1">
        <v>45433</v>
      </c>
      <c r="B633" t="s">
        <v>1135</v>
      </c>
      <c r="C633" t="s">
        <v>34</v>
      </c>
      <c r="D633" t="s">
        <v>16</v>
      </c>
      <c r="E633" t="s">
        <v>64</v>
      </c>
      <c r="F633">
        <v>4</v>
      </c>
      <c r="G633">
        <v>244.5</v>
      </c>
      <c r="H633" t="s">
        <v>68</v>
      </c>
      <c r="I633" t="s">
        <v>1136</v>
      </c>
      <c r="J633" t="s">
        <v>58</v>
      </c>
      <c r="K633" t="s">
        <v>45</v>
      </c>
      <c r="L633" t="s">
        <v>22</v>
      </c>
      <c r="M633" t="s">
        <v>84</v>
      </c>
      <c r="N633">
        <f>Sheet1[[#This Row],[Quantity]]*Sheet1[[#This Row],[UnitPrice]]</f>
        <v>978</v>
      </c>
    </row>
    <row r="634" spans="1:14" x14ac:dyDescent="0.3">
      <c r="A634" s="1">
        <v>45175</v>
      </c>
      <c r="B634" t="s">
        <v>931</v>
      </c>
      <c r="C634" t="s">
        <v>73</v>
      </c>
      <c r="D634" t="s">
        <v>74</v>
      </c>
      <c r="E634" t="s">
        <v>67</v>
      </c>
      <c r="F634">
        <v>9</v>
      </c>
      <c r="G634">
        <v>297.74</v>
      </c>
      <c r="H634" t="s">
        <v>68</v>
      </c>
      <c r="I634" t="s">
        <v>1137</v>
      </c>
      <c r="J634" t="s">
        <v>38</v>
      </c>
      <c r="K634" t="s">
        <v>21</v>
      </c>
      <c r="L634" t="s">
        <v>22</v>
      </c>
      <c r="M634" t="s">
        <v>76</v>
      </c>
      <c r="N634">
        <f>Sheet1[[#This Row],[Quantity]]*Sheet1[[#This Row],[UnitPrice]]</f>
        <v>2679.66</v>
      </c>
    </row>
    <row r="635" spans="1:14" x14ac:dyDescent="0.3">
      <c r="A635" s="1">
        <v>45605</v>
      </c>
      <c r="B635" t="s">
        <v>192</v>
      </c>
      <c r="C635" t="s">
        <v>51</v>
      </c>
      <c r="D635" t="s">
        <v>16</v>
      </c>
      <c r="E635" t="s">
        <v>52</v>
      </c>
      <c r="F635">
        <v>7</v>
      </c>
      <c r="G635">
        <v>139.29</v>
      </c>
      <c r="H635" t="s">
        <v>18</v>
      </c>
      <c r="I635" t="s">
        <v>1138</v>
      </c>
      <c r="J635" t="s">
        <v>30</v>
      </c>
      <c r="K635" t="s">
        <v>45</v>
      </c>
      <c r="L635" t="s">
        <v>60</v>
      </c>
      <c r="M635" t="s">
        <v>23</v>
      </c>
      <c r="N635">
        <f>Sheet1[[#This Row],[Quantity]]*Sheet1[[#This Row],[UnitPrice]]</f>
        <v>975.03</v>
      </c>
    </row>
    <row r="636" spans="1:14" x14ac:dyDescent="0.3">
      <c r="A636" s="1">
        <v>45147</v>
      </c>
      <c r="B636" t="s">
        <v>589</v>
      </c>
      <c r="C636" t="s">
        <v>15</v>
      </c>
      <c r="D636" t="s">
        <v>74</v>
      </c>
      <c r="E636" t="s">
        <v>17</v>
      </c>
      <c r="F636">
        <v>6</v>
      </c>
      <c r="G636">
        <v>250.53</v>
      </c>
      <c r="H636" t="s">
        <v>18</v>
      </c>
      <c r="I636" t="s">
        <v>1139</v>
      </c>
      <c r="J636" t="s">
        <v>44</v>
      </c>
      <c r="K636" t="s">
        <v>21</v>
      </c>
      <c r="L636" t="s">
        <v>60</v>
      </c>
      <c r="M636" t="s">
        <v>76</v>
      </c>
      <c r="N636">
        <f>Sheet1[[#This Row],[Quantity]]*Sheet1[[#This Row],[UnitPrice]]</f>
        <v>1503.18</v>
      </c>
    </row>
    <row r="637" spans="1:14" x14ac:dyDescent="0.3">
      <c r="A637" s="1">
        <v>45210</v>
      </c>
      <c r="B637" t="s">
        <v>1140</v>
      </c>
      <c r="C637" t="s">
        <v>90</v>
      </c>
      <c r="D637" t="s">
        <v>26</v>
      </c>
      <c r="E637" t="s">
        <v>67</v>
      </c>
      <c r="F637">
        <v>9</v>
      </c>
      <c r="G637">
        <v>356.81</v>
      </c>
      <c r="H637" t="s">
        <v>68</v>
      </c>
      <c r="I637" t="s">
        <v>1141</v>
      </c>
      <c r="J637" t="s">
        <v>58</v>
      </c>
      <c r="K637" t="s">
        <v>45</v>
      </c>
      <c r="L637" t="s">
        <v>39</v>
      </c>
      <c r="M637" t="s">
        <v>76</v>
      </c>
      <c r="N637">
        <f>Sheet1[[#This Row],[Quantity]]*Sheet1[[#This Row],[UnitPrice]]</f>
        <v>3211.29</v>
      </c>
    </row>
    <row r="638" spans="1:14" x14ac:dyDescent="0.3">
      <c r="A638" s="1">
        <v>45361</v>
      </c>
      <c r="B638" t="s">
        <v>489</v>
      </c>
      <c r="C638" t="s">
        <v>15</v>
      </c>
      <c r="D638" t="s">
        <v>47</v>
      </c>
      <c r="E638" t="s">
        <v>42</v>
      </c>
      <c r="F638">
        <v>5</v>
      </c>
      <c r="G638">
        <v>49.06</v>
      </c>
      <c r="H638" t="s">
        <v>18</v>
      </c>
      <c r="I638" t="s">
        <v>1142</v>
      </c>
      <c r="J638" t="s">
        <v>44</v>
      </c>
      <c r="K638" t="s">
        <v>45</v>
      </c>
      <c r="L638" t="s">
        <v>39</v>
      </c>
      <c r="M638" t="s">
        <v>61</v>
      </c>
      <c r="N638">
        <f>Sheet1[[#This Row],[Quantity]]*Sheet1[[#This Row],[UnitPrice]]</f>
        <v>245.3</v>
      </c>
    </row>
    <row r="639" spans="1:14" x14ac:dyDescent="0.3">
      <c r="A639" s="1">
        <v>45049</v>
      </c>
      <c r="B639" t="s">
        <v>248</v>
      </c>
      <c r="C639" t="s">
        <v>90</v>
      </c>
      <c r="D639" t="s">
        <v>74</v>
      </c>
      <c r="E639" t="s">
        <v>35</v>
      </c>
      <c r="F639">
        <v>6</v>
      </c>
      <c r="G639">
        <v>39.08</v>
      </c>
      <c r="H639" t="s">
        <v>18</v>
      </c>
      <c r="I639" t="s">
        <v>1143</v>
      </c>
      <c r="J639" t="s">
        <v>44</v>
      </c>
      <c r="K639" t="s">
        <v>31</v>
      </c>
      <c r="L639" t="s">
        <v>22</v>
      </c>
      <c r="M639" t="s">
        <v>76</v>
      </c>
      <c r="N639">
        <f>Sheet1[[#This Row],[Quantity]]*Sheet1[[#This Row],[UnitPrice]]</f>
        <v>234.48</v>
      </c>
    </row>
    <row r="640" spans="1:14" x14ac:dyDescent="0.3">
      <c r="A640" s="1">
        <v>45026</v>
      </c>
      <c r="B640" t="s">
        <v>1144</v>
      </c>
      <c r="C640" t="s">
        <v>51</v>
      </c>
      <c r="D640" t="s">
        <v>26</v>
      </c>
      <c r="E640" t="s">
        <v>52</v>
      </c>
      <c r="F640">
        <v>7</v>
      </c>
      <c r="G640">
        <v>361.06</v>
      </c>
      <c r="H640" t="s">
        <v>18</v>
      </c>
      <c r="I640" t="s">
        <v>1145</v>
      </c>
      <c r="J640" t="s">
        <v>20</v>
      </c>
      <c r="K640" t="s">
        <v>45</v>
      </c>
      <c r="L640" t="s">
        <v>39</v>
      </c>
      <c r="M640" t="s">
        <v>49</v>
      </c>
      <c r="N640">
        <f>Sheet1[[#This Row],[Quantity]]*Sheet1[[#This Row],[UnitPrice]]</f>
        <v>2527.42</v>
      </c>
    </row>
    <row r="641" spans="1:14" x14ac:dyDescent="0.3">
      <c r="A641" s="1">
        <v>45162</v>
      </c>
      <c r="B641" t="s">
        <v>528</v>
      </c>
      <c r="C641" t="s">
        <v>25</v>
      </c>
      <c r="D641" t="s">
        <v>16</v>
      </c>
      <c r="E641" t="s">
        <v>64</v>
      </c>
      <c r="F641">
        <v>1</v>
      </c>
      <c r="G641">
        <v>53.88</v>
      </c>
      <c r="H641" t="s">
        <v>53</v>
      </c>
      <c r="I641" t="s">
        <v>1146</v>
      </c>
      <c r="J641" t="s">
        <v>44</v>
      </c>
      <c r="K641" t="s">
        <v>59</v>
      </c>
      <c r="L641" t="s">
        <v>22</v>
      </c>
      <c r="M641" t="s">
        <v>32</v>
      </c>
      <c r="N641">
        <f>Sheet1[[#This Row],[Quantity]]*Sheet1[[#This Row],[UnitPrice]]</f>
        <v>53.88</v>
      </c>
    </row>
    <row r="642" spans="1:14" x14ac:dyDescent="0.3">
      <c r="A642" s="1">
        <v>45238</v>
      </c>
      <c r="B642" t="s">
        <v>767</v>
      </c>
      <c r="C642" t="s">
        <v>25</v>
      </c>
      <c r="D642" t="s">
        <v>26</v>
      </c>
      <c r="E642" t="s">
        <v>67</v>
      </c>
      <c r="F642">
        <v>2</v>
      </c>
      <c r="G642">
        <v>17.75</v>
      </c>
      <c r="H642" t="s">
        <v>36</v>
      </c>
      <c r="I642" t="s">
        <v>1147</v>
      </c>
      <c r="J642" t="s">
        <v>20</v>
      </c>
      <c r="K642" t="s">
        <v>45</v>
      </c>
      <c r="L642" t="s">
        <v>39</v>
      </c>
      <c r="M642" t="s">
        <v>76</v>
      </c>
      <c r="N642">
        <f>Sheet1[[#This Row],[Quantity]]*Sheet1[[#This Row],[UnitPrice]]</f>
        <v>35.5</v>
      </c>
    </row>
    <row r="643" spans="1:14" x14ac:dyDescent="0.3">
      <c r="A643" s="1">
        <v>45331</v>
      </c>
      <c r="B643" t="s">
        <v>1148</v>
      </c>
      <c r="C643" t="s">
        <v>78</v>
      </c>
      <c r="D643" t="s">
        <v>47</v>
      </c>
      <c r="E643" t="s">
        <v>52</v>
      </c>
      <c r="F643">
        <v>8</v>
      </c>
      <c r="G643">
        <v>227.35</v>
      </c>
      <c r="H643" t="s">
        <v>18</v>
      </c>
      <c r="I643" t="s">
        <v>1149</v>
      </c>
      <c r="J643" t="s">
        <v>58</v>
      </c>
      <c r="K643" t="s">
        <v>31</v>
      </c>
      <c r="L643" t="s">
        <v>22</v>
      </c>
      <c r="M643" t="s">
        <v>40</v>
      </c>
      <c r="N643">
        <f>Sheet1[[#This Row],[Quantity]]*Sheet1[[#This Row],[UnitPrice]]</f>
        <v>1818.8</v>
      </c>
    </row>
    <row r="644" spans="1:14" x14ac:dyDescent="0.3">
      <c r="A644" s="1">
        <v>45164</v>
      </c>
      <c r="B644" t="s">
        <v>138</v>
      </c>
      <c r="C644" t="s">
        <v>56</v>
      </c>
      <c r="D644" t="s">
        <v>47</v>
      </c>
      <c r="E644" t="s">
        <v>64</v>
      </c>
      <c r="F644">
        <v>4</v>
      </c>
      <c r="G644">
        <v>290.27999999999997</v>
      </c>
      <c r="H644" t="s">
        <v>18</v>
      </c>
      <c r="I644" t="s">
        <v>1150</v>
      </c>
      <c r="J644" t="s">
        <v>58</v>
      </c>
      <c r="K644" t="s">
        <v>31</v>
      </c>
      <c r="L644" t="s">
        <v>39</v>
      </c>
      <c r="M644" t="s">
        <v>23</v>
      </c>
      <c r="N644">
        <f>Sheet1[[#This Row],[Quantity]]*Sheet1[[#This Row],[UnitPrice]]</f>
        <v>1161.1199999999999</v>
      </c>
    </row>
    <row r="645" spans="1:14" x14ac:dyDescent="0.3">
      <c r="A645" s="1">
        <v>45627</v>
      </c>
      <c r="B645" t="s">
        <v>1151</v>
      </c>
      <c r="C645" t="s">
        <v>78</v>
      </c>
      <c r="D645" t="s">
        <v>16</v>
      </c>
      <c r="E645" t="s">
        <v>64</v>
      </c>
      <c r="F645">
        <v>9</v>
      </c>
      <c r="G645">
        <v>316.55</v>
      </c>
      <c r="H645" t="s">
        <v>36</v>
      </c>
      <c r="I645" t="s">
        <v>1152</v>
      </c>
      <c r="J645" t="s">
        <v>30</v>
      </c>
      <c r="K645" t="s">
        <v>59</v>
      </c>
      <c r="L645" t="s">
        <v>60</v>
      </c>
      <c r="M645" t="s">
        <v>61</v>
      </c>
      <c r="N645">
        <f>Sheet1[[#This Row],[Quantity]]*Sheet1[[#This Row],[UnitPrice]]</f>
        <v>2848.9500000000003</v>
      </c>
    </row>
    <row r="646" spans="1:14" x14ac:dyDescent="0.3">
      <c r="A646" s="1">
        <v>45455</v>
      </c>
      <c r="B646" t="s">
        <v>1153</v>
      </c>
      <c r="C646" t="s">
        <v>25</v>
      </c>
      <c r="D646" t="s">
        <v>16</v>
      </c>
      <c r="E646" t="s">
        <v>35</v>
      </c>
      <c r="F646">
        <v>9</v>
      </c>
      <c r="G646">
        <v>399.7</v>
      </c>
      <c r="H646" t="s">
        <v>18</v>
      </c>
      <c r="I646" t="s">
        <v>1154</v>
      </c>
      <c r="J646" t="s">
        <v>38</v>
      </c>
      <c r="K646" t="s">
        <v>45</v>
      </c>
      <c r="L646" t="s">
        <v>39</v>
      </c>
      <c r="M646" t="s">
        <v>76</v>
      </c>
      <c r="N646">
        <f>Sheet1[[#This Row],[Quantity]]*Sheet1[[#This Row],[UnitPrice]]</f>
        <v>3597.2999999999997</v>
      </c>
    </row>
    <row r="647" spans="1:14" x14ac:dyDescent="0.3">
      <c r="A647" s="1">
        <v>45253</v>
      </c>
      <c r="B647" t="s">
        <v>333</v>
      </c>
      <c r="C647" t="s">
        <v>56</v>
      </c>
      <c r="D647" t="s">
        <v>16</v>
      </c>
      <c r="E647" t="s">
        <v>42</v>
      </c>
      <c r="F647">
        <v>10</v>
      </c>
      <c r="G647">
        <v>222.31</v>
      </c>
      <c r="H647" t="s">
        <v>18</v>
      </c>
      <c r="I647" t="s">
        <v>1155</v>
      </c>
      <c r="J647" t="s">
        <v>20</v>
      </c>
      <c r="K647" t="s">
        <v>31</v>
      </c>
      <c r="L647" t="s">
        <v>39</v>
      </c>
      <c r="M647" t="s">
        <v>32</v>
      </c>
      <c r="N647">
        <f>Sheet1[[#This Row],[Quantity]]*Sheet1[[#This Row],[UnitPrice]]</f>
        <v>2223.1</v>
      </c>
    </row>
    <row r="648" spans="1:14" x14ac:dyDescent="0.3">
      <c r="A648" s="1">
        <v>45466</v>
      </c>
      <c r="B648" t="s">
        <v>1156</v>
      </c>
      <c r="C648" t="s">
        <v>15</v>
      </c>
      <c r="D648" t="s">
        <v>47</v>
      </c>
      <c r="E648" t="s">
        <v>27</v>
      </c>
      <c r="F648">
        <v>7</v>
      </c>
      <c r="G648">
        <v>101.97</v>
      </c>
      <c r="H648" t="s">
        <v>36</v>
      </c>
      <c r="I648" t="s">
        <v>1157</v>
      </c>
      <c r="J648" t="s">
        <v>58</v>
      </c>
      <c r="K648" t="s">
        <v>21</v>
      </c>
      <c r="L648" t="s">
        <v>60</v>
      </c>
      <c r="M648" t="s">
        <v>61</v>
      </c>
      <c r="N648">
        <f>Sheet1[[#This Row],[Quantity]]*Sheet1[[#This Row],[UnitPrice]]</f>
        <v>713.79</v>
      </c>
    </row>
    <row r="649" spans="1:14" x14ac:dyDescent="0.3">
      <c r="A649" s="1">
        <v>45181</v>
      </c>
      <c r="B649" t="s">
        <v>861</v>
      </c>
      <c r="C649" t="s">
        <v>63</v>
      </c>
      <c r="D649" t="s">
        <v>16</v>
      </c>
      <c r="E649" t="s">
        <v>52</v>
      </c>
      <c r="F649">
        <v>4</v>
      </c>
      <c r="G649">
        <v>192.49</v>
      </c>
      <c r="H649" t="s">
        <v>36</v>
      </c>
      <c r="I649" t="s">
        <v>1158</v>
      </c>
      <c r="J649" t="s">
        <v>58</v>
      </c>
      <c r="K649" t="s">
        <v>59</v>
      </c>
      <c r="L649" t="s">
        <v>22</v>
      </c>
      <c r="M649" t="s">
        <v>84</v>
      </c>
      <c r="N649">
        <f>Sheet1[[#This Row],[Quantity]]*Sheet1[[#This Row],[UnitPrice]]</f>
        <v>769.96</v>
      </c>
    </row>
    <row r="650" spans="1:14" x14ac:dyDescent="0.3">
      <c r="A650" s="1">
        <v>45724</v>
      </c>
      <c r="B650" t="s">
        <v>1159</v>
      </c>
      <c r="C650" t="s">
        <v>15</v>
      </c>
      <c r="D650" t="s">
        <v>16</v>
      </c>
      <c r="E650" t="s">
        <v>52</v>
      </c>
      <c r="F650">
        <v>9</v>
      </c>
      <c r="G650">
        <v>165.08</v>
      </c>
      <c r="H650" t="s">
        <v>28</v>
      </c>
      <c r="I650" t="s">
        <v>1160</v>
      </c>
      <c r="J650" t="s">
        <v>58</v>
      </c>
      <c r="K650" t="s">
        <v>21</v>
      </c>
      <c r="L650" t="s">
        <v>22</v>
      </c>
      <c r="M650" t="s">
        <v>23</v>
      </c>
      <c r="N650">
        <f>Sheet1[[#This Row],[Quantity]]*Sheet1[[#This Row],[UnitPrice]]</f>
        <v>1485.72</v>
      </c>
    </row>
    <row r="651" spans="1:14" x14ac:dyDescent="0.3">
      <c r="A651" s="1">
        <v>45492</v>
      </c>
      <c r="B651" t="s">
        <v>1161</v>
      </c>
      <c r="C651" t="s">
        <v>56</v>
      </c>
      <c r="D651" t="s">
        <v>26</v>
      </c>
      <c r="E651" t="s">
        <v>52</v>
      </c>
      <c r="F651">
        <v>10</v>
      </c>
      <c r="G651">
        <v>163.41999999999999</v>
      </c>
      <c r="H651" t="s">
        <v>68</v>
      </c>
      <c r="I651" t="s">
        <v>1162</v>
      </c>
      <c r="J651" t="s">
        <v>20</v>
      </c>
      <c r="K651" t="s">
        <v>31</v>
      </c>
      <c r="L651" t="s">
        <v>22</v>
      </c>
      <c r="M651" t="s">
        <v>40</v>
      </c>
      <c r="N651">
        <f>Sheet1[[#This Row],[Quantity]]*Sheet1[[#This Row],[UnitPrice]]</f>
        <v>1634.1999999999998</v>
      </c>
    </row>
    <row r="652" spans="1:14" x14ac:dyDescent="0.3">
      <c r="A652" s="1">
        <v>45255</v>
      </c>
      <c r="B652" t="s">
        <v>220</v>
      </c>
      <c r="C652" t="s">
        <v>25</v>
      </c>
      <c r="D652" t="s">
        <v>26</v>
      </c>
      <c r="E652" t="s">
        <v>42</v>
      </c>
      <c r="F652">
        <v>10</v>
      </c>
      <c r="G652">
        <v>42.28</v>
      </c>
      <c r="H652" t="s">
        <v>28</v>
      </c>
      <c r="I652" t="s">
        <v>1163</v>
      </c>
      <c r="J652" t="s">
        <v>20</v>
      </c>
      <c r="K652" t="s">
        <v>59</v>
      </c>
      <c r="L652" t="s">
        <v>22</v>
      </c>
      <c r="M652" t="s">
        <v>23</v>
      </c>
      <c r="N652">
        <f>Sheet1[[#This Row],[Quantity]]*Sheet1[[#This Row],[UnitPrice]]</f>
        <v>422.8</v>
      </c>
    </row>
    <row r="653" spans="1:14" x14ac:dyDescent="0.3">
      <c r="A653" s="1">
        <v>45032</v>
      </c>
      <c r="B653" t="s">
        <v>1087</v>
      </c>
      <c r="C653" t="s">
        <v>101</v>
      </c>
      <c r="D653" t="s">
        <v>16</v>
      </c>
      <c r="E653" t="s">
        <v>67</v>
      </c>
      <c r="F653">
        <v>7</v>
      </c>
      <c r="G653">
        <v>43.49</v>
      </c>
      <c r="H653" t="s">
        <v>28</v>
      </c>
      <c r="I653" t="s">
        <v>1164</v>
      </c>
      <c r="J653" t="s">
        <v>30</v>
      </c>
      <c r="K653" t="s">
        <v>59</v>
      </c>
      <c r="L653" t="s">
        <v>22</v>
      </c>
      <c r="M653" t="s">
        <v>61</v>
      </c>
      <c r="N653">
        <f>Sheet1[[#This Row],[Quantity]]*Sheet1[[#This Row],[UnitPrice]]</f>
        <v>304.43</v>
      </c>
    </row>
    <row r="654" spans="1:14" x14ac:dyDescent="0.3">
      <c r="A654" s="1">
        <v>45059</v>
      </c>
      <c r="B654" t="s">
        <v>938</v>
      </c>
      <c r="C654" t="s">
        <v>56</v>
      </c>
      <c r="D654" t="s">
        <v>74</v>
      </c>
      <c r="E654" t="s">
        <v>17</v>
      </c>
      <c r="F654">
        <v>3</v>
      </c>
      <c r="G654">
        <v>268.13</v>
      </c>
      <c r="H654" t="s">
        <v>68</v>
      </c>
      <c r="I654" t="s">
        <v>1165</v>
      </c>
      <c r="J654" t="s">
        <v>58</v>
      </c>
      <c r="K654" t="s">
        <v>59</v>
      </c>
      <c r="L654" t="s">
        <v>39</v>
      </c>
      <c r="M654" t="s">
        <v>23</v>
      </c>
      <c r="N654">
        <f>Sheet1[[#This Row],[Quantity]]*Sheet1[[#This Row],[UnitPrice]]</f>
        <v>804.39</v>
      </c>
    </row>
    <row r="655" spans="1:14" x14ac:dyDescent="0.3">
      <c r="A655" s="1">
        <v>45074</v>
      </c>
      <c r="B655" t="s">
        <v>920</v>
      </c>
      <c r="C655" t="s">
        <v>78</v>
      </c>
      <c r="D655" t="s">
        <v>26</v>
      </c>
      <c r="E655" t="s">
        <v>67</v>
      </c>
      <c r="F655">
        <v>8</v>
      </c>
      <c r="G655">
        <v>395.31</v>
      </c>
      <c r="H655" t="s">
        <v>28</v>
      </c>
      <c r="I655" t="s">
        <v>1166</v>
      </c>
      <c r="J655" t="s">
        <v>30</v>
      </c>
      <c r="K655" t="s">
        <v>21</v>
      </c>
      <c r="L655" t="s">
        <v>39</v>
      </c>
      <c r="M655" t="s">
        <v>61</v>
      </c>
      <c r="N655">
        <f>Sheet1[[#This Row],[Quantity]]*Sheet1[[#This Row],[UnitPrice]]</f>
        <v>3162.48</v>
      </c>
    </row>
    <row r="656" spans="1:14" x14ac:dyDescent="0.3">
      <c r="A656" s="1">
        <v>45243</v>
      </c>
      <c r="B656" t="s">
        <v>1167</v>
      </c>
      <c r="C656" t="s">
        <v>73</v>
      </c>
      <c r="D656" t="s">
        <v>74</v>
      </c>
      <c r="E656" t="s">
        <v>42</v>
      </c>
      <c r="F656">
        <v>3</v>
      </c>
      <c r="G656">
        <v>40.1</v>
      </c>
      <c r="H656" t="s">
        <v>36</v>
      </c>
      <c r="I656" t="s">
        <v>1168</v>
      </c>
      <c r="J656" t="s">
        <v>44</v>
      </c>
      <c r="K656" t="s">
        <v>59</v>
      </c>
      <c r="L656" t="s">
        <v>60</v>
      </c>
      <c r="M656" t="s">
        <v>49</v>
      </c>
      <c r="N656">
        <f>Sheet1[[#This Row],[Quantity]]*Sheet1[[#This Row],[UnitPrice]]</f>
        <v>120.30000000000001</v>
      </c>
    </row>
    <row r="657" spans="1:14" x14ac:dyDescent="0.3">
      <c r="A657" s="1">
        <v>44989</v>
      </c>
      <c r="B657" t="s">
        <v>174</v>
      </c>
      <c r="C657" t="s">
        <v>15</v>
      </c>
      <c r="D657" t="s">
        <v>16</v>
      </c>
      <c r="E657" t="s">
        <v>17</v>
      </c>
      <c r="F657">
        <v>3</v>
      </c>
      <c r="G657">
        <v>246.62</v>
      </c>
      <c r="H657" t="s">
        <v>28</v>
      </c>
      <c r="I657" t="s">
        <v>1169</v>
      </c>
      <c r="J657" t="s">
        <v>58</v>
      </c>
      <c r="K657" t="s">
        <v>31</v>
      </c>
      <c r="L657" t="s">
        <v>22</v>
      </c>
      <c r="M657" t="s">
        <v>23</v>
      </c>
      <c r="N657">
        <f>Sheet1[[#This Row],[Quantity]]*Sheet1[[#This Row],[UnitPrice]]</f>
        <v>739.86</v>
      </c>
    </row>
    <row r="658" spans="1:14" x14ac:dyDescent="0.3">
      <c r="A658" s="1">
        <v>45490</v>
      </c>
      <c r="B658" t="s">
        <v>1170</v>
      </c>
      <c r="C658" t="s">
        <v>15</v>
      </c>
      <c r="D658" t="s">
        <v>74</v>
      </c>
      <c r="E658" t="s">
        <v>17</v>
      </c>
      <c r="F658">
        <v>3</v>
      </c>
      <c r="G658">
        <v>114.5</v>
      </c>
      <c r="H658" t="s">
        <v>68</v>
      </c>
      <c r="I658" t="s">
        <v>1171</v>
      </c>
      <c r="J658" t="s">
        <v>20</v>
      </c>
      <c r="K658" t="s">
        <v>21</v>
      </c>
      <c r="L658" t="s">
        <v>39</v>
      </c>
      <c r="M658" t="s">
        <v>76</v>
      </c>
      <c r="N658">
        <f>Sheet1[[#This Row],[Quantity]]*Sheet1[[#This Row],[UnitPrice]]</f>
        <v>343.5</v>
      </c>
    </row>
    <row r="659" spans="1:14" x14ac:dyDescent="0.3">
      <c r="A659" s="1">
        <v>45733</v>
      </c>
      <c r="B659" t="s">
        <v>442</v>
      </c>
      <c r="C659" t="s">
        <v>78</v>
      </c>
      <c r="D659" t="s">
        <v>26</v>
      </c>
      <c r="E659" t="s">
        <v>35</v>
      </c>
      <c r="F659">
        <v>9</v>
      </c>
      <c r="G659">
        <v>383.2</v>
      </c>
      <c r="H659" t="s">
        <v>36</v>
      </c>
      <c r="I659" t="s">
        <v>1172</v>
      </c>
      <c r="J659" t="s">
        <v>58</v>
      </c>
      <c r="K659" t="s">
        <v>45</v>
      </c>
      <c r="L659" t="s">
        <v>22</v>
      </c>
      <c r="M659" t="s">
        <v>49</v>
      </c>
      <c r="N659">
        <f>Sheet1[[#This Row],[Quantity]]*Sheet1[[#This Row],[UnitPrice]]</f>
        <v>3448.7999999999997</v>
      </c>
    </row>
    <row r="660" spans="1:14" x14ac:dyDescent="0.3">
      <c r="A660" s="1">
        <v>45621</v>
      </c>
      <c r="B660" t="s">
        <v>807</v>
      </c>
      <c r="C660" t="s">
        <v>25</v>
      </c>
      <c r="D660" t="s">
        <v>16</v>
      </c>
      <c r="E660" t="s">
        <v>42</v>
      </c>
      <c r="F660">
        <v>3</v>
      </c>
      <c r="G660">
        <v>33.61</v>
      </c>
      <c r="H660" t="s">
        <v>28</v>
      </c>
      <c r="I660" t="s">
        <v>1173</v>
      </c>
      <c r="J660" t="s">
        <v>20</v>
      </c>
      <c r="K660" t="s">
        <v>59</v>
      </c>
      <c r="L660" t="s">
        <v>22</v>
      </c>
      <c r="M660" t="s">
        <v>49</v>
      </c>
      <c r="N660">
        <f>Sheet1[[#This Row],[Quantity]]*Sheet1[[#This Row],[UnitPrice]]</f>
        <v>100.83</v>
      </c>
    </row>
    <row r="661" spans="1:14" x14ac:dyDescent="0.3">
      <c r="A661" s="1">
        <v>45427</v>
      </c>
      <c r="B661" t="s">
        <v>1174</v>
      </c>
      <c r="C661" t="s">
        <v>34</v>
      </c>
      <c r="D661" t="s">
        <v>26</v>
      </c>
      <c r="E661" t="s">
        <v>27</v>
      </c>
      <c r="F661">
        <v>3</v>
      </c>
      <c r="G661">
        <v>370.5</v>
      </c>
      <c r="H661" t="s">
        <v>36</v>
      </c>
      <c r="I661" t="s">
        <v>1175</v>
      </c>
      <c r="J661" t="s">
        <v>38</v>
      </c>
      <c r="K661" t="s">
        <v>45</v>
      </c>
      <c r="L661" t="s">
        <v>22</v>
      </c>
      <c r="M661" t="s">
        <v>76</v>
      </c>
      <c r="N661">
        <f>Sheet1[[#This Row],[Quantity]]*Sheet1[[#This Row],[UnitPrice]]</f>
        <v>1111.5</v>
      </c>
    </row>
    <row r="662" spans="1:14" x14ac:dyDescent="0.3">
      <c r="A662" s="1">
        <v>44937</v>
      </c>
      <c r="B662" t="s">
        <v>452</v>
      </c>
      <c r="C662" t="s">
        <v>63</v>
      </c>
      <c r="D662" t="s">
        <v>47</v>
      </c>
      <c r="E662" t="s">
        <v>64</v>
      </c>
      <c r="F662">
        <v>1</v>
      </c>
      <c r="G662">
        <v>382.95</v>
      </c>
      <c r="H662" t="s">
        <v>53</v>
      </c>
      <c r="I662" t="s">
        <v>1176</v>
      </c>
      <c r="J662" t="s">
        <v>38</v>
      </c>
      <c r="K662" t="s">
        <v>31</v>
      </c>
      <c r="L662" t="s">
        <v>39</v>
      </c>
      <c r="M662" t="s">
        <v>76</v>
      </c>
      <c r="N662">
        <f>Sheet1[[#This Row],[Quantity]]*Sheet1[[#This Row],[UnitPrice]]</f>
        <v>382.95</v>
      </c>
    </row>
    <row r="663" spans="1:14" x14ac:dyDescent="0.3">
      <c r="A663" s="1">
        <v>45176</v>
      </c>
      <c r="B663" t="s">
        <v>1177</v>
      </c>
      <c r="C663" t="s">
        <v>34</v>
      </c>
      <c r="D663" t="s">
        <v>26</v>
      </c>
      <c r="E663" t="s">
        <v>17</v>
      </c>
      <c r="F663">
        <v>8</v>
      </c>
      <c r="G663">
        <v>161.58000000000001</v>
      </c>
      <c r="H663" t="s">
        <v>18</v>
      </c>
      <c r="I663" t="s">
        <v>1178</v>
      </c>
      <c r="J663" t="s">
        <v>44</v>
      </c>
      <c r="K663" t="s">
        <v>21</v>
      </c>
      <c r="L663" t="s">
        <v>39</v>
      </c>
      <c r="M663" t="s">
        <v>32</v>
      </c>
      <c r="N663">
        <f>Sheet1[[#This Row],[Quantity]]*Sheet1[[#This Row],[UnitPrice]]</f>
        <v>1292.6400000000001</v>
      </c>
    </row>
    <row r="664" spans="1:14" x14ac:dyDescent="0.3">
      <c r="A664" s="1">
        <v>45310</v>
      </c>
      <c r="B664" t="s">
        <v>894</v>
      </c>
      <c r="C664" t="s">
        <v>90</v>
      </c>
      <c r="D664" t="s">
        <v>47</v>
      </c>
      <c r="E664" t="s">
        <v>42</v>
      </c>
      <c r="F664">
        <v>4</v>
      </c>
      <c r="G664">
        <v>145.72999999999999</v>
      </c>
      <c r="H664" t="s">
        <v>68</v>
      </c>
      <c r="I664" t="s">
        <v>1179</v>
      </c>
      <c r="J664" t="s">
        <v>44</v>
      </c>
      <c r="K664" t="s">
        <v>59</v>
      </c>
      <c r="L664" t="s">
        <v>60</v>
      </c>
      <c r="M664" t="s">
        <v>40</v>
      </c>
      <c r="N664">
        <f>Sheet1[[#This Row],[Quantity]]*Sheet1[[#This Row],[UnitPrice]]</f>
        <v>582.91999999999996</v>
      </c>
    </row>
    <row r="665" spans="1:14" x14ac:dyDescent="0.3">
      <c r="A665" s="1">
        <v>45730</v>
      </c>
      <c r="B665" t="s">
        <v>1180</v>
      </c>
      <c r="C665" t="s">
        <v>34</v>
      </c>
      <c r="D665" t="s">
        <v>74</v>
      </c>
      <c r="E665" t="s">
        <v>52</v>
      </c>
      <c r="F665">
        <v>2</v>
      </c>
      <c r="G665">
        <v>71.38</v>
      </c>
      <c r="H665" t="s">
        <v>68</v>
      </c>
      <c r="I665" t="s">
        <v>1181</v>
      </c>
      <c r="J665" t="s">
        <v>44</v>
      </c>
      <c r="K665" t="s">
        <v>21</v>
      </c>
      <c r="L665" t="s">
        <v>39</v>
      </c>
      <c r="M665" t="s">
        <v>40</v>
      </c>
      <c r="N665">
        <f>Sheet1[[#This Row],[Quantity]]*Sheet1[[#This Row],[UnitPrice]]</f>
        <v>142.76</v>
      </c>
    </row>
    <row r="666" spans="1:14" x14ac:dyDescent="0.3">
      <c r="A666" s="1">
        <v>45240</v>
      </c>
      <c r="B666" t="s">
        <v>983</v>
      </c>
      <c r="C666" t="s">
        <v>15</v>
      </c>
      <c r="D666" t="s">
        <v>47</v>
      </c>
      <c r="E666" t="s">
        <v>35</v>
      </c>
      <c r="F666">
        <v>7</v>
      </c>
      <c r="G666">
        <v>290.06</v>
      </c>
      <c r="H666" t="s">
        <v>18</v>
      </c>
      <c r="I666" t="s">
        <v>1182</v>
      </c>
      <c r="J666" t="s">
        <v>58</v>
      </c>
      <c r="K666" t="s">
        <v>59</v>
      </c>
      <c r="L666" t="s">
        <v>39</v>
      </c>
      <c r="M666" t="s">
        <v>40</v>
      </c>
      <c r="N666">
        <f>Sheet1[[#This Row],[Quantity]]*Sheet1[[#This Row],[UnitPrice]]</f>
        <v>2030.42</v>
      </c>
    </row>
    <row r="667" spans="1:14" x14ac:dyDescent="0.3">
      <c r="A667" s="1">
        <v>45632</v>
      </c>
      <c r="B667" t="s">
        <v>1078</v>
      </c>
      <c r="C667" t="s">
        <v>34</v>
      </c>
      <c r="D667" t="s">
        <v>26</v>
      </c>
      <c r="E667" t="s">
        <v>35</v>
      </c>
      <c r="F667">
        <v>8</v>
      </c>
      <c r="G667">
        <v>332.94</v>
      </c>
      <c r="H667" t="s">
        <v>53</v>
      </c>
      <c r="I667" t="s">
        <v>1183</v>
      </c>
      <c r="J667" t="s">
        <v>38</v>
      </c>
      <c r="K667" t="s">
        <v>31</v>
      </c>
      <c r="L667" t="s">
        <v>60</v>
      </c>
      <c r="M667" t="s">
        <v>40</v>
      </c>
      <c r="N667">
        <f>Sheet1[[#This Row],[Quantity]]*Sheet1[[#This Row],[UnitPrice]]</f>
        <v>2663.52</v>
      </c>
    </row>
    <row r="668" spans="1:14" x14ac:dyDescent="0.3">
      <c r="A668" s="1">
        <v>45642</v>
      </c>
      <c r="B668" t="s">
        <v>427</v>
      </c>
      <c r="C668" t="s">
        <v>15</v>
      </c>
      <c r="D668" t="s">
        <v>47</v>
      </c>
      <c r="E668" t="s">
        <v>42</v>
      </c>
      <c r="F668">
        <v>9</v>
      </c>
      <c r="G668">
        <v>337.8</v>
      </c>
      <c r="H668" t="s">
        <v>28</v>
      </c>
      <c r="I668" t="s">
        <v>1184</v>
      </c>
      <c r="J668" t="s">
        <v>20</v>
      </c>
      <c r="K668" t="s">
        <v>31</v>
      </c>
      <c r="L668" t="s">
        <v>39</v>
      </c>
      <c r="M668" t="s">
        <v>49</v>
      </c>
      <c r="N668">
        <f>Sheet1[[#This Row],[Quantity]]*Sheet1[[#This Row],[UnitPrice]]</f>
        <v>3040.2000000000003</v>
      </c>
    </row>
    <row r="669" spans="1:14" x14ac:dyDescent="0.3">
      <c r="A669" s="1">
        <v>45531</v>
      </c>
      <c r="B669" t="s">
        <v>1185</v>
      </c>
      <c r="C669" t="s">
        <v>101</v>
      </c>
      <c r="D669" t="s">
        <v>26</v>
      </c>
      <c r="E669" t="s">
        <v>67</v>
      </c>
      <c r="F669">
        <v>4</v>
      </c>
      <c r="G669">
        <v>5.58</v>
      </c>
      <c r="H669" t="s">
        <v>68</v>
      </c>
      <c r="I669" t="s">
        <v>1186</v>
      </c>
      <c r="J669" t="s">
        <v>20</v>
      </c>
      <c r="K669" t="s">
        <v>45</v>
      </c>
      <c r="L669" t="s">
        <v>22</v>
      </c>
      <c r="M669" t="s">
        <v>84</v>
      </c>
      <c r="N669">
        <f>Sheet1[[#This Row],[Quantity]]*Sheet1[[#This Row],[UnitPrice]]</f>
        <v>22.32</v>
      </c>
    </row>
    <row r="670" spans="1:14" x14ac:dyDescent="0.3">
      <c r="A670" s="1">
        <v>45618</v>
      </c>
      <c r="B670" t="s">
        <v>300</v>
      </c>
      <c r="C670" t="s">
        <v>56</v>
      </c>
      <c r="D670" t="s">
        <v>26</v>
      </c>
      <c r="E670" t="s">
        <v>35</v>
      </c>
      <c r="F670">
        <v>6</v>
      </c>
      <c r="G670">
        <v>345.09</v>
      </c>
      <c r="H670" t="s">
        <v>18</v>
      </c>
      <c r="I670" t="s">
        <v>1187</v>
      </c>
      <c r="J670" t="s">
        <v>58</v>
      </c>
      <c r="K670" t="s">
        <v>59</v>
      </c>
      <c r="L670" t="s">
        <v>39</v>
      </c>
      <c r="M670" t="s">
        <v>40</v>
      </c>
      <c r="N670">
        <f>Sheet1[[#This Row],[Quantity]]*Sheet1[[#This Row],[UnitPrice]]</f>
        <v>2070.54</v>
      </c>
    </row>
    <row r="671" spans="1:14" x14ac:dyDescent="0.3">
      <c r="A671" s="1">
        <v>45746</v>
      </c>
      <c r="B671" t="s">
        <v>680</v>
      </c>
      <c r="C671" t="s">
        <v>78</v>
      </c>
      <c r="D671" t="s">
        <v>16</v>
      </c>
      <c r="E671" t="s">
        <v>64</v>
      </c>
      <c r="F671">
        <v>8</v>
      </c>
      <c r="G671">
        <v>320.77999999999997</v>
      </c>
      <c r="H671" t="s">
        <v>36</v>
      </c>
      <c r="I671" t="s">
        <v>1188</v>
      </c>
      <c r="J671" t="s">
        <v>44</v>
      </c>
      <c r="K671" t="s">
        <v>21</v>
      </c>
      <c r="L671" t="s">
        <v>39</v>
      </c>
      <c r="M671" t="s">
        <v>61</v>
      </c>
      <c r="N671">
        <f>Sheet1[[#This Row],[Quantity]]*Sheet1[[#This Row],[UnitPrice]]</f>
        <v>2566.2399999999998</v>
      </c>
    </row>
    <row r="672" spans="1:14" x14ac:dyDescent="0.3">
      <c r="A672" s="1">
        <v>45688</v>
      </c>
      <c r="B672" t="s">
        <v>829</v>
      </c>
      <c r="C672" t="s">
        <v>51</v>
      </c>
      <c r="D672" t="s">
        <v>74</v>
      </c>
      <c r="E672" t="s">
        <v>17</v>
      </c>
      <c r="F672">
        <v>10</v>
      </c>
      <c r="G672">
        <v>78.989999999999995</v>
      </c>
      <c r="H672" t="s">
        <v>36</v>
      </c>
      <c r="I672" t="s">
        <v>1189</v>
      </c>
      <c r="J672" t="s">
        <v>20</v>
      </c>
      <c r="K672" t="s">
        <v>31</v>
      </c>
      <c r="L672" t="s">
        <v>39</v>
      </c>
      <c r="M672" t="s">
        <v>40</v>
      </c>
      <c r="N672">
        <f>Sheet1[[#This Row],[Quantity]]*Sheet1[[#This Row],[UnitPrice]]</f>
        <v>789.9</v>
      </c>
    </row>
    <row r="673" spans="1:14" x14ac:dyDescent="0.3">
      <c r="A673" s="1">
        <v>45715</v>
      </c>
      <c r="B673" t="s">
        <v>1190</v>
      </c>
      <c r="C673" t="s">
        <v>51</v>
      </c>
      <c r="D673" t="s">
        <v>74</v>
      </c>
      <c r="E673" t="s">
        <v>35</v>
      </c>
      <c r="F673">
        <v>2</v>
      </c>
      <c r="G673">
        <v>224.39</v>
      </c>
      <c r="H673" t="s">
        <v>28</v>
      </c>
      <c r="I673" t="s">
        <v>1191</v>
      </c>
      <c r="J673" t="s">
        <v>58</v>
      </c>
      <c r="K673" t="s">
        <v>59</v>
      </c>
      <c r="L673" t="s">
        <v>39</v>
      </c>
      <c r="M673" t="s">
        <v>32</v>
      </c>
      <c r="N673">
        <f>Sheet1[[#This Row],[Quantity]]*Sheet1[[#This Row],[UnitPrice]]</f>
        <v>448.78</v>
      </c>
    </row>
    <row r="674" spans="1:14" x14ac:dyDescent="0.3">
      <c r="A674" s="1">
        <v>45504</v>
      </c>
      <c r="B674" t="s">
        <v>1192</v>
      </c>
      <c r="C674" t="s">
        <v>73</v>
      </c>
      <c r="D674" t="s">
        <v>74</v>
      </c>
      <c r="E674" t="s">
        <v>52</v>
      </c>
      <c r="F674">
        <v>3</v>
      </c>
      <c r="G674">
        <v>235.61</v>
      </c>
      <c r="H674" t="s">
        <v>36</v>
      </c>
      <c r="I674" t="s">
        <v>1193</v>
      </c>
      <c r="J674" t="s">
        <v>38</v>
      </c>
      <c r="K674" t="s">
        <v>59</v>
      </c>
      <c r="L674" t="s">
        <v>60</v>
      </c>
      <c r="M674" t="s">
        <v>76</v>
      </c>
      <c r="N674">
        <f>Sheet1[[#This Row],[Quantity]]*Sheet1[[#This Row],[UnitPrice]]</f>
        <v>706.83</v>
      </c>
    </row>
    <row r="675" spans="1:14" x14ac:dyDescent="0.3">
      <c r="A675" s="1">
        <v>45203</v>
      </c>
      <c r="B675" t="s">
        <v>1194</v>
      </c>
      <c r="C675" t="s">
        <v>73</v>
      </c>
      <c r="D675" t="s">
        <v>16</v>
      </c>
      <c r="E675" t="s">
        <v>42</v>
      </c>
      <c r="F675">
        <v>2</v>
      </c>
      <c r="G675">
        <v>267.91000000000003</v>
      </c>
      <c r="H675" t="s">
        <v>53</v>
      </c>
      <c r="I675" t="s">
        <v>1195</v>
      </c>
      <c r="J675" t="s">
        <v>44</v>
      </c>
      <c r="K675" t="s">
        <v>21</v>
      </c>
      <c r="L675" t="s">
        <v>39</v>
      </c>
      <c r="M675" t="s">
        <v>76</v>
      </c>
      <c r="N675">
        <f>Sheet1[[#This Row],[Quantity]]*Sheet1[[#This Row],[UnitPrice]]</f>
        <v>535.82000000000005</v>
      </c>
    </row>
    <row r="676" spans="1:14" x14ac:dyDescent="0.3">
      <c r="A676" s="1">
        <v>45230</v>
      </c>
      <c r="B676" t="s">
        <v>752</v>
      </c>
      <c r="C676" t="s">
        <v>78</v>
      </c>
      <c r="D676" t="s">
        <v>47</v>
      </c>
      <c r="E676" t="s">
        <v>52</v>
      </c>
      <c r="F676">
        <v>4</v>
      </c>
      <c r="G676">
        <v>171.93</v>
      </c>
      <c r="H676" t="s">
        <v>18</v>
      </c>
      <c r="I676" t="s">
        <v>1196</v>
      </c>
      <c r="J676" t="s">
        <v>38</v>
      </c>
      <c r="K676" t="s">
        <v>59</v>
      </c>
      <c r="L676" t="s">
        <v>22</v>
      </c>
      <c r="M676" t="s">
        <v>84</v>
      </c>
      <c r="N676">
        <f>Sheet1[[#This Row],[Quantity]]*Sheet1[[#This Row],[UnitPrice]]</f>
        <v>687.72</v>
      </c>
    </row>
    <row r="677" spans="1:14" x14ac:dyDescent="0.3">
      <c r="A677" s="1">
        <v>45601</v>
      </c>
      <c r="B677" t="s">
        <v>119</v>
      </c>
      <c r="C677" t="s">
        <v>101</v>
      </c>
      <c r="D677" t="s">
        <v>16</v>
      </c>
      <c r="E677" t="s">
        <v>42</v>
      </c>
      <c r="F677">
        <v>9</v>
      </c>
      <c r="G677">
        <v>388.94</v>
      </c>
      <c r="H677" t="s">
        <v>68</v>
      </c>
      <c r="I677" t="s">
        <v>1197</v>
      </c>
      <c r="J677" t="s">
        <v>30</v>
      </c>
      <c r="K677" t="s">
        <v>21</v>
      </c>
      <c r="L677" t="s">
        <v>60</v>
      </c>
      <c r="M677" t="s">
        <v>84</v>
      </c>
      <c r="N677">
        <f>Sheet1[[#This Row],[Quantity]]*Sheet1[[#This Row],[UnitPrice]]</f>
        <v>3500.46</v>
      </c>
    </row>
    <row r="678" spans="1:14" x14ac:dyDescent="0.3">
      <c r="A678" s="1">
        <v>45382</v>
      </c>
      <c r="B678" t="s">
        <v>605</v>
      </c>
      <c r="C678" t="s">
        <v>78</v>
      </c>
      <c r="D678" t="s">
        <v>47</v>
      </c>
      <c r="E678" t="s">
        <v>67</v>
      </c>
      <c r="F678">
        <v>9</v>
      </c>
      <c r="G678">
        <v>91.74</v>
      </c>
      <c r="H678" t="s">
        <v>18</v>
      </c>
      <c r="I678" t="s">
        <v>1198</v>
      </c>
      <c r="J678" t="s">
        <v>20</v>
      </c>
      <c r="K678" t="s">
        <v>31</v>
      </c>
      <c r="L678" t="s">
        <v>39</v>
      </c>
      <c r="M678" t="s">
        <v>61</v>
      </c>
      <c r="N678">
        <f>Sheet1[[#This Row],[Quantity]]*Sheet1[[#This Row],[UnitPrice]]</f>
        <v>825.66</v>
      </c>
    </row>
    <row r="679" spans="1:14" x14ac:dyDescent="0.3">
      <c r="A679" s="1">
        <v>45199</v>
      </c>
      <c r="B679" t="s">
        <v>1199</v>
      </c>
      <c r="C679" t="s">
        <v>78</v>
      </c>
      <c r="D679" t="s">
        <v>74</v>
      </c>
      <c r="E679" t="s">
        <v>67</v>
      </c>
      <c r="F679">
        <v>10</v>
      </c>
      <c r="G679">
        <v>106.41</v>
      </c>
      <c r="H679" t="s">
        <v>28</v>
      </c>
      <c r="I679" t="s">
        <v>1200</v>
      </c>
      <c r="J679" t="s">
        <v>58</v>
      </c>
      <c r="K679" t="s">
        <v>21</v>
      </c>
      <c r="L679" t="s">
        <v>22</v>
      </c>
      <c r="M679" t="s">
        <v>23</v>
      </c>
      <c r="N679">
        <f>Sheet1[[#This Row],[Quantity]]*Sheet1[[#This Row],[UnitPrice]]</f>
        <v>1064.0999999999999</v>
      </c>
    </row>
    <row r="680" spans="1:14" x14ac:dyDescent="0.3">
      <c r="A680" s="1">
        <v>45067</v>
      </c>
      <c r="B680" t="s">
        <v>1201</v>
      </c>
      <c r="C680" t="s">
        <v>25</v>
      </c>
      <c r="D680" t="s">
        <v>16</v>
      </c>
      <c r="E680" t="s">
        <v>27</v>
      </c>
      <c r="F680">
        <v>10</v>
      </c>
      <c r="G680">
        <v>246.8</v>
      </c>
      <c r="H680" t="s">
        <v>68</v>
      </c>
      <c r="I680" t="s">
        <v>1202</v>
      </c>
      <c r="J680" t="s">
        <v>44</v>
      </c>
      <c r="K680" t="s">
        <v>59</v>
      </c>
      <c r="L680" t="s">
        <v>22</v>
      </c>
      <c r="M680" t="s">
        <v>61</v>
      </c>
      <c r="N680">
        <f>Sheet1[[#This Row],[Quantity]]*Sheet1[[#This Row],[UnitPrice]]</f>
        <v>2468</v>
      </c>
    </row>
    <row r="681" spans="1:14" x14ac:dyDescent="0.3">
      <c r="A681" s="1">
        <v>44932</v>
      </c>
      <c r="B681" t="s">
        <v>1203</v>
      </c>
      <c r="C681" t="s">
        <v>101</v>
      </c>
      <c r="D681" t="s">
        <v>26</v>
      </c>
      <c r="E681" t="s">
        <v>64</v>
      </c>
      <c r="F681">
        <v>3</v>
      </c>
      <c r="G681">
        <v>175.26</v>
      </c>
      <c r="H681" t="s">
        <v>18</v>
      </c>
      <c r="I681" t="s">
        <v>1204</v>
      </c>
      <c r="J681" t="s">
        <v>38</v>
      </c>
      <c r="K681" t="s">
        <v>21</v>
      </c>
      <c r="L681" t="s">
        <v>22</v>
      </c>
      <c r="M681" t="s">
        <v>40</v>
      </c>
      <c r="N681">
        <f>Sheet1[[#This Row],[Quantity]]*Sheet1[[#This Row],[UnitPrice]]</f>
        <v>525.78</v>
      </c>
    </row>
    <row r="682" spans="1:14" x14ac:dyDescent="0.3">
      <c r="A682" s="1">
        <v>45051</v>
      </c>
      <c r="B682" t="s">
        <v>1205</v>
      </c>
      <c r="C682" t="s">
        <v>101</v>
      </c>
      <c r="D682" t="s">
        <v>26</v>
      </c>
      <c r="E682" t="s">
        <v>27</v>
      </c>
      <c r="F682">
        <v>7</v>
      </c>
      <c r="G682">
        <v>53.26</v>
      </c>
      <c r="H682" t="s">
        <v>53</v>
      </c>
      <c r="I682" t="s">
        <v>1206</v>
      </c>
      <c r="J682" t="s">
        <v>44</v>
      </c>
      <c r="K682" t="s">
        <v>59</v>
      </c>
      <c r="L682" t="s">
        <v>39</v>
      </c>
      <c r="M682" t="s">
        <v>40</v>
      </c>
      <c r="N682">
        <f>Sheet1[[#This Row],[Quantity]]*Sheet1[[#This Row],[UnitPrice]]</f>
        <v>372.82</v>
      </c>
    </row>
    <row r="683" spans="1:14" x14ac:dyDescent="0.3">
      <c r="A683" s="1">
        <v>45281</v>
      </c>
      <c r="B683" t="s">
        <v>1207</v>
      </c>
      <c r="C683" t="s">
        <v>56</v>
      </c>
      <c r="D683" t="s">
        <v>16</v>
      </c>
      <c r="E683" t="s">
        <v>64</v>
      </c>
      <c r="F683">
        <v>9</v>
      </c>
      <c r="G683">
        <v>66.069999999999993</v>
      </c>
      <c r="H683" t="s">
        <v>53</v>
      </c>
      <c r="I683" t="s">
        <v>1208</v>
      </c>
      <c r="J683" t="s">
        <v>30</v>
      </c>
      <c r="K683" t="s">
        <v>45</v>
      </c>
      <c r="L683" t="s">
        <v>22</v>
      </c>
      <c r="M683" t="s">
        <v>32</v>
      </c>
      <c r="N683">
        <f>Sheet1[[#This Row],[Quantity]]*Sheet1[[#This Row],[UnitPrice]]</f>
        <v>594.62999999999988</v>
      </c>
    </row>
    <row r="684" spans="1:14" x14ac:dyDescent="0.3">
      <c r="A684" s="1">
        <v>45719</v>
      </c>
      <c r="B684" t="s">
        <v>160</v>
      </c>
      <c r="C684" t="s">
        <v>90</v>
      </c>
      <c r="D684" t="s">
        <v>26</v>
      </c>
      <c r="E684" t="s">
        <v>17</v>
      </c>
      <c r="F684">
        <v>2</v>
      </c>
      <c r="G684">
        <v>238.45</v>
      </c>
      <c r="H684" t="s">
        <v>53</v>
      </c>
      <c r="I684" t="s">
        <v>1209</v>
      </c>
      <c r="J684" t="s">
        <v>20</v>
      </c>
      <c r="K684" t="s">
        <v>31</v>
      </c>
      <c r="L684" t="s">
        <v>22</v>
      </c>
      <c r="M684" t="s">
        <v>49</v>
      </c>
      <c r="N684">
        <f>Sheet1[[#This Row],[Quantity]]*Sheet1[[#This Row],[UnitPrice]]</f>
        <v>476.9</v>
      </c>
    </row>
    <row r="685" spans="1:14" x14ac:dyDescent="0.3">
      <c r="A685" s="1">
        <v>45268</v>
      </c>
      <c r="B685" t="s">
        <v>1210</v>
      </c>
      <c r="C685" t="s">
        <v>15</v>
      </c>
      <c r="D685" t="s">
        <v>16</v>
      </c>
      <c r="E685" t="s">
        <v>42</v>
      </c>
      <c r="F685">
        <v>9</v>
      </c>
      <c r="G685">
        <v>243.57</v>
      </c>
      <c r="H685" t="s">
        <v>18</v>
      </c>
      <c r="I685" t="s">
        <v>1211</v>
      </c>
      <c r="J685" t="s">
        <v>38</v>
      </c>
      <c r="K685" t="s">
        <v>31</v>
      </c>
      <c r="L685" t="s">
        <v>22</v>
      </c>
      <c r="M685" t="s">
        <v>40</v>
      </c>
      <c r="N685">
        <f>Sheet1[[#This Row],[Quantity]]*Sheet1[[#This Row],[UnitPrice]]</f>
        <v>2192.13</v>
      </c>
    </row>
    <row r="686" spans="1:14" x14ac:dyDescent="0.3">
      <c r="A686" s="1">
        <v>45433</v>
      </c>
      <c r="B686" t="s">
        <v>1212</v>
      </c>
      <c r="C686" t="s">
        <v>90</v>
      </c>
      <c r="D686" t="s">
        <v>47</v>
      </c>
      <c r="E686" t="s">
        <v>52</v>
      </c>
      <c r="F686">
        <v>2</v>
      </c>
      <c r="G686">
        <v>25.64</v>
      </c>
      <c r="H686" t="s">
        <v>36</v>
      </c>
      <c r="I686" t="s">
        <v>1213</v>
      </c>
      <c r="J686" t="s">
        <v>30</v>
      </c>
      <c r="K686" t="s">
        <v>45</v>
      </c>
      <c r="L686" t="s">
        <v>60</v>
      </c>
      <c r="M686" t="s">
        <v>84</v>
      </c>
      <c r="N686">
        <f>Sheet1[[#This Row],[Quantity]]*Sheet1[[#This Row],[UnitPrice]]</f>
        <v>51.28</v>
      </c>
    </row>
    <row r="687" spans="1:14" x14ac:dyDescent="0.3">
      <c r="A687" s="1">
        <v>45238</v>
      </c>
      <c r="B687" t="s">
        <v>479</v>
      </c>
      <c r="C687" t="s">
        <v>63</v>
      </c>
      <c r="D687" t="s">
        <v>26</v>
      </c>
      <c r="E687" t="s">
        <v>67</v>
      </c>
      <c r="F687">
        <v>3</v>
      </c>
      <c r="G687">
        <v>391.04</v>
      </c>
      <c r="H687" t="s">
        <v>18</v>
      </c>
      <c r="I687" t="s">
        <v>1214</v>
      </c>
      <c r="J687" t="s">
        <v>30</v>
      </c>
      <c r="K687" t="s">
        <v>45</v>
      </c>
      <c r="L687" t="s">
        <v>22</v>
      </c>
      <c r="M687" t="s">
        <v>76</v>
      </c>
      <c r="N687">
        <f>Sheet1[[#This Row],[Quantity]]*Sheet1[[#This Row],[UnitPrice]]</f>
        <v>1173.1200000000001</v>
      </c>
    </row>
    <row r="688" spans="1:14" x14ac:dyDescent="0.3">
      <c r="A688" s="1">
        <v>45553</v>
      </c>
      <c r="B688" t="s">
        <v>1212</v>
      </c>
      <c r="C688" t="s">
        <v>63</v>
      </c>
      <c r="D688" t="s">
        <v>16</v>
      </c>
      <c r="E688" t="s">
        <v>42</v>
      </c>
      <c r="F688">
        <v>7</v>
      </c>
      <c r="G688">
        <v>67.72</v>
      </c>
      <c r="H688" t="s">
        <v>18</v>
      </c>
      <c r="I688" t="s">
        <v>1215</v>
      </c>
      <c r="J688" t="s">
        <v>20</v>
      </c>
      <c r="K688" t="s">
        <v>31</v>
      </c>
      <c r="L688" t="s">
        <v>60</v>
      </c>
      <c r="M688" t="s">
        <v>76</v>
      </c>
      <c r="N688">
        <f>Sheet1[[#This Row],[Quantity]]*Sheet1[[#This Row],[UnitPrice]]</f>
        <v>474.03999999999996</v>
      </c>
    </row>
    <row r="689" spans="1:14" x14ac:dyDescent="0.3">
      <c r="A689" s="1">
        <v>45154</v>
      </c>
      <c r="B689" t="s">
        <v>117</v>
      </c>
      <c r="C689" t="s">
        <v>51</v>
      </c>
      <c r="D689" t="s">
        <v>16</v>
      </c>
      <c r="E689" t="s">
        <v>67</v>
      </c>
      <c r="F689">
        <v>6</v>
      </c>
      <c r="G689">
        <v>8.4</v>
      </c>
      <c r="H689" t="s">
        <v>18</v>
      </c>
      <c r="I689" t="s">
        <v>1216</v>
      </c>
      <c r="J689" t="s">
        <v>38</v>
      </c>
      <c r="K689" t="s">
        <v>31</v>
      </c>
      <c r="L689" t="s">
        <v>22</v>
      </c>
      <c r="M689" t="s">
        <v>76</v>
      </c>
      <c r="N689">
        <f>Sheet1[[#This Row],[Quantity]]*Sheet1[[#This Row],[UnitPrice]]</f>
        <v>50.400000000000006</v>
      </c>
    </row>
    <row r="690" spans="1:14" x14ac:dyDescent="0.3">
      <c r="A690" s="1">
        <v>45426</v>
      </c>
      <c r="B690" t="s">
        <v>1212</v>
      </c>
      <c r="C690" t="s">
        <v>63</v>
      </c>
      <c r="D690" t="s">
        <v>26</v>
      </c>
      <c r="E690" t="s">
        <v>52</v>
      </c>
      <c r="F690">
        <v>8</v>
      </c>
      <c r="G690">
        <v>300.22000000000003</v>
      </c>
      <c r="H690" t="s">
        <v>36</v>
      </c>
      <c r="I690" t="s">
        <v>1217</v>
      </c>
      <c r="J690" t="s">
        <v>38</v>
      </c>
      <c r="K690" t="s">
        <v>59</v>
      </c>
      <c r="L690" t="s">
        <v>60</v>
      </c>
      <c r="M690" t="s">
        <v>84</v>
      </c>
      <c r="N690">
        <f>Sheet1[[#This Row],[Quantity]]*Sheet1[[#This Row],[UnitPrice]]</f>
        <v>2401.7600000000002</v>
      </c>
    </row>
    <row r="691" spans="1:14" x14ac:dyDescent="0.3">
      <c r="A691" s="1">
        <v>45395</v>
      </c>
      <c r="B691" t="s">
        <v>235</v>
      </c>
      <c r="C691" t="s">
        <v>25</v>
      </c>
      <c r="D691" t="s">
        <v>74</v>
      </c>
      <c r="E691" t="s">
        <v>64</v>
      </c>
      <c r="F691">
        <v>4</v>
      </c>
      <c r="G691">
        <v>366.65</v>
      </c>
      <c r="H691" t="s">
        <v>53</v>
      </c>
      <c r="I691" t="s">
        <v>1218</v>
      </c>
      <c r="J691" t="s">
        <v>20</v>
      </c>
      <c r="K691" t="s">
        <v>31</v>
      </c>
      <c r="L691" t="s">
        <v>39</v>
      </c>
      <c r="M691" t="s">
        <v>23</v>
      </c>
      <c r="N691">
        <f>Sheet1[[#This Row],[Quantity]]*Sheet1[[#This Row],[UnitPrice]]</f>
        <v>1466.6</v>
      </c>
    </row>
    <row r="692" spans="1:14" x14ac:dyDescent="0.3">
      <c r="A692" s="1">
        <v>45734</v>
      </c>
      <c r="B692" t="s">
        <v>1219</v>
      </c>
      <c r="C692" t="s">
        <v>90</v>
      </c>
      <c r="D692" t="s">
        <v>47</v>
      </c>
      <c r="E692" t="s">
        <v>27</v>
      </c>
      <c r="F692">
        <v>5</v>
      </c>
      <c r="G692">
        <v>234.05</v>
      </c>
      <c r="H692" t="s">
        <v>53</v>
      </c>
      <c r="I692" t="s">
        <v>1220</v>
      </c>
      <c r="J692" t="s">
        <v>20</v>
      </c>
      <c r="K692" t="s">
        <v>45</v>
      </c>
      <c r="L692" t="s">
        <v>39</v>
      </c>
      <c r="M692" t="s">
        <v>84</v>
      </c>
      <c r="N692">
        <f>Sheet1[[#This Row],[Quantity]]*Sheet1[[#This Row],[UnitPrice]]</f>
        <v>1170.25</v>
      </c>
    </row>
    <row r="693" spans="1:14" x14ac:dyDescent="0.3">
      <c r="A693" s="1">
        <v>45742</v>
      </c>
      <c r="B693" t="s">
        <v>277</v>
      </c>
      <c r="C693" t="s">
        <v>90</v>
      </c>
      <c r="D693" t="s">
        <v>16</v>
      </c>
      <c r="E693" t="s">
        <v>17</v>
      </c>
      <c r="F693">
        <v>5</v>
      </c>
      <c r="G693">
        <v>261.8</v>
      </c>
      <c r="H693" t="s">
        <v>53</v>
      </c>
      <c r="I693" t="s">
        <v>1221</v>
      </c>
      <c r="J693" t="s">
        <v>44</v>
      </c>
      <c r="K693" t="s">
        <v>59</v>
      </c>
      <c r="L693" t="s">
        <v>60</v>
      </c>
      <c r="M693" t="s">
        <v>76</v>
      </c>
      <c r="N693">
        <f>Sheet1[[#This Row],[Quantity]]*Sheet1[[#This Row],[UnitPrice]]</f>
        <v>1309</v>
      </c>
    </row>
    <row r="694" spans="1:14" x14ac:dyDescent="0.3">
      <c r="A694" s="1">
        <v>45090</v>
      </c>
      <c r="B694" t="s">
        <v>934</v>
      </c>
      <c r="C694" t="s">
        <v>15</v>
      </c>
      <c r="D694" t="s">
        <v>26</v>
      </c>
      <c r="E694" t="s">
        <v>35</v>
      </c>
      <c r="F694">
        <v>10</v>
      </c>
      <c r="G694">
        <v>226.09</v>
      </c>
      <c r="H694" t="s">
        <v>18</v>
      </c>
      <c r="I694" t="s">
        <v>1222</v>
      </c>
      <c r="J694" t="s">
        <v>44</v>
      </c>
      <c r="K694" t="s">
        <v>45</v>
      </c>
      <c r="L694" t="s">
        <v>39</v>
      </c>
      <c r="M694" t="s">
        <v>84</v>
      </c>
      <c r="N694">
        <f>Sheet1[[#This Row],[Quantity]]*Sheet1[[#This Row],[UnitPrice]]</f>
        <v>2260.9</v>
      </c>
    </row>
    <row r="695" spans="1:14" x14ac:dyDescent="0.3">
      <c r="A695" s="1">
        <v>45161</v>
      </c>
      <c r="B695" t="s">
        <v>1223</v>
      </c>
      <c r="C695" t="s">
        <v>25</v>
      </c>
      <c r="D695" t="s">
        <v>26</v>
      </c>
      <c r="E695" t="s">
        <v>52</v>
      </c>
      <c r="F695">
        <v>5</v>
      </c>
      <c r="G695">
        <v>217.01</v>
      </c>
      <c r="H695" t="s">
        <v>68</v>
      </c>
      <c r="I695" t="s">
        <v>1224</v>
      </c>
      <c r="J695" t="s">
        <v>20</v>
      </c>
      <c r="K695" t="s">
        <v>31</v>
      </c>
      <c r="L695" t="s">
        <v>60</v>
      </c>
      <c r="M695" t="s">
        <v>76</v>
      </c>
      <c r="N695">
        <f>Sheet1[[#This Row],[Quantity]]*Sheet1[[#This Row],[UnitPrice]]</f>
        <v>1085.05</v>
      </c>
    </row>
    <row r="696" spans="1:14" x14ac:dyDescent="0.3">
      <c r="A696" s="1">
        <v>45609</v>
      </c>
      <c r="B696" t="s">
        <v>1037</v>
      </c>
      <c r="C696" t="s">
        <v>78</v>
      </c>
      <c r="D696" t="s">
        <v>26</v>
      </c>
      <c r="E696" t="s">
        <v>67</v>
      </c>
      <c r="F696">
        <v>10</v>
      </c>
      <c r="G696">
        <v>281.41000000000003</v>
      </c>
      <c r="H696" t="s">
        <v>36</v>
      </c>
      <c r="I696" t="s">
        <v>1225</v>
      </c>
      <c r="J696" t="s">
        <v>20</v>
      </c>
      <c r="K696" t="s">
        <v>21</v>
      </c>
      <c r="L696" t="s">
        <v>39</v>
      </c>
      <c r="M696" t="s">
        <v>76</v>
      </c>
      <c r="N696">
        <f>Sheet1[[#This Row],[Quantity]]*Sheet1[[#This Row],[UnitPrice]]</f>
        <v>2814.1000000000004</v>
      </c>
    </row>
    <row r="697" spans="1:14" x14ac:dyDescent="0.3">
      <c r="A697" s="1">
        <v>45812</v>
      </c>
      <c r="B697" t="s">
        <v>1098</v>
      </c>
      <c r="C697" t="s">
        <v>73</v>
      </c>
      <c r="D697" t="s">
        <v>26</v>
      </c>
      <c r="E697" t="s">
        <v>35</v>
      </c>
      <c r="F697">
        <v>8</v>
      </c>
      <c r="G697">
        <v>38.15</v>
      </c>
      <c r="H697" t="s">
        <v>18</v>
      </c>
      <c r="I697" t="s">
        <v>1226</v>
      </c>
      <c r="J697" t="s">
        <v>20</v>
      </c>
      <c r="K697" t="s">
        <v>21</v>
      </c>
      <c r="L697" t="s">
        <v>39</v>
      </c>
      <c r="M697" t="s">
        <v>76</v>
      </c>
      <c r="N697">
        <f>Sheet1[[#This Row],[Quantity]]*Sheet1[[#This Row],[UnitPrice]]</f>
        <v>305.2</v>
      </c>
    </row>
    <row r="698" spans="1:14" x14ac:dyDescent="0.3">
      <c r="A698" s="1">
        <v>45650</v>
      </c>
      <c r="B698" t="s">
        <v>1227</v>
      </c>
      <c r="C698" t="s">
        <v>63</v>
      </c>
      <c r="D698" t="s">
        <v>16</v>
      </c>
      <c r="E698" t="s">
        <v>52</v>
      </c>
      <c r="F698">
        <v>5</v>
      </c>
      <c r="G698">
        <v>331.54</v>
      </c>
      <c r="H698" t="s">
        <v>53</v>
      </c>
      <c r="I698" t="s">
        <v>1228</v>
      </c>
      <c r="J698" t="s">
        <v>30</v>
      </c>
      <c r="K698" t="s">
        <v>31</v>
      </c>
      <c r="L698" t="s">
        <v>39</v>
      </c>
      <c r="M698" t="s">
        <v>84</v>
      </c>
      <c r="N698">
        <f>Sheet1[[#This Row],[Quantity]]*Sheet1[[#This Row],[UnitPrice]]</f>
        <v>1657.7</v>
      </c>
    </row>
    <row r="699" spans="1:14" x14ac:dyDescent="0.3">
      <c r="A699" s="1">
        <v>45171</v>
      </c>
      <c r="B699" t="s">
        <v>917</v>
      </c>
      <c r="C699" t="s">
        <v>34</v>
      </c>
      <c r="D699" t="s">
        <v>16</v>
      </c>
      <c r="E699" t="s">
        <v>35</v>
      </c>
      <c r="F699">
        <v>3</v>
      </c>
      <c r="G699">
        <v>132.49</v>
      </c>
      <c r="H699" t="s">
        <v>28</v>
      </c>
      <c r="I699" t="s">
        <v>1229</v>
      </c>
      <c r="J699" t="s">
        <v>44</v>
      </c>
      <c r="K699" t="s">
        <v>21</v>
      </c>
      <c r="L699" t="s">
        <v>22</v>
      </c>
      <c r="M699" t="s">
        <v>23</v>
      </c>
      <c r="N699">
        <f>Sheet1[[#This Row],[Quantity]]*Sheet1[[#This Row],[UnitPrice]]</f>
        <v>397.47</v>
      </c>
    </row>
    <row r="700" spans="1:14" x14ac:dyDescent="0.3">
      <c r="A700" s="1">
        <v>45833</v>
      </c>
      <c r="B700" t="s">
        <v>436</v>
      </c>
      <c r="C700" t="s">
        <v>34</v>
      </c>
      <c r="D700" t="s">
        <v>47</v>
      </c>
      <c r="E700" t="s">
        <v>42</v>
      </c>
      <c r="F700">
        <v>7</v>
      </c>
      <c r="G700">
        <v>279.23</v>
      </c>
      <c r="H700" t="s">
        <v>28</v>
      </c>
      <c r="I700" t="s">
        <v>1230</v>
      </c>
      <c r="J700" t="s">
        <v>30</v>
      </c>
      <c r="K700" t="s">
        <v>59</v>
      </c>
      <c r="L700" t="s">
        <v>39</v>
      </c>
      <c r="M700" t="s">
        <v>76</v>
      </c>
      <c r="N700">
        <f>Sheet1[[#This Row],[Quantity]]*Sheet1[[#This Row],[UnitPrice]]</f>
        <v>1954.6100000000001</v>
      </c>
    </row>
    <row r="701" spans="1:14" x14ac:dyDescent="0.3">
      <c r="A701" s="1">
        <v>45789</v>
      </c>
      <c r="B701" t="s">
        <v>1231</v>
      </c>
      <c r="C701" t="s">
        <v>78</v>
      </c>
      <c r="D701" t="s">
        <v>47</v>
      </c>
      <c r="E701" t="s">
        <v>64</v>
      </c>
      <c r="F701">
        <v>1</v>
      </c>
      <c r="G701">
        <v>236.07</v>
      </c>
      <c r="H701" t="s">
        <v>36</v>
      </c>
      <c r="I701" t="s">
        <v>1232</v>
      </c>
      <c r="J701" t="s">
        <v>30</v>
      </c>
      <c r="K701" t="s">
        <v>31</v>
      </c>
      <c r="L701" t="s">
        <v>22</v>
      </c>
      <c r="M701" t="s">
        <v>49</v>
      </c>
      <c r="N701">
        <f>Sheet1[[#This Row],[Quantity]]*Sheet1[[#This Row],[UnitPrice]]</f>
        <v>236.07</v>
      </c>
    </row>
    <row r="702" spans="1:14" x14ac:dyDescent="0.3">
      <c r="A702" s="1">
        <v>45578</v>
      </c>
      <c r="B702" t="s">
        <v>724</v>
      </c>
      <c r="C702" t="s">
        <v>63</v>
      </c>
      <c r="D702" t="s">
        <v>26</v>
      </c>
      <c r="E702" t="s">
        <v>35</v>
      </c>
      <c r="F702">
        <v>8</v>
      </c>
      <c r="G702">
        <v>21.25</v>
      </c>
      <c r="H702" t="s">
        <v>36</v>
      </c>
      <c r="I702" t="s">
        <v>1233</v>
      </c>
      <c r="J702" t="s">
        <v>44</v>
      </c>
      <c r="K702" t="s">
        <v>21</v>
      </c>
      <c r="L702" t="s">
        <v>39</v>
      </c>
      <c r="M702" t="s">
        <v>61</v>
      </c>
      <c r="N702">
        <f>Sheet1[[#This Row],[Quantity]]*Sheet1[[#This Row],[UnitPrice]]</f>
        <v>170</v>
      </c>
    </row>
    <row r="703" spans="1:14" x14ac:dyDescent="0.3">
      <c r="A703" s="1">
        <v>45202</v>
      </c>
      <c r="B703" t="s">
        <v>1234</v>
      </c>
      <c r="C703" t="s">
        <v>78</v>
      </c>
      <c r="D703" t="s">
        <v>74</v>
      </c>
      <c r="E703" t="s">
        <v>52</v>
      </c>
      <c r="F703">
        <v>1</v>
      </c>
      <c r="G703">
        <v>292.38</v>
      </c>
      <c r="H703" t="s">
        <v>36</v>
      </c>
      <c r="I703" t="s">
        <v>1235</v>
      </c>
      <c r="J703" t="s">
        <v>30</v>
      </c>
      <c r="K703" t="s">
        <v>59</v>
      </c>
      <c r="L703" t="s">
        <v>22</v>
      </c>
      <c r="M703" t="s">
        <v>84</v>
      </c>
      <c r="N703">
        <f>Sheet1[[#This Row],[Quantity]]*Sheet1[[#This Row],[UnitPrice]]</f>
        <v>292.38</v>
      </c>
    </row>
    <row r="704" spans="1:14" x14ac:dyDescent="0.3">
      <c r="A704" s="1">
        <v>45605</v>
      </c>
      <c r="B704" t="s">
        <v>1236</v>
      </c>
      <c r="C704" t="s">
        <v>101</v>
      </c>
      <c r="D704" t="s">
        <v>16</v>
      </c>
      <c r="E704" t="s">
        <v>35</v>
      </c>
      <c r="F704">
        <v>8</v>
      </c>
      <c r="G704">
        <v>23</v>
      </c>
      <c r="H704" t="s">
        <v>68</v>
      </c>
      <c r="I704" t="s">
        <v>1237</v>
      </c>
      <c r="J704" t="s">
        <v>30</v>
      </c>
      <c r="K704" t="s">
        <v>31</v>
      </c>
      <c r="L704" t="s">
        <v>22</v>
      </c>
      <c r="M704" t="s">
        <v>23</v>
      </c>
      <c r="N704">
        <f>Sheet1[[#This Row],[Quantity]]*Sheet1[[#This Row],[UnitPrice]]</f>
        <v>184</v>
      </c>
    </row>
    <row r="705" spans="1:14" x14ac:dyDescent="0.3">
      <c r="A705" s="1">
        <v>45261</v>
      </c>
      <c r="B705" t="s">
        <v>1238</v>
      </c>
      <c r="C705" t="s">
        <v>101</v>
      </c>
      <c r="D705" t="s">
        <v>74</v>
      </c>
      <c r="E705" t="s">
        <v>35</v>
      </c>
      <c r="F705">
        <v>4</v>
      </c>
      <c r="G705">
        <v>225.6</v>
      </c>
      <c r="H705" t="s">
        <v>18</v>
      </c>
      <c r="I705" t="s">
        <v>1239</v>
      </c>
      <c r="J705" t="s">
        <v>44</v>
      </c>
      <c r="K705" t="s">
        <v>31</v>
      </c>
      <c r="L705" t="s">
        <v>22</v>
      </c>
      <c r="M705" t="s">
        <v>40</v>
      </c>
      <c r="N705">
        <f>Sheet1[[#This Row],[Quantity]]*Sheet1[[#This Row],[UnitPrice]]</f>
        <v>902.4</v>
      </c>
    </row>
    <row r="706" spans="1:14" x14ac:dyDescent="0.3">
      <c r="A706" s="1">
        <v>45531</v>
      </c>
      <c r="B706" t="s">
        <v>444</v>
      </c>
      <c r="C706" t="s">
        <v>73</v>
      </c>
      <c r="D706" t="s">
        <v>47</v>
      </c>
      <c r="E706" t="s">
        <v>35</v>
      </c>
      <c r="F706">
        <v>8</v>
      </c>
      <c r="G706">
        <v>80.72</v>
      </c>
      <c r="H706" t="s">
        <v>28</v>
      </c>
      <c r="I706" t="s">
        <v>1240</v>
      </c>
      <c r="J706" t="s">
        <v>44</v>
      </c>
      <c r="K706" t="s">
        <v>59</v>
      </c>
      <c r="L706" t="s">
        <v>22</v>
      </c>
      <c r="M706" t="s">
        <v>84</v>
      </c>
      <c r="N706">
        <f>Sheet1[[#This Row],[Quantity]]*Sheet1[[#This Row],[UnitPrice]]</f>
        <v>645.76</v>
      </c>
    </row>
    <row r="707" spans="1:14" x14ac:dyDescent="0.3">
      <c r="A707" s="1">
        <v>45178</v>
      </c>
      <c r="B707" t="s">
        <v>1241</v>
      </c>
      <c r="C707" t="s">
        <v>73</v>
      </c>
      <c r="D707" t="s">
        <v>26</v>
      </c>
      <c r="E707" t="s">
        <v>67</v>
      </c>
      <c r="F707">
        <v>2</v>
      </c>
      <c r="G707">
        <v>55.38</v>
      </c>
      <c r="H707" t="s">
        <v>18</v>
      </c>
      <c r="I707" t="s">
        <v>1242</v>
      </c>
      <c r="J707" t="s">
        <v>20</v>
      </c>
      <c r="K707" t="s">
        <v>45</v>
      </c>
      <c r="L707" t="s">
        <v>39</v>
      </c>
      <c r="M707" t="s">
        <v>23</v>
      </c>
      <c r="N707">
        <f>Sheet1[[#This Row],[Quantity]]*Sheet1[[#This Row],[UnitPrice]]</f>
        <v>110.76</v>
      </c>
    </row>
    <row r="708" spans="1:14" x14ac:dyDescent="0.3">
      <c r="A708" s="1">
        <v>45054</v>
      </c>
      <c r="B708" t="s">
        <v>1243</v>
      </c>
      <c r="C708" t="s">
        <v>73</v>
      </c>
      <c r="D708" t="s">
        <v>16</v>
      </c>
      <c r="E708" t="s">
        <v>64</v>
      </c>
      <c r="F708">
        <v>10</v>
      </c>
      <c r="G708">
        <v>10.74</v>
      </c>
      <c r="H708" t="s">
        <v>68</v>
      </c>
      <c r="I708" t="s">
        <v>1244</v>
      </c>
      <c r="J708" t="s">
        <v>20</v>
      </c>
      <c r="K708" t="s">
        <v>59</v>
      </c>
      <c r="L708" t="s">
        <v>60</v>
      </c>
      <c r="M708" t="s">
        <v>49</v>
      </c>
      <c r="N708">
        <f>Sheet1[[#This Row],[Quantity]]*Sheet1[[#This Row],[UnitPrice]]</f>
        <v>107.4</v>
      </c>
    </row>
    <row r="709" spans="1:14" x14ac:dyDescent="0.3">
      <c r="A709" s="1">
        <v>45743</v>
      </c>
      <c r="B709" t="s">
        <v>1245</v>
      </c>
      <c r="C709" t="s">
        <v>90</v>
      </c>
      <c r="D709" t="s">
        <v>47</v>
      </c>
      <c r="E709" t="s">
        <v>35</v>
      </c>
      <c r="F709">
        <v>9</v>
      </c>
      <c r="G709">
        <v>246.98</v>
      </c>
      <c r="H709" t="s">
        <v>18</v>
      </c>
      <c r="I709" t="s">
        <v>1246</v>
      </c>
      <c r="J709" t="s">
        <v>44</v>
      </c>
      <c r="K709" t="s">
        <v>59</v>
      </c>
      <c r="L709" t="s">
        <v>39</v>
      </c>
      <c r="M709" t="s">
        <v>32</v>
      </c>
      <c r="N709">
        <f>Sheet1[[#This Row],[Quantity]]*Sheet1[[#This Row],[UnitPrice]]</f>
        <v>2222.8199999999997</v>
      </c>
    </row>
    <row r="710" spans="1:14" x14ac:dyDescent="0.3">
      <c r="A710" s="1">
        <v>44928</v>
      </c>
      <c r="B710" t="s">
        <v>119</v>
      </c>
      <c r="C710" t="s">
        <v>73</v>
      </c>
      <c r="D710" t="s">
        <v>74</v>
      </c>
      <c r="E710" t="s">
        <v>52</v>
      </c>
      <c r="F710">
        <v>2</v>
      </c>
      <c r="G710">
        <v>213.68</v>
      </c>
      <c r="H710" t="s">
        <v>53</v>
      </c>
      <c r="I710" t="s">
        <v>1247</v>
      </c>
      <c r="J710" t="s">
        <v>58</v>
      </c>
      <c r="K710" t="s">
        <v>45</v>
      </c>
      <c r="L710" t="s">
        <v>60</v>
      </c>
      <c r="M710" t="s">
        <v>49</v>
      </c>
      <c r="N710">
        <f>Sheet1[[#This Row],[Quantity]]*Sheet1[[#This Row],[UnitPrice]]</f>
        <v>427.36</v>
      </c>
    </row>
    <row r="711" spans="1:14" x14ac:dyDescent="0.3">
      <c r="A711" s="1">
        <v>45503</v>
      </c>
      <c r="B711" t="s">
        <v>1248</v>
      </c>
      <c r="C711" t="s">
        <v>90</v>
      </c>
      <c r="D711" t="s">
        <v>16</v>
      </c>
      <c r="E711" t="s">
        <v>64</v>
      </c>
      <c r="F711">
        <v>5</v>
      </c>
      <c r="G711">
        <v>47.76</v>
      </c>
      <c r="H711" t="s">
        <v>36</v>
      </c>
      <c r="I711" t="s">
        <v>1249</v>
      </c>
      <c r="J711" t="s">
        <v>38</v>
      </c>
      <c r="K711" t="s">
        <v>59</v>
      </c>
      <c r="L711" t="s">
        <v>60</v>
      </c>
      <c r="M711" t="s">
        <v>84</v>
      </c>
      <c r="N711">
        <f>Sheet1[[#This Row],[Quantity]]*Sheet1[[#This Row],[UnitPrice]]</f>
        <v>238.79999999999998</v>
      </c>
    </row>
    <row r="712" spans="1:14" x14ac:dyDescent="0.3">
      <c r="A712" s="1">
        <v>45694</v>
      </c>
      <c r="B712" t="s">
        <v>502</v>
      </c>
      <c r="C712" t="s">
        <v>101</v>
      </c>
      <c r="D712" t="s">
        <v>74</v>
      </c>
      <c r="E712" t="s">
        <v>27</v>
      </c>
      <c r="F712">
        <v>8</v>
      </c>
      <c r="G712">
        <v>280.60000000000002</v>
      </c>
      <c r="H712" t="s">
        <v>36</v>
      </c>
      <c r="I712" t="s">
        <v>1250</v>
      </c>
      <c r="J712" t="s">
        <v>20</v>
      </c>
      <c r="K712" t="s">
        <v>45</v>
      </c>
      <c r="L712" t="s">
        <v>22</v>
      </c>
      <c r="M712" t="s">
        <v>32</v>
      </c>
      <c r="N712">
        <f>Sheet1[[#This Row],[Quantity]]*Sheet1[[#This Row],[UnitPrice]]</f>
        <v>2244.8000000000002</v>
      </c>
    </row>
    <row r="713" spans="1:14" x14ac:dyDescent="0.3">
      <c r="A713" s="1">
        <v>45679</v>
      </c>
      <c r="B713" t="s">
        <v>218</v>
      </c>
      <c r="C713" t="s">
        <v>90</v>
      </c>
      <c r="D713" t="s">
        <v>74</v>
      </c>
      <c r="E713" t="s">
        <v>64</v>
      </c>
      <c r="F713">
        <v>1</v>
      </c>
      <c r="G713">
        <v>371.87</v>
      </c>
      <c r="H713" t="s">
        <v>18</v>
      </c>
      <c r="I713" t="s">
        <v>1251</v>
      </c>
      <c r="J713" t="s">
        <v>20</v>
      </c>
      <c r="K713" t="s">
        <v>31</v>
      </c>
      <c r="L713" t="s">
        <v>39</v>
      </c>
      <c r="M713" t="s">
        <v>76</v>
      </c>
      <c r="N713">
        <f>Sheet1[[#This Row],[Quantity]]*Sheet1[[#This Row],[UnitPrice]]</f>
        <v>371.87</v>
      </c>
    </row>
    <row r="714" spans="1:14" x14ac:dyDescent="0.3">
      <c r="A714" s="1">
        <v>45704</v>
      </c>
      <c r="B714" t="s">
        <v>1190</v>
      </c>
      <c r="C714" t="s">
        <v>73</v>
      </c>
      <c r="D714" t="s">
        <v>26</v>
      </c>
      <c r="E714" t="s">
        <v>17</v>
      </c>
      <c r="F714">
        <v>2</v>
      </c>
      <c r="G714">
        <v>23.18</v>
      </c>
      <c r="H714" t="s">
        <v>53</v>
      </c>
      <c r="I714" t="s">
        <v>1252</v>
      </c>
      <c r="J714" t="s">
        <v>44</v>
      </c>
      <c r="K714" t="s">
        <v>21</v>
      </c>
      <c r="L714" t="s">
        <v>39</v>
      </c>
      <c r="M714" t="s">
        <v>61</v>
      </c>
      <c r="N714">
        <f>Sheet1[[#This Row],[Quantity]]*Sheet1[[#This Row],[UnitPrice]]</f>
        <v>46.36</v>
      </c>
    </row>
    <row r="715" spans="1:14" x14ac:dyDescent="0.3">
      <c r="A715" s="1">
        <v>45597</v>
      </c>
      <c r="B715" t="s">
        <v>1253</v>
      </c>
      <c r="C715" t="s">
        <v>90</v>
      </c>
      <c r="D715" t="s">
        <v>16</v>
      </c>
      <c r="E715" t="s">
        <v>35</v>
      </c>
      <c r="F715">
        <v>8</v>
      </c>
      <c r="G715">
        <v>358.62</v>
      </c>
      <c r="H715" t="s">
        <v>36</v>
      </c>
      <c r="I715" t="s">
        <v>1254</v>
      </c>
      <c r="J715" t="s">
        <v>20</v>
      </c>
      <c r="K715" t="s">
        <v>59</v>
      </c>
      <c r="L715" t="s">
        <v>39</v>
      </c>
      <c r="M715" t="s">
        <v>40</v>
      </c>
      <c r="N715">
        <f>Sheet1[[#This Row],[Quantity]]*Sheet1[[#This Row],[UnitPrice]]</f>
        <v>2868.96</v>
      </c>
    </row>
    <row r="716" spans="1:14" x14ac:dyDescent="0.3">
      <c r="A716" s="1">
        <v>45544</v>
      </c>
      <c r="B716" t="s">
        <v>1255</v>
      </c>
      <c r="C716" t="s">
        <v>78</v>
      </c>
      <c r="D716" t="s">
        <v>26</v>
      </c>
      <c r="E716" t="s">
        <v>27</v>
      </c>
      <c r="F716">
        <v>10</v>
      </c>
      <c r="G716">
        <v>237.2</v>
      </c>
      <c r="H716" t="s">
        <v>36</v>
      </c>
      <c r="I716" t="s">
        <v>1256</v>
      </c>
      <c r="J716" t="s">
        <v>58</v>
      </c>
      <c r="K716" t="s">
        <v>31</v>
      </c>
      <c r="L716" t="s">
        <v>39</v>
      </c>
      <c r="M716" t="s">
        <v>49</v>
      </c>
      <c r="N716">
        <f>Sheet1[[#This Row],[Quantity]]*Sheet1[[#This Row],[UnitPrice]]</f>
        <v>2372</v>
      </c>
    </row>
    <row r="717" spans="1:14" x14ac:dyDescent="0.3">
      <c r="A717" s="1">
        <v>45171</v>
      </c>
      <c r="B717" t="s">
        <v>1257</v>
      </c>
      <c r="C717" t="s">
        <v>63</v>
      </c>
      <c r="D717" t="s">
        <v>16</v>
      </c>
      <c r="E717" t="s">
        <v>42</v>
      </c>
      <c r="F717">
        <v>1</v>
      </c>
      <c r="G717">
        <v>154.01</v>
      </c>
      <c r="H717" t="s">
        <v>18</v>
      </c>
      <c r="I717" t="s">
        <v>1258</v>
      </c>
      <c r="J717" t="s">
        <v>58</v>
      </c>
      <c r="K717" t="s">
        <v>31</v>
      </c>
      <c r="L717" t="s">
        <v>22</v>
      </c>
      <c r="M717" t="s">
        <v>23</v>
      </c>
      <c r="N717">
        <f>Sheet1[[#This Row],[Quantity]]*Sheet1[[#This Row],[UnitPrice]]</f>
        <v>154.01</v>
      </c>
    </row>
    <row r="718" spans="1:14" x14ac:dyDescent="0.3">
      <c r="A718" s="1">
        <v>44992</v>
      </c>
      <c r="B718" t="s">
        <v>1029</v>
      </c>
      <c r="C718" t="s">
        <v>34</v>
      </c>
      <c r="D718" t="s">
        <v>74</v>
      </c>
      <c r="E718" t="s">
        <v>64</v>
      </c>
      <c r="F718">
        <v>6</v>
      </c>
      <c r="G718">
        <v>208.71</v>
      </c>
      <c r="H718" t="s">
        <v>28</v>
      </c>
      <c r="I718" t="s">
        <v>1259</v>
      </c>
      <c r="J718" t="s">
        <v>38</v>
      </c>
      <c r="K718" t="s">
        <v>21</v>
      </c>
      <c r="L718" t="s">
        <v>60</v>
      </c>
      <c r="M718" t="s">
        <v>84</v>
      </c>
      <c r="N718">
        <f>Sheet1[[#This Row],[Quantity]]*Sheet1[[#This Row],[UnitPrice]]</f>
        <v>1252.26</v>
      </c>
    </row>
    <row r="719" spans="1:14" x14ac:dyDescent="0.3">
      <c r="A719" s="1">
        <v>45373</v>
      </c>
      <c r="B719" t="s">
        <v>1260</v>
      </c>
      <c r="C719" t="s">
        <v>101</v>
      </c>
      <c r="D719" t="s">
        <v>47</v>
      </c>
      <c r="E719" t="s">
        <v>42</v>
      </c>
      <c r="F719">
        <v>3</v>
      </c>
      <c r="G719">
        <v>231.76</v>
      </c>
      <c r="H719" t="s">
        <v>28</v>
      </c>
      <c r="I719" t="s">
        <v>1261</v>
      </c>
      <c r="J719" t="s">
        <v>44</v>
      </c>
      <c r="K719" t="s">
        <v>59</v>
      </c>
      <c r="L719" t="s">
        <v>39</v>
      </c>
      <c r="M719" t="s">
        <v>40</v>
      </c>
      <c r="N719">
        <f>Sheet1[[#This Row],[Quantity]]*Sheet1[[#This Row],[UnitPrice]]</f>
        <v>695.28</v>
      </c>
    </row>
    <row r="720" spans="1:14" x14ac:dyDescent="0.3">
      <c r="A720" s="1">
        <v>45189</v>
      </c>
      <c r="B720" t="s">
        <v>298</v>
      </c>
      <c r="C720" t="s">
        <v>15</v>
      </c>
      <c r="D720" t="s">
        <v>26</v>
      </c>
      <c r="E720" t="s">
        <v>35</v>
      </c>
      <c r="F720">
        <v>3</v>
      </c>
      <c r="G720">
        <v>218.65</v>
      </c>
      <c r="H720" t="s">
        <v>68</v>
      </c>
      <c r="I720" t="s">
        <v>1262</v>
      </c>
      <c r="J720" t="s">
        <v>38</v>
      </c>
      <c r="K720" t="s">
        <v>31</v>
      </c>
      <c r="L720" t="s">
        <v>22</v>
      </c>
      <c r="M720" t="s">
        <v>76</v>
      </c>
      <c r="N720">
        <f>Sheet1[[#This Row],[Quantity]]*Sheet1[[#This Row],[UnitPrice]]</f>
        <v>655.95</v>
      </c>
    </row>
    <row r="721" spans="1:14" x14ac:dyDescent="0.3">
      <c r="A721" s="1">
        <v>44927</v>
      </c>
      <c r="B721" t="s">
        <v>1263</v>
      </c>
      <c r="C721" t="s">
        <v>101</v>
      </c>
      <c r="D721" t="s">
        <v>26</v>
      </c>
      <c r="E721" t="s">
        <v>27</v>
      </c>
      <c r="F721">
        <v>7</v>
      </c>
      <c r="G721">
        <v>276.87</v>
      </c>
      <c r="H721" t="s">
        <v>53</v>
      </c>
      <c r="I721" t="s">
        <v>1264</v>
      </c>
      <c r="J721" t="s">
        <v>44</v>
      </c>
      <c r="K721" t="s">
        <v>21</v>
      </c>
      <c r="L721" t="s">
        <v>22</v>
      </c>
      <c r="M721" t="s">
        <v>61</v>
      </c>
      <c r="N721">
        <f>Sheet1[[#This Row],[Quantity]]*Sheet1[[#This Row],[UnitPrice]]</f>
        <v>1938.0900000000001</v>
      </c>
    </row>
    <row r="722" spans="1:14" x14ac:dyDescent="0.3">
      <c r="A722" s="1">
        <v>45605</v>
      </c>
      <c r="B722" t="s">
        <v>1265</v>
      </c>
      <c r="C722" t="s">
        <v>78</v>
      </c>
      <c r="D722" t="s">
        <v>26</v>
      </c>
      <c r="E722" t="s">
        <v>67</v>
      </c>
      <c r="F722">
        <v>10</v>
      </c>
      <c r="G722">
        <v>371.02</v>
      </c>
      <c r="H722" t="s">
        <v>28</v>
      </c>
      <c r="I722" t="s">
        <v>1266</v>
      </c>
      <c r="J722" t="s">
        <v>38</v>
      </c>
      <c r="K722" t="s">
        <v>21</v>
      </c>
      <c r="L722" t="s">
        <v>39</v>
      </c>
      <c r="M722" t="s">
        <v>23</v>
      </c>
      <c r="N722">
        <f>Sheet1[[#This Row],[Quantity]]*Sheet1[[#This Row],[UnitPrice]]</f>
        <v>3710.2</v>
      </c>
    </row>
    <row r="723" spans="1:14" x14ac:dyDescent="0.3">
      <c r="A723" s="1">
        <v>45259</v>
      </c>
      <c r="B723" t="s">
        <v>739</v>
      </c>
      <c r="C723" t="s">
        <v>73</v>
      </c>
      <c r="D723" t="s">
        <v>74</v>
      </c>
      <c r="E723" t="s">
        <v>27</v>
      </c>
      <c r="F723">
        <v>4</v>
      </c>
      <c r="G723">
        <v>220.56</v>
      </c>
      <c r="H723" t="s">
        <v>36</v>
      </c>
      <c r="I723" t="s">
        <v>1267</v>
      </c>
      <c r="J723" t="s">
        <v>44</v>
      </c>
      <c r="K723" t="s">
        <v>59</v>
      </c>
      <c r="L723" t="s">
        <v>39</v>
      </c>
      <c r="M723" t="s">
        <v>76</v>
      </c>
      <c r="N723">
        <f>Sheet1[[#This Row],[Quantity]]*Sheet1[[#This Row],[UnitPrice]]</f>
        <v>882.24</v>
      </c>
    </row>
    <row r="724" spans="1:14" x14ac:dyDescent="0.3">
      <c r="A724" s="1">
        <v>45112</v>
      </c>
      <c r="B724" t="s">
        <v>1268</v>
      </c>
      <c r="C724" t="s">
        <v>101</v>
      </c>
      <c r="D724" t="s">
        <v>16</v>
      </c>
      <c r="E724" t="s">
        <v>17</v>
      </c>
      <c r="F724">
        <v>4</v>
      </c>
      <c r="G724">
        <v>200.98</v>
      </c>
      <c r="H724" t="s">
        <v>28</v>
      </c>
      <c r="I724" t="s">
        <v>1269</v>
      </c>
      <c r="J724" t="s">
        <v>58</v>
      </c>
      <c r="K724" t="s">
        <v>59</v>
      </c>
      <c r="L724" t="s">
        <v>22</v>
      </c>
      <c r="M724" t="s">
        <v>76</v>
      </c>
      <c r="N724">
        <f>Sheet1[[#This Row],[Quantity]]*Sheet1[[#This Row],[UnitPrice]]</f>
        <v>803.92</v>
      </c>
    </row>
    <row r="725" spans="1:14" x14ac:dyDescent="0.3">
      <c r="A725" s="1">
        <v>45134</v>
      </c>
      <c r="B725" t="s">
        <v>735</v>
      </c>
      <c r="C725" t="s">
        <v>34</v>
      </c>
      <c r="D725" t="s">
        <v>47</v>
      </c>
      <c r="E725" t="s">
        <v>42</v>
      </c>
      <c r="F725">
        <v>5</v>
      </c>
      <c r="G725">
        <v>15.92</v>
      </c>
      <c r="H725" t="s">
        <v>18</v>
      </c>
      <c r="I725" t="s">
        <v>1270</v>
      </c>
      <c r="J725" t="s">
        <v>58</v>
      </c>
      <c r="K725" t="s">
        <v>31</v>
      </c>
      <c r="L725" t="s">
        <v>22</v>
      </c>
      <c r="M725" t="s">
        <v>32</v>
      </c>
      <c r="N725">
        <f>Sheet1[[#This Row],[Quantity]]*Sheet1[[#This Row],[UnitPrice]]</f>
        <v>79.599999999999994</v>
      </c>
    </row>
    <row r="726" spans="1:14" x14ac:dyDescent="0.3">
      <c r="A726" s="1">
        <v>45698</v>
      </c>
      <c r="B726" t="s">
        <v>383</v>
      </c>
      <c r="C726" t="s">
        <v>63</v>
      </c>
      <c r="D726" t="s">
        <v>26</v>
      </c>
      <c r="E726" t="s">
        <v>52</v>
      </c>
      <c r="F726">
        <v>7</v>
      </c>
      <c r="G726">
        <v>210.33</v>
      </c>
      <c r="H726" t="s">
        <v>53</v>
      </c>
      <c r="I726" t="s">
        <v>1271</v>
      </c>
      <c r="J726" t="s">
        <v>44</v>
      </c>
      <c r="K726" t="s">
        <v>21</v>
      </c>
      <c r="L726" t="s">
        <v>22</v>
      </c>
      <c r="M726" t="s">
        <v>49</v>
      </c>
      <c r="N726">
        <f>Sheet1[[#This Row],[Quantity]]*Sheet1[[#This Row],[UnitPrice]]</f>
        <v>1472.3100000000002</v>
      </c>
    </row>
    <row r="727" spans="1:14" x14ac:dyDescent="0.3">
      <c r="A727" s="1">
        <v>45599</v>
      </c>
      <c r="B727" t="s">
        <v>1272</v>
      </c>
      <c r="C727" t="s">
        <v>34</v>
      </c>
      <c r="D727" t="s">
        <v>16</v>
      </c>
      <c r="E727" t="s">
        <v>17</v>
      </c>
      <c r="F727">
        <v>4</v>
      </c>
      <c r="G727">
        <v>183.93</v>
      </c>
      <c r="H727" t="s">
        <v>53</v>
      </c>
      <c r="I727" t="s">
        <v>1273</v>
      </c>
      <c r="J727" t="s">
        <v>20</v>
      </c>
      <c r="K727" t="s">
        <v>21</v>
      </c>
      <c r="L727" t="s">
        <v>22</v>
      </c>
      <c r="M727" t="s">
        <v>61</v>
      </c>
      <c r="N727">
        <f>Sheet1[[#This Row],[Quantity]]*Sheet1[[#This Row],[UnitPrice]]</f>
        <v>735.72</v>
      </c>
    </row>
    <row r="728" spans="1:14" x14ac:dyDescent="0.3">
      <c r="A728" s="1">
        <v>44957</v>
      </c>
      <c r="B728" t="s">
        <v>1274</v>
      </c>
      <c r="C728" t="s">
        <v>56</v>
      </c>
      <c r="D728" t="s">
        <v>47</v>
      </c>
      <c r="E728" t="s">
        <v>42</v>
      </c>
      <c r="F728">
        <v>6</v>
      </c>
      <c r="G728">
        <v>17.48</v>
      </c>
      <c r="H728" t="s">
        <v>68</v>
      </c>
      <c r="I728" t="s">
        <v>1275</v>
      </c>
      <c r="J728" t="s">
        <v>30</v>
      </c>
      <c r="K728" t="s">
        <v>45</v>
      </c>
      <c r="L728" t="s">
        <v>39</v>
      </c>
      <c r="M728" t="s">
        <v>84</v>
      </c>
      <c r="N728">
        <f>Sheet1[[#This Row],[Quantity]]*Sheet1[[#This Row],[UnitPrice]]</f>
        <v>104.88</v>
      </c>
    </row>
    <row r="729" spans="1:14" x14ac:dyDescent="0.3">
      <c r="A729" s="1">
        <v>45472</v>
      </c>
      <c r="B729" t="s">
        <v>1276</v>
      </c>
      <c r="C729" t="s">
        <v>56</v>
      </c>
      <c r="D729" t="s">
        <v>16</v>
      </c>
      <c r="E729" t="s">
        <v>17</v>
      </c>
      <c r="F729">
        <v>9</v>
      </c>
      <c r="G729">
        <v>12.77</v>
      </c>
      <c r="H729" t="s">
        <v>18</v>
      </c>
      <c r="I729" t="s">
        <v>1277</v>
      </c>
      <c r="J729" t="s">
        <v>58</v>
      </c>
      <c r="K729" t="s">
        <v>59</v>
      </c>
      <c r="L729" t="s">
        <v>39</v>
      </c>
      <c r="M729" t="s">
        <v>23</v>
      </c>
      <c r="N729">
        <f>Sheet1[[#This Row],[Quantity]]*Sheet1[[#This Row],[UnitPrice]]</f>
        <v>114.92999999999999</v>
      </c>
    </row>
    <row r="730" spans="1:14" x14ac:dyDescent="0.3">
      <c r="A730" s="1">
        <v>44931</v>
      </c>
      <c r="B730" t="s">
        <v>698</v>
      </c>
      <c r="C730" t="s">
        <v>73</v>
      </c>
      <c r="D730" t="s">
        <v>16</v>
      </c>
      <c r="E730" t="s">
        <v>67</v>
      </c>
      <c r="F730">
        <v>1</v>
      </c>
      <c r="G730">
        <v>377.2</v>
      </c>
      <c r="H730" t="s">
        <v>36</v>
      </c>
      <c r="I730" t="s">
        <v>1278</v>
      </c>
      <c r="J730" t="s">
        <v>30</v>
      </c>
      <c r="K730" t="s">
        <v>31</v>
      </c>
      <c r="L730" t="s">
        <v>39</v>
      </c>
      <c r="M730" t="s">
        <v>32</v>
      </c>
      <c r="N730">
        <f>Sheet1[[#This Row],[Quantity]]*Sheet1[[#This Row],[UnitPrice]]</f>
        <v>377.2</v>
      </c>
    </row>
    <row r="731" spans="1:14" x14ac:dyDescent="0.3">
      <c r="A731" s="1">
        <v>45265</v>
      </c>
      <c r="B731" t="s">
        <v>927</v>
      </c>
      <c r="C731" t="s">
        <v>15</v>
      </c>
      <c r="D731" t="s">
        <v>16</v>
      </c>
      <c r="E731" t="s">
        <v>67</v>
      </c>
      <c r="F731">
        <v>3</v>
      </c>
      <c r="G731">
        <v>345.81</v>
      </c>
      <c r="H731" t="s">
        <v>36</v>
      </c>
      <c r="I731" t="s">
        <v>1279</v>
      </c>
      <c r="J731" t="s">
        <v>38</v>
      </c>
      <c r="K731" t="s">
        <v>21</v>
      </c>
      <c r="L731" t="s">
        <v>60</v>
      </c>
      <c r="M731" t="s">
        <v>84</v>
      </c>
      <c r="N731">
        <f>Sheet1[[#This Row],[Quantity]]*Sheet1[[#This Row],[UnitPrice]]</f>
        <v>1037.43</v>
      </c>
    </row>
    <row r="732" spans="1:14" x14ac:dyDescent="0.3">
      <c r="A732" s="1">
        <v>45007</v>
      </c>
      <c r="B732" t="s">
        <v>804</v>
      </c>
      <c r="C732" t="s">
        <v>56</v>
      </c>
      <c r="D732" t="s">
        <v>16</v>
      </c>
      <c r="E732" t="s">
        <v>67</v>
      </c>
      <c r="F732">
        <v>2</v>
      </c>
      <c r="G732">
        <v>212.63</v>
      </c>
      <c r="H732" t="s">
        <v>36</v>
      </c>
      <c r="I732" t="s">
        <v>1280</v>
      </c>
      <c r="J732" t="s">
        <v>58</v>
      </c>
      <c r="K732" t="s">
        <v>59</v>
      </c>
      <c r="L732" t="s">
        <v>22</v>
      </c>
      <c r="M732" t="s">
        <v>76</v>
      </c>
      <c r="N732">
        <f>Sheet1[[#This Row],[Quantity]]*Sheet1[[#This Row],[UnitPrice]]</f>
        <v>425.26</v>
      </c>
    </row>
    <row r="733" spans="1:14" x14ac:dyDescent="0.3">
      <c r="A733" s="1">
        <v>45607</v>
      </c>
      <c r="B733" t="s">
        <v>1276</v>
      </c>
      <c r="C733" t="s">
        <v>15</v>
      </c>
      <c r="D733" t="s">
        <v>47</v>
      </c>
      <c r="E733" t="s">
        <v>35</v>
      </c>
      <c r="F733">
        <v>1</v>
      </c>
      <c r="G733">
        <v>153.97</v>
      </c>
      <c r="H733" t="s">
        <v>28</v>
      </c>
      <c r="I733" t="s">
        <v>1281</v>
      </c>
      <c r="J733" t="s">
        <v>58</v>
      </c>
      <c r="K733" t="s">
        <v>59</v>
      </c>
      <c r="L733" t="s">
        <v>39</v>
      </c>
      <c r="M733" t="s">
        <v>49</v>
      </c>
      <c r="N733">
        <f>Sheet1[[#This Row],[Quantity]]*Sheet1[[#This Row],[UnitPrice]]</f>
        <v>153.97</v>
      </c>
    </row>
    <row r="734" spans="1:14" x14ac:dyDescent="0.3">
      <c r="A734" s="1">
        <v>44972</v>
      </c>
      <c r="B734" t="s">
        <v>1238</v>
      </c>
      <c r="C734" t="s">
        <v>101</v>
      </c>
      <c r="D734" t="s">
        <v>74</v>
      </c>
      <c r="E734" t="s">
        <v>17</v>
      </c>
      <c r="F734">
        <v>10</v>
      </c>
      <c r="G734">
        <v>390.62</v>
      </c>
      <c r="H734" t="s">
        <v>18</v>
      </c>
      <c r="I734" t="s">
        <v>1282</v>
      </c>
      <c r="J734" t="s">
        <v>30</v>
      </c>
      <c r="K734" t="s">
        <v>59</v>
      </c>
      <c r="L734" t="s">
        <v>22</v>
      </c>
      <c r="M734" t="s">
        <v>76</v>
      </c>
      <c r="N734">
        <f>Sheet1[[#This Row],[Quantity]]*Sheet1[[#This Row],[UnitPrice]]</f>
        <v>3906.2</v>
      </c>
    </row>
    <row r="735" spans="1:14" x14ac:dyDescent="0.3">
      <c r="A735" s="1">
        <v>45158</v>
      </c>
      <c r="B735" t="s">
        <v>853</v>
      </c>
      <c r="C735" t="s">
        <v>63</v>
      </c>
      <c r="D735" t="s">
        <v>47</v>
      </c>
      <c r="E735" t="s">
        <v>42</v>
      </c>
      <c r="F735">
        <v>9</v>
      </c>
      <c r="G735">
        <v>378.02</v>
      </c>
      <c r="H735" t="s">
        <v>68</v>
      </c>
      <c r="I735" t="s">
        <v>1283</v>
      </c>
      <c r="J735" t="s">
        <v>20</v>
      </c>
      <c r="K735" t="s">
        <v>31</v>
      </c>
      <c r="L735" t="s">
        <v>22</v>
      </c>
      <c r="M735" t="s">
        <v>61</v>
      </c>
      <c r="N735">
        <f>Sheet1[[#This Row],[Quantity]]*Sheet1[[#This Row],[UnitPrice]]</f>
        <v>3402.18</v>
      </c>
    </row>
    <row r="736" spans="1:14" x14ac:dyDescent="0.3">
      <c r="A736" s="1">
        <v>45294</v>
      </c>
      <c r="B736" t="s">
        <v>1284</v>
      </c>
      <c r="C736" t="s">
        <v>56</v>
      </c>
      <c r="D736" t="s">
        <v>26</v>
      </c>
      <c r="E736" t="s">
        <v>52</v>
      </c>
      <c r="F736">
        <v>3</v>
      </c>
      <c r="G736">
        <v>304.35000000000002</v>
      </c>
      <c r="H736" t="s">
        <v>36</v>
      </c>
      <c r="I736" t="s">
        <v>1285</v>
      </c>
      <c r="J736" t="s">
        <v>30</v>
      </c>
      <c r="K736" t="s">
        <v>21</v>
      </c>
      <c r="L736" t="s">
        <v>22</v>
      </c>
      <c r="M736" t="s">
        <v>76</v>
      </c>
      <c r="N736">
        <f>Sheet1[[#This Row],[Quantity]]*Sheet1[[#This Row],[UnitPrice]]</f>
        <v>913.05000000000007</v>
      </c>
    </row>
    <row r="737" spans="1:14" x14ac:dyDescent="0.3">
      <c r="A737" s="1">
        <v>45173</v>
      </c>
      <c r="B737" t="s">
        <v>1286</v>
      </c>
      <c r="C737" t="s">
        <v>15</v>
      </c>
      <c r="D737" t="s">
        <v>26</v>
      </c>
      <c r="E737" t="s">
        <v>27</v>
      </c>
      <c r="F737">
        <v>7</v>
      </c>
      <c r="G737">
        <v>8.18</v>
      </c>
      <c r="H737" t="s">
        <v>18</v>
      </c>
      <c r="I737" t="s">
        <v>1287</v>
      </c>
      <c r="J737" t="s">
        <v>30</v>
      </c>
      <c r="K737" t="s">
        <v>45</v>
      </c>
      <c r="L737" t="s">
        <v>22</v>
      </c>
      <c r="M737" t="s">
        <v>49</v>
      </c>
      <c r="N737">
        <f>Sheet1[[#This Row],[Quantity]]*Sheet1[[#This Row],[UnitPrice]]</f>
        <v>57.26</v>
      </c>
    </row>
    <row r="738" spans="1:14" x14ac:dyDescent="0.3">
      <c r="A738" s="1">
        <v>45017</v>
      </c>
      <c r="B738" t="s">
        <v>1288</v>
      </c>
      <c r="C738" t="s">
        <v>15</v>
      </c>
      <c r="D738" t="s">
        <v>26</v>
      </c>
      <c r="E738" t="s">
        <v>67</v>
      </c>
      <c r="F738">
        <v>8</v>
      </c>
      <c r="G738">
        <v>372.97</v>
      </c>
      <c r="H738" t="s">
        <v>68</v>
      </c>
      <c r="I738" t="s">
        <v>1289</v>
      </c>
      <c r="J738" t="s">
        <v>44</v>
      </c>
      <c r="K738" t="s">
        <v>21</v>
      </c>
      <c r="L738" t="s">
        <v>22</v>
      </c>
      <c r="M738" t="s">
        <v>23</v>
      </c>
      <c r="N738">
        <f>Sheet1[[#This Row],[Quantity]]*Sheet1[[#This Row],[UnitPrice]]</f>
        <v>2983.76</v>
      </c>
    </row>
    <row r="739" spans="1:14" x14ac:dyDescent="0.3">
      <c r="A739" s="1">
        <v>45392</v>
      </c>
      <c r="B739" t="s">
        <v>1290</v>
      </c>
      <c r="C739" t="s">
        <v>63</v>
      </c>
      <c r="D739" t="s">
        <v>26</v>
      </c>
      <c r="E739" t="s">
        <v>64</v>
      </c>
      <c r="F739">
        <v>2</v>
      </c>
      <c r="G739">
        <v>294.79000000000002</v>
      </c>
      <c r="H739" t="s">
        <v>36</v>
      </c>
      <c r="I739" t="s">
        <v>1291</v>
      </c>
      <c r="J739" t="s">
        <v>38</v>
      </c>
      <c r="K739" t="s">
        <v>59</v>
      </c>
      <c r="L739" t="s">
        <v>60</v>
      </c>
      <c r="M739" t="s">
        <v>76</v>
      </c>
      <c r="N739">
        <f>Sheet1[[#This Row],[Quantity]]*Sheet1[[#This Row],[UnitPrice]]</f>
        <v>589.58000000000004</v>
      </c>
    </row>
    <row r="740" spans="1:14" x14ac:dyDescent="0.3">
      <c r="A740" s="1">
        <v>45570</v>
      </c>
      <c r="B740" t="s">
        <v>433</v>
      </c>
      <c r="C740" t="s">
        <v>78</v>
      </c>
      <c r="D740" t="s">
        <v>47</v>
      </c>
      <c r="E740" t="s">
        <v>17</v>
      </c>
      <c r="F740">
        <v>4</v>
      </c>
      <c r="G740">
        <v>18.45</v>
      </c>
      <c r="H740" t="s">
        <v>36</v>
      </c>
      <c r="I740" t="s">
        <v>1292</v>
      </c>
      <c r="J740" t="s">
        <v>58</v>
      </c>
      <c r="K740" t="s">
        <v>21</v>
      </c>
      <c r="L740" t="s">
        <v>22</v>
      </c>
      <c r="M740" t="s">
        <v>23</v>
      </c>
      <c r="N740">
        <f>Sheet1[[#This Row],[Quantity]]*Sheet1[[#This Row],[UnitPrice]]</f>
        <v>73.8</v>
      </c>
    </row>
    <row r="741" spans="1:14" x14ac:dyDescent="0.3">
      <c r="A741" s="1">
        <v>45405</v>
      </c>
      <c r="B741" t="s">
        <v>719</v>
      </c>
      <c r="C741" t="s">
        <v>51</v>
      </c>
      <c r="D741" t="s">
        <v>74</v>
      </c>
      <c r="E741" t="s">
        <v>64</v>
      </c>
      <c r="F741">
        <v>9</v>
      </c>
      <c r="G741">
        <v>149.44</v>
      </c>
      <c r="H741" t="s">
        <v>18</v>
      </c>
      <c r="I741" t="s">
        <v>1293</v>
      </c>
      <c r="J741" t="s">
        <v>20</v>
      </c>
      <c r="K741" t="s">
        <v>59</v>
      </c>
      <c r="L741" t="s">
        <v>39</v>
      </c>
      <c r="M741" t="s">
        <v>84</v>
      </c>
      <c r="N741">
        <f>Sheet1[[#This Row],[Quantity]]*Sheet1[[#This Row],[UnitPrice]]</f>
        <v>1344.96</v>
      </c>
    </row>
    <row r="742" spans="1:14" x14ac:dyDescent="0.3">
      <c r="A742" s="1">
        <v>45501</v>
      </c>
      <c r="B742" t="s">
        <v>1073</v>
      </c>
      <c r="C742" t="s">
        <v>15</v>
      </c>
      <c r="D742" t="s">
        <v>74</v>
      </c>
      <c r="E742" t="s">
        <v>35</v>
      </c>
      <c r="F742">
        <v>1</v>
      </c>
      <c r="G742">
        <v>142.55000000000001</v>
      </c>
      <c r="H742" t="s">
        <v>36</v>
      </c>
      <c r="I742" t="s">
        <v>1294</v>
      </c>
      <c r="J742" t="s">
        <v>30</v>
      </c>
      <c r="K742" t="s">
        <v>31</v>
      </c>
      <c r="L742" t="s">
        <v>22</v>
      </c>
      <c r="M742" t="s">
        <v>61</v>
      </c>
      <c r="N742">
        <f>Sheet1[[#This Row],[Quantity]]*Sheet1[[#This Row],[UnitPrice]]</f>
        <v>142.55000000000001</v>
      </c>
    </row>
    <row r="743" spans="1:14" x14ac:dyDescent="0.3">
      <c r="A743" s="1">
        <v>45004</v>
      </c>
      <c r="B743" t="s">
        <v>1295</v>
      </c>
      <c r="C743" t="s">
        <v>78</v>
      </c>
      <c r="D743" t="s">
        <v>74</v>
      </c>
      <c r="E743" t="s">
        <v>52</v>
      </c>
      <c r="F743">
        <v>2</v>
      </c>
      <c r="G743">
        <v>90.59</v>
      </c>
      <c r="H743" t="s">
        <v>28</v>
      </c>
      <c r="I743" t="s">
        <v>1296</v>
      </c>
      <c r="J743" t="s">
        <v>58</v>
      </c>
      <c r="K743" t="s">
        <v>21</v>
      </c>
      <c r="L743" t="s">
        <v>60</v>
      </c>
      <c r="M743" t="s">
        <v>61</v>
      </c>
      <c r="N743">
        <f>Sheet1[[#This Row],[Quantity]]*Sheet1[[#This Row],[UnitPrice]]</f>
        <v>181.18</v>
      </c>
    </row>
    <row r="744" spans="1:14" x14ac:dyDescent="0.3">
      <c r="A744" s="1">
        <v>45742</v>
      </c>
      <c r="B744" t="s">
        <v>1297</v>
      </c>
      <c r="C744" t="s">
        <v>56</v>
      </c>
      <c r="D744" t="s">
        <v>47</v>
      </c>
      <c r="E744" t="s">
        <v>27</v>
      </c>
      <c r="F744">
        <v>1</v>
      </c>
      <c r="G744">
        <v>295.75</v>
      </c>
      <c r="H744" t="s">
        <v>18</v>
      </c>
      <c r="I744" t="s">
        <v>1298</v>
      </c>
      <c r="J744" t="s">
        <v>30</v>
      </c>
      <c r="K744" t="s">
        <v>21</v>
      </c>
      <c r="L744" t="s">
        <v>39</v>
      </c>
      <c r="M744" t="s">
        <v>76</v>
      </c>
      <c r="N744">
        <f>Sheet1[[#This Row],[Quantity]]*Sheet1[[#This Row],[UnitPrice]]</f>
        <v>295.75</v>
      </c>
    </row>
    <row r="745" spans="1:14" x14ac:dyDescent="0.3">
      <c r="A745" s="1">
        <v>45377</v>
      </c>
      <c r="B745" t="s">
        <v>242</v>
      </c>
      <c r="C745" t="s">
        <v>73</v>
      </c>
      <c r="D745" t="s">
        <v>16</v>
      </c>
      <c r="E745" t="s">
        <v>17</v>
      </c>
      <c r="F745">
        <v>4</v>
      </c>
      <c r="G745">
        <v>289.32</v>
      </c>
      <c r="H745" t="s">
        <v>18</v>
      </c>
      <c r="I745" t="s">
        <v>1299</v>
      </c>
      <c r="J745" t="s">
        <v>20</v>
      </c>
      <c r="K745" t="s">
        <v>45</v>
      </c>
      <c r="L745" t="s">
        <v>39</v>
      </c>
      <c r="M745" t="s">
        <v>84</v>
      </c>
      <c r="N745">
        <f>Sheet1[[#This Row],[Quantity]]*Sheet1[[#This Row],[UnitPrice]]</f>
        <v>1157.28</v>
      </c>
    </row>
    <row r="746" spans="1:14" x14ac:dyDescent="0.3">
      <c r="A746" s="1">
        <v>45683</v>
      </c>
      <c r="B746" t="s">
        <v>1170</v>
      </c>
      <c r="C746" t="s">
        <v>34</v>
      </c>
      <c r="D746" t="s">
        <v>74</v>
      </c>
      <c r="E746" t="s">
        <v>67</v>
      </c>
      <c r="F746">
        <v>5</v>
      </c>
      <c r="G746">
        <v>44.32</v>
      </c>
      <c r="H746" t="s">
        <v>68</v>
      </c>
      <c r="I746" t="s">
        <v>1300</v>
      </c>
      <c r="J746" t="s">
        <v>30</v>
      </c>
      <c r="K746" t="s">
        <v>31</v>
      </c>
      <c r="L746" t="s">
        <v>39</v>
      </c>
      <c r="M746" t="s">
        <v>61</v>
      </c>
      <c r="N746">
        <f>Sheet1[[#This Row],[Quantity]]*Sheet1[[#This Row],[UnitPrice]]</f>
        <v>221.6</v>
      </c>
    </row>
    <row r="747" spans="1:14" x14ac:dyDescent="0.3">
      <c r="A747" s="1">
        <v>45739</v>
      </c>
      <c r="B747" t="s">
        <v>1301</v>
      </c>
      <c r="C747" t="s">
        <v>25</v>
      </c>
      <c r="D747" t="s">
        <v>16</v>
      </c>
      <c r="E747" t="s">
        <v>52</v>
      </c>
      <c r="F747">
        <v>8</v>
      </c>
      <c r="G747">
        <v>37.5</v>
      </c>
      <c r="H747" t="s">
        <v>28</v>
      </c>
      <c r="I747" t="s">
        <v>1302</v>
      </c>
      <c r="J747" t="s">
        <v>58</v>
      </c>
      <c r="K747" t="s">
        <v>45</v>
      </c>
      <c r="L747" t="s">
        <v>39</v>
      </c>
      <c r="M747" t="s">
        <v>61</v>
      </c>
      <c r="N747">
        <f>Sheet1[[#This Row],[Quantity]]*Sheet1[[#This Row],[UnitPrice]]</f>
        <v>300</v>
      </c>
    </row>
    <row r="748" spans="1:14" x14ac:dyDescent="0.3">
      <c r="A748" s="1">
        <v>45169</v>
      </c>
      <c r="B748" t="s">
        <v>1260</v>
      </c>
      <c r="C748" t="s">
        <v>90</v>
      </c>
      <c r="D748" t="s">
        <v>47</v>
      </c>
      <c r="E748" t="s">
        <v>27</v>
      </c>
      <c r="F748">
        <v>4</v>
      </c>
      <c r="G748">
        <v>252.56</v>
      </c>
      <c r="H748" t="s">
        <v>68</v>
      </c>
      <c r="I748" t="s">
        <v>1303</v>
      </c>
      <c r="J748" t="s">
        <v>58</v>
      </c>
      <c r="K748" t="s">
        <v>31</v>
      </c>
      <c r="L748" t="s">
        <v>39</v>
      </c>
      <c r="M748" t="s">
        <v>32</v>
      </c>
      <c r="N748">
        <f>Sheet1[[#This Row],[Quantity]]*Sheet1[[#This Row],[UnitPrice]]</f>
        <v>1010.24</v>
      </c>
    </row>
    <row r="749" spans="1:14" x14ac:dyDescent="0.3">
      <c r="A749" s="1">
        <v>45029</v>
      </c>
      <c r="B749" t="s">
        <v>1304</v>
      </c>
      <c r="C749" t="s">
        <v>56</v>
      </c>
      <c r="D749" t="s">
        <v>74</v>
      </c>
      <c r="E749" t="s">
        <v>17</v>
      </c>
      <c r="F749">
        <v>6</v>
      </c>
      <c r="G749">
        <v>367.26</v>
      </c>
      <c r="H749" t="s">
        <v>28</v>
      </c>
      <c r="I749" t="s">
        <v>1305</v>
      </c>
      <c r="J749" t="s">
        <v>30</v>
      </c>
      <c r="K749" t="s">
        <v>45</v>
      </c>
      <c r="L749" t="s">
        <v>22</v>
      </c>
      <c r="M749" t="s">
        <v>32</v>
      </c>
      <c r="N749">
        <f>Sheet1[[#This Row],[Quantity]]*Sheet1[[#This Row],[UnitPrice]]</f>
        <v>2203.56</v>
      </c>
    </row>
    <row r="750" spans="1:14" x14ac:dyDescent="0.3">
      <c r="A750" s="1">
        <v>45000</v>
      </c>
      <c r="B750" t="s">
        <v>610</v>
      </c>
      <c r="C750" t="s">
        <v>63</v>
      </c>
      <c r="D750" t="s">
        <v>74</v>
      </c>
      <c r="E750" t="s">
        <v>42</v>
      </c>
      <c r="F750">
        <v>7</v>
      </c>
      <c r="G750">
        <v>46.54</v>
      </c>
      <c r="H750" t="s">
        <v>28</v>
      </c>
      <c r="I750" t="s">
        <v>1306</v>
      </c>
      <c r="J750" t="s">
        <v>20</v>
      </c>
      <c r="K750" t="s">
        <v>59</v>
      </c>
      <c r="L750" t="s">
        <v>60</v>
      </c>
      <c r="M750" t="s">
        <v>76</v>
      </c>
      <c r="N750">
        <f>Sheet1[[#This Row],[Quantity]]*Sheet1[[#This Row],[UnitPrice]]</f>
        <v>325.77999999999997</v>
      </c>
    </row>
    <row r="751" spans="1:14" x14ac:dyDescent="0.3">
      <c r="A751" s="1">
        <v>45441</v>
      </c>
      <c r="B751" t="s">
        <v>1307</v>
      </c>
      <c r="C751" t="s">
        <v>34</v>
      </c>
      <c r="D751" t="s">
        <v>74</v>
      </c>
      <c r="E751" t="s">
        <v>17</v>
      </c>
      <c r="F751">
        <v>7</v>
      </c>
      <c r="G751">
        <v>250.76</v>
      </c>
      <c r="H751" t="s">
        <v>53</v>
      </c>
      <c r="I751" t="s">
        <v>1308</v>
      </c>
      <c r="J751" t="s">
        <v>38</v>
      </c>
      <c r="K751" t="s">
        <v>21</v>
      </c>
      <c r="L751" t="s">
        <v>22</v>
      </c>
      <c r="M751" t="s">
        <v>76</v>
      </c>
      <c r="N751">
        <f>Sheet1[[#This Row],[Quantity]]*Sheet1[[#This Row],[UnitPrice]]</f>
        <v>1755.32</v>
      </c>
    </row>
    <row r="752" spans="1:14" x14ac:dyDescent="0.3">
      <c r="A752" s="1">
        <v>45064</v>
      </c>
      <c r="B752" t="s">
        <v>1309</v>
      </c>
      <c r="C752" t="s">
        <v>15</v>
      </c>
      <c r="D752" t="s">
        <v>74</v>
      </c>
      <c r="E752" t="s">
        <v>17</v>
      </c>
      <c r="F752">
        <v>6</v>
      </c>
      <c r="G752">
        <v>359.48</v>
      </c>
      <c r="H752" t="s">
        <v>53</v>
      </c>
      <c r="I752" t="s">
        <v>1310</v>
      </c>
      <c r="J752" t="s">
        <v>58</v>
      </c>
      <c r="K752" t="s">
        <v>21</v>
      </c>
      <c r="L752" t="s">
        <v>39</v>
      </c>
      <c r="M752" t="s">
        <v>32</v>
      </c>
      <c r="N752">
        <f>Sheet1[[#This Row],[Quantity]]*Sheet1[[#This Row],[UnitPrice]]</f>
        <v>2156.88</v>
      </c>
    </row>
    <row r="753" spans="1:14" x14ac:dyDescent="0.3">
      <c r="A753" s="1">
        <v>45592</v>
      </c>
      <c r="B753" t="s">
        <v>373</v>
      </c>
      <c r="C753" t="s">
        <v>51</v>
      </c>
      <c r="D753" t="s">
        <v>16</v>
      </c>
      <c r="E753" t="s">
        <v>42</v>
      </c>
      <c r="F753">
        <v>10</v>
      </c>
      <c r="G753">
        <v>295.74</v>
      </c>
      <c r="H753" t="s">
        <v>36</v>
      </c>
      <c r="I753" t="s">
        <v>1311</v>
      </c>
      <c r="J753" t="s">
        <v>38</v>
      </c>
      <c r="K753" t="s">
        <v>45</v>
      </c>
      <c r="L753" t="s">
        <v>39</v>
      </c>
      <c r="M753" t="s">
        <v>61</v>
      </c>
      <c r="N753">
        <f>Sheet1[[#This Row],[Quantity]]*Sheet1[[#This Row],[UnitPrice]]</f>
        <v>2957.4</v>
      </c>
    </row>
    <row r="754" spans="1:14" x14ac:dyDescent="0.3">
      <c r="A754" s="1">
        <v>45355</v>
      </c>
      <c r="B754" t="s">
        <v>846</v>
      </c>
      <c r="C754" t="s">
        <v>101</v>
      </c>
      <c r="D754" t="s">
        <v>74</v>
      </c>
      <c r="E754" t="s">
        <v>35</v>
      </c>
      <c r="F754">
        <v>7</v>
      </c>
      <c r="G754">
        <v>383.18</v>
      </c>
      <c r="H754" t="s">
        <v>36</v>
      </c>
      <c r="I754" t="s">
        <v>1312</v>
      </c>
      <c r="J754" t="s">
        <v>58</v>
      </c>
      <c r="K754" t="s">
        <v>59</v>
      </c>
      <c r="L754" t="s">
        <v>22</v>
      </c>
      <c r="M754" t="s">
        <v>49</v>
      </c>
      <c r="N754">
        <f>Sheet1[[#This Row],[Quantity]]*Sheet1[[#This Row],[UnitPrice]]</f>
        <v>2682.26</v>
      </c>
    </row>
    <row r="755" spans="1:14" x14ac:dyDescent="0.3">
      <c r="A755" s="1">
        <v>45256</v>
      </c>
      <c r="B755" t="s">
        <v>454</v>
      </c>
      <c r="C755" t="s">
        <v>73</v>
      </c>
      <c r="D755" t="s">
        <v>16</v>
      </c>
      <c r="E755" t="s">
        <v>17</v>
      </c>
      <c r="F755">
        <v>6</v>
      </c>
      <c r="G755">
        <v>267.88</v>
      </c>
      <c r="H755" t="s">
        <v>36</v>
      </c>
      <c r="I755" t="s">
        <v>1313</v>
      </c>
      <c r="J755" t="s">
        <v>44</v>
      </c>
      <c r="K755" t="s">
        <v>31</v>
      </c>
      <c r="L755" t="s">
        <v>39</v>
      </c>
      <c r="M755" t="s">
        <v>61</v>
      </c>
      <c r="N755">
        <f>Sheet1[[#This Row],[Quantity]]*Sheet1[[#This Row],[UnitPrice]]</f>
        <v>1607.28</v>
      </c>
    </row>
    <row r="756" spans="1:14" x14ac:dyDescent="0.3">
      <c r="A756" s="1">
        <v>45199</v>
      </c>
      <c r="B756" t="s">
        <v>220</v>
      </c>
      <c r="C756" t="s">
        <v>101</v>
      </c>
      <c r="D756" t="s">
        <v>16</v>
      </c>
      <c r="E756" t="s">
        <v>67</v>
      </c>
      <c r="F756">
        <v>7</v>
      </c>
      <c r="G756">
        <v>87.98</v>
      </c>
      <c r="H756" t="s">
        <v>36</v>
      </c>
      <c r="I756" t="s">
        <v>1314</v>
      </c>
      <c r="J756" t="s">
        <v>20</v>
      </c>
      <c r="K756" t="s">
        <v>45</v>
      </c>
      <c r="L756" t="s">
        <v>22</v>
      </c>
      <c r="M756" t="s">
        <v>23</v>
      </c>
      <c r="N756">
        <f>Sheet1[[#This Row],[Quantity]]*Sheet1[[#This Row],[UnitPrice]]</f>
        <v>615.86</v>
      </c>
    </row>
    <row r="757" spans="1:14" x14ac:dyDescent="0.3">
      <c r="A757" s="1">
        <v>45798</v>
      </c>
      <c r="B757" t="s">
        <v>1315</v>
      </c>
      <c r="C757" t="s">
        <v>15</v>
      </c>
      <c r="D757" t="s">
        <v>47</v>
      </c>
      <c r="E757" t="s">
        <v>17</v>
      </c>
      <c r="F757">
        <v>1</v>
      </c>
      <c r="G757">
        <v>324.91000000000003</v>
      </c>
      <c r="H757" t="s">
        <v>18</v>
      </c>
      <c r="I757" t="s">
        <v>1316</v>
      </c>
      <c r="J757" t="s">
        <v>44</v>
      </c>
      <c r="K757" t="s">
        <v>59</v>
      </c>
      <c r="L757" t="s">
        <v>39</v>
      </c>
      <c r="M757" t="s">
        <v>76</v>
      </c>
      <c r="N757">
        <f>Sheet1[[#This Row],[Quantity]]*Sheet1[[#This Row],[UnitPrice]]</f>
        <v>324.91000000000003</v>
      </c>
    </row>
    <row r="758" spans="1:14" x14ac:dyDescent="0.3">
      <c r="A758" s="1">
        <v>45207</v>
      </c>
      <c r="B758" t="s">
        <v>1317</v>
      </c>
      <c r="C758" t="s">
        <v>51</v>
      </c>
      <c r="D758" t="s">
        <v>16</v>
      </c>
      <c r="E758" t="s">
        <v>42</v>
      </c>
      <c r="F758">
        <v>10</v>
      </c>
      <c r="G758">
        <v>51.6</v>
      </c>
      <c r="H758" t="s">
        <v>18</v>
      </c>
      <c r="I758" t="s">
        <v>1318</v>
      </c>
      <c r="J758" t="s">
        <v>20</v>
      </c>
      <c r="K758" t="s">
        <v>31</v>
      </c>
      <c r="L758" t="s">
        <v>22</v>
      </c>
      <c r="M758" t="s">
        <v>61</v>
      </c>
      <c r="N758">
        <f>Sheet1[[#This Row],[Quantity]]*Sheet1[[#This Row],[UnitPrice]]</f>
        <v>516</v>
      </c>
    </row>
    <row r="759" spans="1:14" x14ac:dyDescent="0.3">
      <c r="A759" s="1">
        <v>45782</v>
      </c>
      <c r="B759" t="s">
        <v>799</v>
      </c>
      <c r="C759" t="s">
        <v>90</v>
      </c>
      <c r="D759" t="s">
        <v>47</v>
      </c>
      <c r="E759" t="s">
        <v>67</v>
      </c>
      <c r="F759">
        <v>6</v>
      </c>
      <c r="G759">
        <v>124.48</v>
      </c>
      <c r="H759" t="s">
        <v>53</v>
      </c>
      <c r="I759" t="s">
        <v>1319</v>
      </c>
      <c r="J759" t="s">
        <v>20</v>
      </c>
      <c r="K759" t="s">
        <v>21</v>
      </c>
      <c r="L759" t="s">
        <v>60</v>
      </c>
      <c r="M759" t="s">
        <v>49</v>
      </c>
      <c r="N759">
        <f>Sheet1[[#This Row],[Quantity]]*Sheet1[[#This Row],[UnitPrice]]</f>
        <v>746.88</v>
      </c>
    </row>
    <row r="760" spans="1:14" x14ac:dyDescent="0.3">
      <c r="A760" s="1">
        <v>45214</v>
      </c>
      <c r="B760" t="s">
        <v>1320</v>
      </c>
      <c r="C760" t="s">
        <v>73</v>
      </c>
      <c r="D760" t="s">
        <v>47</v>
      </c>
      <c r="E760" t="s">
        <v>67</v>
      </c>
      <c r="F760">
        <v>1</v>
      </c>
      <c r="G760">
        <v>388.96</v>
      </c>
      <c r="H760" t="s">
        <v>68</v>
      </c>
      <c r="I760" t="s">
        <v>1321</v>
      </c>
      <c r="J760" t="s">
        <v>30</v>
      </c>
      <c r="K760" t="s">
        <v>21</v>
      </c>
      <c r="L760" t="s">
        <v>22</v>
      </c>
      <c r="M760" t="s">
        <v>61</v>
      </c>
      <c r="N760">
        <f>Sheet1[[#This Row],[Quantity]]*Sheet1[[#This Row],[UnitPrice]]</f>
        <v>388.96</v>
      </c>
    </row>
    <row r="761" spans="1:14" x14ac:dyDescent="0.3">
      <c r="A761" s="1">
        <v>45177</v>
      </c>
      <c r="B761" t="s">
        <v>1322</v>
      </c>
      <c r="C761" t="s">
        <v>78</v>
      </c>
      <c r="D761" t="s">
        <v>74</v>
      </c>
      <c r="E761" t="s">
        <v>42</v>
      </c>
      <c r="F761">
        <v>3</v>
      </c>
      <c r="G761">
        <v>94.78</v>
      </c>
      <c r="H761" t="s">
        <v>28</v>
      </c>
      <c r="I761" t="s">
        <v>1323</v>
      </c>
      <c r="J761" t="s">
        <v>44</v>
      </c>
      <c r="K761" t="s">
        <v>21</v>
      </c>
      <c r="L761" t="s">
        <v>39</v>
      </c>
      <c r="M761" t="s">
        <v>40</v>
      </c>
      <c r="N761">
        <f>Sheet1[[#This Row],[Quantity]]*Sheet1[[#This Row],[UnitPrice]]</f>
        <v>284.34000000000003</v>
      </c>
    </row>
    <row r="762" spans="1:14" x14ac:dyDescent="0.3">
      <c r="A762" s="1">
        <v>45605</v>
      </c>
      <c r="B762" t="s">
        <v>220</v>
      </c>
      <c r="C762" t="s">
        <v>51</v>
      </c>
      <c r="D762" t="s">
        <v>74</v>
      </c>
      <c r="E762" t="s">
        <v>35</v>
      </c>
      <c r="F762">
        <v>8</v>
      </c>
      <c r="G762">
        <v>229.52</v>
      </c>
      <c r="H762" t="s">
        <v>68</v>
      </c>
      <c r="I762" t="s">
        <v>1324</v>
      </c>
      <c r="J762" t="s">
        <v>58</v>
      </c>
      <c r="K762" t="s">
        <v>59</v>
      </c>
      <c r="L762" t="s">
        <v>22</v>
      </c>
      <c r="M762" t="s">
        <v>23</v>
      </c>
      <c r="N762">
        <f>Sheet1[[#This Row],[Quantity]]*Sheet1[[#This Row],[UnitPrice]]</f>
        <v>1836.16</v>
      </c>
    </row>
    <row r="763" spans="1:14" x14ac:dyDescent="0.3">
      <c r="A763" s="1">
        <v>45539</v>
      </c>
      <c r="B763" t="s">
        <v>500</v>
      </c>
      <c r="C763" t="s">
        <v>56</v>
      </c>
      <c r="D763" t="s">
        <v>26</v>
      </c>
      <c r="E763" t="s">
        <v>64</v>
      </c>
      <c r="F763">
        <v>8</v>
      </c>
      <c r="G763">
        <v>270.39999999999998</v>
      </c>
      <c r="H763" t="s">
        <v>36</v>
      </c>
      <c r="I763" t="s">
        <v>1325</v>
      </c>
      <c r="J763" t="s">
        <v>58</v>
      </c>
      <c r="K763" t="s">
        <v>21</v>
      </c>
      <c r="L763" t="s">
        <v>60</v>
      </c>
      <c r="M763" t="s">
        <v>76</v>
      </c>
      <c r="N763">
        <f>Sheet1[[#This Row],[Quantity]]*Sheet1[[#This Row],[UnitPrice]]</f>
        <v>2163.1999999999998</v>
      </c>
    </row>
    <row r="764" spans="1:14" x14ac:dyDescent="0.3">
      <c r="A764" s="1">
        <v>45206</v>
      </c>
      <c r="B764" t="s">
        <v>158</v>
      </c>
      <c r="C764" t="s">
        <v>25</v>
      </c>
      <c r="D764" t="s">
        <v>74</v>
      </c>
      <c r="E764" t="s">
        <v>42</v>
      </c>
      <c r="F764">
        <v>5</v>
      </c>
      <c r="G764">
        <v>252.4</v>
      </c>
      <c r="H764" t="s">
        <v>68</v>
      </c>
      <c r="I764" t="s">
        <v>1326</v>
      </c>
      <c r="J764" t="s">
        <v>38</v>
      </c>
      <c r="K764" t="s">
        <v>21</v>
      </c>
      <c r="L764" t="s">
        <v>22</v>
      </c>
      <c r="M764" t="s">
        <v>23</v>
      </c>
      <c r="N764">
        <f>Sheet1[[#This Row],[Quantity]]*Sheet1[[#This Row],[UnitPrice]]</f>
        <v>1262</v>
      </c>
    </row>
    <row r="765" spans="1:14" x14ac:dyDescent="0.3">
      <c r="A765" s="1">
        <v>45554</v>
      </c>
      <c r="B765" t="s">
        <v>1327</v>
      </c>
      <c r="C765" t="s">
        <v>78</v>
      </c>
      <c r="D765" t="s">
        <v>16</v>
      </c>
      <c r="E765" t="s">
        <v>42</v>
      </c>
      <c r="F765">
        <v>1</v>
      </c>
      <c r="G765">
        <v>296.26</v>
      </c>
      <c r="H765" t="s">
        <v>53</v>
      </c>
      <c r="I765" t="s">
        <v>1328</v>
      </c>
      <c r="J765" t="s">
        <v>20</v>
      </c>
      <c r="K765" t="s">
        <v>31</v>
      </c>
      <c r="L765" t="s">
        <v>60</v>
      </c>
      <c r="M765" t="s">
        <v>32</v>
      </c>
      <c r="N765">
        <f>Sheet1[[#This Row],[Quantity]]*Sheet1[[#This Row],[UnitPrice]]</f>
        <v>296.26</v>
      </c>
    </row>
    <row r="766" spans="1:14" x14ac:dyDescent="0.3">
      <c r="A766" s="1">
        <v>45609</v>
      </c>
      <c r="B766" t="s">
        <v>448</v>
      </c>
      <c r="C766" t="s">
        <v>15</v>
      </c>
      <c r="D766" t="s">
        <v>16</v>
      </c>
      <c r="E766" t="s">
        <v>17</v>
      </c>
      <c r="F766">
        <v>8</v>
      </c>
      <c r="G766">
        <v>368.79</v>
      </c>
      <c r="H766" t="s">
        <v>18</v>
      </c>
      <c r="I766" t="s">
        <v>1329</v>
      </c>
      <c r="J766" t="s">
        <v>20</v>
      </c>
      <c r="K766" t="s">
        <v>45</v>
      </c>
      <c r="L766" t="s">
        <v>39</v>
      </c>
      <c r="M766" t="s">
        <v>76</v>
      </c>
      <c r="N766">
        <f>Sheet1[[#This Row],[Quantity]]*Sheet1[[#This Row],[UnitPrice]]</f>
        <v>2950.32</v>
      </c>
    </row>
    <row r="767" spans="1:14" x14ac:dyDescent="0.3">
      <c r="A767" s="1">
        <v>45744</v>
      </c>
      <c r="B767" t="s">
        <v>319</v>
      </c>
      <c r="C767" t="s">
        <v>51</v>
      </c>
      <c r="D767" t="s">
        <v>26</v>
      </c>
      <c r="E767" t="s">
        <v>27</v>
      </c>
      <c r="F767">
        <v>9</v>
      </c>
      <c r="G767">
        <v>52.48</v>
      </c>
      <c r="H767" t="s">
        <v>68</v>
      </c>
      <c r="I767" t="s">
        <v>1330</v>
      </c>
      <c r="J767" t="s">
        <v>30</v>
      </c>
      <c r="K767" t="s">
        <v>31</v>
      </c>
      <c r="L767" t="s">
        <v>39</v>
      </c>
      <c r="M767" t="s">
        <v>40</v>
      </c>
      <c r="N767">
        <f>Sheet1[[#This Row],[Quantity]]*Sheet1[[#This Row],[UnitPrice]]</f>
        <v>472.32</v>
      </c>
    </row>
    <row r="768" spans="1:14" x14ac:dyDescent="0.3">
      <c r="A768" s="1">
        <v>45832</v>
      </c>
      <c r="B768" t="s">
        <v>377</v>
      </c>
      <c r="C768" t="s">
        <v>90</v>
      </c>
      <c r="D768" t="s">
        <v>47</v>
      </c>
      <c r="E768" t="s">
        <v>27</v>
      </c>
      <c r="F768">
        <v>1</v>
      </c>
      <c r="G768">
        <v>362.13</v>
      </c>
      <c r="H768" t="s">
        <v>36</v>
      </c>
      <c r="I768" t="s">
        <v>1331</v>
      </c>
      <c r="J768" t="s">
        <v>30</v>
      </c>
      <c r="K768" t="s">
        <v>45</v>
      </c>
      <c r="L768" t="s">
        <v>22</v>
      </c>
      <c r="M768" t="s">
        <v>84</v>
      </c>
      <c r="N768">
        <f>Sheet1[[#This Row],[Quantity]]*Sheet1[[#This Row],[UnitPrice]]</f>
        <v>362.13</v>
      </c>
    </row>
    <row r="769" spans="1:14" x14ac:dyDescent="0.3">
      <c r="A769" s="1">
        <v>45376</v>
      </c>
      <c r="B769" t="s">
        <v>1332</v>
      </c>
      <c r="C769" t="s">
        <v>34</v>
      </c>
      <c r="D769" t="s">
        <v>26</v>
      </c>
      <c r="E769" t="s">
        <v>27</v>
      </c>
      <c r="F769">
        <v>6</v>
      </c>
      <c r="G769">
        <v>69.209999999999994</v>
      </c>
      <c r="H769" t="s">
        <v>28</v>
      </c>
      <c r="I769" t="s">
        <v>1333</v>
      </c>
      <c r="J769" t="s">
        <v>30</v>
      </c>
      <c r="K769" t="s">
        <v>59</v>
      </c>
      <c r="L769" t="s">
        <v>39</v>
      </c>
      <c r="M769" t="s">
        <v>49</v>
      </c>
      <c r="N769">
        <f>Sheet1[[#This Row],[Quantity]]*Sheet1[[#This Row],[UnitPrice]]</f>
        <v>415.26</v>
      </c>
    </row>
    <row r="770" spans="1:14" x14ac:dyDescent="0.3">
      <c r="A770" s="1">
        <v>44981</v>
      </c>
      <c r="B770" t="s">
        <v>1334</v>
      </c>
      <c r="C770" t="s">
        <v>90</v>
      </c>
      <c r="D770" t="s">
        <v>16</v>
      </c>
      <c r="E770" t="s">
        <v>27</v>
      </c>
      <c r="F770">
        <v>6</v>
      </c>
      <c r="G770">
        <v>152.41999999999999</v>
      </c>
      <c r="H770" t="s">
        <v>53</v>
      </c>
      <c r="I770" t="s">
        <v>1335</v>
      </c>
      <c r="J770" t="s">
        <v>58</v>
      </c>
      <c r="K770" t="s">
        <v>45</v>
      </c>
      <c r="L770" t="s">
        <v>39</v>
      </c>
      <c r="M770" t="s">
        <v>40</v>
      </c>
      <c r="N770">
        <f>Sheet1[[#This Row],[Quantity]]*Sheet1[[#This Row],[UnitPrice]]</f>
        <v>914.52</v>
      </c>
    </row>
    <row r="771" spans="1:14" x14ac:dyDescent="0.3">
      <c r="A771" s="1">
        <v>45461</v>
      </c>
      <c r="B771" t="s">
        <v>359</v>
      </c>
      <c r="C771" t="s">
        <v>34</v>
      </c>
      <c r="D771" t="s">
        <v>26</v>
      </c>
      <c r="E771" t="s">
        <v>27</v>
      </c>
      <c r="F771">
        <v>10</v>
      </c>
      <c r="G771">
        <v>297.7</v>
      </c>
      <c r="H771" t="s">
        <v>28</v>
      </c>
      <c r="I771" t="s">
        <v>1336</v>
      </c>
      <c r="J771" t="s">
        <v>38</v>
      </c>
      <c r="K771" t="s">
        <v>59</v>
      </c>
      <c r="L771" t="s">
        <v>39</v>
      </c>
      <c r="M771" t="s">
        <v>84</v>
      </c>
      <c r="N771">
        <f>Sheet1[[#This Row],[Quantity]]*Sheet1[[#This Row],[UnitPrice]]</f>
        <v>2977</v>
      </c>
    </row>
    <row r="772" spans="1:14" x14ac:dyDescent="0.3">
      <c r="A772" s="1">
        <v>44933</v>
      </c>
      <c r="B772" t="s">
        <v>886</v>
      </c>
      <c r="C772" t="s">
        <v>51</v>
      </c>
      <c r="D772" t="s">
        <v>74</v>
      </c>
      <c r="E772" t="s">
        <v>64</v>
      </c>
      <c r="F772">
        <v>3</v>
      </c>
      <c r="G772">
        <v>53.9</v>
      </c>
      <c r="H772" t="s">
        <v>36</v>
      </c>
      <c r="I772" t="s">
        <v>1337</v>
      </c>
      <c r="J772" t="s">
        <v>58</v>
      </c>
      <c r="K772" t="s">
        <v>31</v>
      </c>
      <c r="L772" t="s">
        <v>22</v>
      </c>
      <c r="M772" t="s">
        <v>23</v>
      </c>
      <c r="N772">
        <f>Sheet1[[#This Row],[Quantity]]*Sheet1[[#This Row],[UnitPrice]]</f>
        <v>161.69999999999999</v>
      </c>
    </row>
    <row r="773" spans="1:14" x14ac:dyDescent="0.3">
      <c r="A773" s="1">
        <v>45013</v>
      </c>
      <c r="B773" t="s">
        <v>80</v>
      </c>
      <c r="C773" t="s">
        <v>101</v>
      </c>
      <c r="D773" t="s">
        <v>16</v>
      </c>
      <c r="E773" t="s">
        <v>17</v>
      </c>
      <c r="F773">
        <v>4</v>
      </c>
      <c r="G773">
        <v>10.77</v>
      </c>
      <c r="H773" t="s">
        <v>53</v>
      </c>
      <c r="I773" t="s">
        <v>1338</v>
      </c>
      <c r="J773" t="s">
        <v>58</v>
      </c>
      <c r="K773" t="s">
        <v>45</v>
      </c>
      <c r="L773" t="s">
        <v>39</v>
      </c>
      <c r="M773" t="s">
        <v>84</v>
      </c>
      <c r="N773">
        <f>Sheet1[[#This Row],[Quantity]]*Sheet1[[#This Row],[UnitPrice]]</f>
        <v>43.08</v>
      </c>
    </row>
    <row r="774" spans="1:14" x14ac:dyDescent="0.3">
      <c r="A774" s="1">
        <v>44991</v>
      </c>
      <c r="B774" t="s">
        <v>1339</v>
      </c>
      <c r="C774" t="s">
        <v>56</v>
      </c>
      <c r="D774" t="s">
        <v>47</v>
      </c>
      <c r="E774" t="s">
        <v>67</v>
      </c>
      <c r="F774">
        <v>4</v>
      </c>
      <c r="G774">
        <v>366.43</v>
      </c>
      <c r="H774" t="s">
        <v>53</v>
      </c>
      <c r="I774" t="s">
        <v>1340</v>
      </c>
      <c r="J774" t="s">
        <v>30</v>
      </c>
      <c r="K774" t="s">
        <v>21</v>
      </c>
      <c r="L774" t="s">
        <v>60</v>
      </c>
      <c r="M774" t="s">
        <v>49</v>
      </c>
      <c r="N774">
        <f>Sheet1[[#This Row],[Quantity]]*Sheet1[[#This Row],[UnitPrice]]</f>
        <v>1465.72</v>
      </c>
    </row>
    <row r="775" spans="1:14" x14ac:dyDescent="0.3">
      <c r="A775" s="1">
        <v>45030</v>
      </c>
      <c r="B775" t="s">
        <v>1341</v>
      </c>
      <c r="C775" t="s">
        <v>25</v>
      </c>
      <c r="D775" t="s">
        <v>26</v>
      </c>
      <c r="E775" t="s">
        <v>35</v>
      </c>
      <c r="F775">
        <v>2</v>
      </c>
      <c r="G775">
        <v>210.28</v>
      </c>
      <c r="H775" t="s">
        <v>36</v>
      </c>
      <c r="I775" t="s">
        <v>1342</v>
      </c>
      <c r="J775" t="s">
        <v>30</v>
      </c>
      <c r="K775" t="s">
        <v>59</v>
      </c>
      <c r="L775" t="s">
        <v>39</v>
      </c>
      <c r="M775" t="s">
        <v>40</v>
      </c>
      <c r="N775">
        <f>Sheet1[[#This Row],[Quantity]]*Sheet1[[#This Row],[UnitPrice]]</f>
        <v>420.56</v>
      </c>
    </row>
    <row r="776" spans="1:14" x14ac:dyDescent="0.3">
      <c r="A776" s="1">
        <v>45213</v>
      </c>
      <c r="B776" t="s">
        <v>1343</v>
      </c>
      <c r="C776" t="s">
        <v>51</v>
      </c>
      <c r="D776" t="s">
        <v>47</v>
      </c>
      <c r="E776" t="s">
        <v>67</v>
      </c>
      <c r="F776">
        <v>6</v>
      </c>
      <c r="G776">
        <v>258.31</v>
      </c>
      <c r="H776" t="s">
        <v>68</v>
      </c>
      <c r="I776" t="s">
        <v>1344</v>
      </c>
      <c r="J776" t="s">
        <v>30</v>
      </c>
      <c r="K776" t="s">
        <v>21</v>
      </c>
      <c r="L776" t="s">
        <v>22</v>
      </c>
      <c r="M776" t="s">
        <v>23</v>
      </c>
      <c r="N776">
        <f>Sheet1[[#This Row],[Quantity]]*Sheet1[[#This Row],[UnitPrice]]</f>
        <v>1549.8600000000001</v>
      </c>
    </row>
    <row r="777" spans="1:14" x14ac:dyDescent="0.3">
      <c r="A777" s="1">
        <v>44928</v>
      </c>
      <c r="B777" t="s">
        <v>1190</v>
      </c>
      <c r="C777" t="s">
        <v>15</v>
      </c>
      <c r="D777" t="s">
        <v>16</v>
      </c>
      <c r="E777" t="s">
        <v>27</v>
      </c>
      <c r="F777">
        <v>6</v>
      </c>
      <c r="G777">
        <v>395.89</v>
      </c>
      <c r="H777" t="s">
        <v>28</v>
      </c>
      <c r="I777" t="s">
        <v>1345</v>
      </c>
      <c r="J777" t="s">
        <v>58</v>
      </c>
      <c r="K777" t="s">
        <v>59</v>
      </c>
      <c r="L777" t="s">
        <v>39</v>
      </c>
      <c r="M777" t="s">
        <v>49</v>
      </c>
      <c r="N777">
        <f>Sheet1[[#This Row],[Quantity]]*Sheet1[[#This Row],[UnitPrice]]</f>
        <v>2375.34</v>
      </c>
    </row>
    <row r="778" spans="1:14" x14ac:dyDescent="0.3">
      <c r="A778" s="1">
        <v>45404</v>
      </c>
      <c r="B778" t="s">
        <v>1346</v>
      </c>
      <c r="C778" t="s">
        <v>15</v>
      </c>
      <c r="D778" t="s">
        <v>26</v>
      </c>
      <c r="E778" t="s">
        <v>42</v>
      </c>
      <c r="F778">
        <v>3</v>
      </c>
      <c r="G778">
        <v>385.34</v>
      </c>
      <c r="H778" t="s">
        <v>68</v>
      </c>
      <c r="I778" t="s">
        <v>1347</v>
      </c>
      <c r="J778" t="s">
        <v>44</v>
      </c>
      <c r="K778" t="s">
        <v>45</v>
      </c>
      <c r="L778" t="s">
        <v>39</v>
      </c>
      <c r="M778" t="s">
        <v>49</v>
      </c>
      <c r="N778">
        <f>Sheet1[[#This Row],[Quantity]]*Sheet1[[#This Row],[UnitPrice]]</f>
        <v>1156.02</v>
      </c>
    </row>
    <row r="779" spans="1:14" x14ac:dyDescent="0.3">
      <c r="A779" s="1">
        <v>45193</v>
      </c>
      <c r="B779" t="s">
        <v>545</v>
      </c>
      <c r="C779" t="s">
        <v>73</v>
      </c>
      <c r="D779" t="s">
        <v>26</v>
      </c>
      <c r="E779" t="s">
        <v>67</v>
      </c>
      <c r="F779">
        <v>5</v>
      </c>
      <c r="G779">
        <v>188.3</v>
      </c>
      <c r="H779" t="s">
        <v>68</v>
      </c>
      <c r="I779" t="s">
        <v>1348</v>
      </c>
      <c r="J779" t="s">
        <v>38</v>
      </c>
      <c r="K779" t="s">
        <v>45</v>
      </c>
      <c r="L779" t="s">
        <v>22</v>
      </c>
      <c r="M779" t="s">
        <v>61</v>
      </c>
      <c r="N779">
        <f>Sheet1[[#This Row],[Quantity]]*Sheet1[[#This Row],[UnitPrice]]</f>
        <v>941.5</v>
      </c>
    </row>
    <row r="780" spans="1:14" x14ac:dyDescent="0.3">
      <c r="A780" s="1">
        <v>45230</v>
      </c>
      <c r="B780" t="s">
        <v>335</v>
      </c>
      <c r="C780" t="s">
        <v>101</v>
      </c>
      <c r="D780" t="s">
        <v>16</v>
      </c>
      <c r="E780" t="s">
        <v>35</v>
      </c>
      <c r="F780">
        <v>6</v>
      </c>
      <c r="G780">
        <v>187.42</v>
      </c>
      <c r="H780" t="s">
        <v>53</v>
      </c>
      <c r="I780" t="s">
        <v>1349</v>
      </c>
      <c r="J780" t="s">
        <v>20</v>
      </c>
      <c r="K780" t="s">
        <v>59</v>
      </c>
      <c r="L780" t="s">
        <v>22</v>
      </c>
      <c r="M780" t="s">
        <v>84</v>
      </c>
      <c r="N780">
        <f>Sheet1[[#This Row],[Quantity]]*Sheet1[[#This Row],[UnitPrice]]</f>
        <v>1124.52</v>
      </c>
    </row>
    <row r="781" spans="1:14" x14ac:dyDescent="0.3">
      <c r="A781" s="1">
        <v>45577</v>
      </c>
      <c r="B781" t="s">
        <v>298</v>
      </c>
      <c r="C781" t="s">
        <v>15</v>
      </c>
      <c r="D781" t="s">
        <v>26</v>
      </c>
      <c r="E781" t="s">
        <v>17</v>
      </c>
      <c r="F781">
        <v>1</v>
      </c>
      <c r="G781">
        <v>26.79</v>
      </c>
      <c r="H781" t="s">
        <v>36</v>
      </c>
      <c r="I781" t="s">
        <v>1350</v>
      </c>
      <c r="J781" t="s">
        <v>44</v>
      </c>
      <c r="K781" t="s">
        <v>31</v>
      </c>
      <c r="L781" t="s">
        <v>22</v>
      </c>
      <c r="M781" t="s">
        <v>23</v>
      </c>
      <c r="N781">
        <f>Sheet1[[#This Row],[Quantity]]*Sheet1[[#This Row],[UnitPrice]]</f>
        <v>26.79</v>
      </c>
    </row>
    <row r="782" spans="1:14" x14ac:dyDescent="0.3">
      <c r="A782" s="1">
        <v>45626</v>
      </c>
      <c r="B782" t="s">
        <v>1327</v>
      </c>
      <c r="C782" t="s">
        <v>73</v>
      </c>
      <c r="D782" t="s">
        <v>26</v>
      </c>
      <c r="E782" t="s">
        <v>42</v>
      </c>
      <c r="F782">
        <v>6</v>
      </c>
      <c r="G782">
        <v>248.6</v>
      </c>
      <c r="H782" t="s">
        <v>68</v>
      </c>
      <c r="I782" t="s">
        <v>1351</v>
      </c>
      <c r="J782" t="s">
        <v>20</v>
      </c>
      <c r="K782" t="s">
        <v>45</v>
      </c>
      <c r="L782" t="s">
        <v>60</v>
      </c>
      <c r="M782" t="s">
        <v>23</v>
      </c>
      <c r="N782">
        <f>Sheet1[[#This Row],[Quantity]]*Sheet1[[#This Row],[UnitPrice]]</f>
        <v>1491.6</v>
      </c>
    </row>
    <row r="783" spans="1:14" x14ac:dyDescent="0.3">
      <c r="A783" s="1">
        <v>45004</v>
      </c>
      <c r="B783" t="s">
        <v>1352</v>
      </c>
      <c r="C783" t="s">
        <v>78</v>
      </c>
      <c r="D783" t="s">
        <v>47</v>
      </c>
      <c r="E783" t="s">
        <v>52</v>
      </c>
      <c r="F783">
        <v>10</v>
      </c>
      <c r="G783">
        <v>307.43</v>
      </c>
      <c r="H783" t="s">
        <v>68</v>
      </c>
      <c r="I783" t="s">
        <v>1353</v>
      </c>
      <c r="J783" t="s">
        <v>30</v>
      </c>
      <c r="K783" t="s">
        <v>21</v>
      </c>
      <c r="L783" t="s">
        <v>39</v>
      </c>
      <c r="M783" t="s">
        <v>61</v>
      </c>
      <c r="N783">
        <f>Sheet1[[#This Row],[Quantity]]*Sheet1[[#This Row],[UnitPrice]]</f>
        <v>3074.3</v>
      </c>
    </row>
    <row r="784" spans="1:14" x14ac:dyDescent="0.3">
      <c r="A784" s="1">
        <v>45734</v>
      </c>
      <c r="B784" t="s">
        <v>827</v>
      </c>
      <c r="C784" t="s">
        <v>34</v>
      </c>
      <c r="D784" t="s">
        <v>47</v>
      </c>
      <c r="E784" t="s">
        <v>64</v>
      </c>
      <c r="F784">
        <v>2</v>
      </c>
      <c r="G784">
        <v>37.5</v>
      </c>
      <c r="H784" t="s">
        <v>36</v>
      </c>
      <c r="I784" t="s">
        <v>1354</v>
      </c>
      <c r="J784" t="s">
        <v>44</v>
      </c>
      <c r="K784" t="s">
        <v>45</v>
      </c>
      <c r="L784" t="s">
        <v>60</v>
      </c>
      <c r="M784" t="s">
        <v>84</v>
      </c>
      <c r="N784">
        <f>Sheet1[[#This Row],[Quantity]]*Sheet1[[#This Row],[UnitPrice]]</f>
        <v>75</v>
      </c>
    </row>
    <row r="785" spans="1:14" x14ac:dyDescent="0.3">
      <c r="A785" s="1">
        <v>45509</v>
      </c>
      <c r="B785" t="s">
        <v>452</v>
      </c>
      <c r="C785" t="s">
        <v>34</v>
      </c>
      <c r="D785" t="s">
        <v>74</v>
      </c>
      <c r="E785" t="s">
        <v>17</v>
      </c>
      <c r="F785">
        <v>8</v>
      </c>
      <c r="G785">
        <v>90.61</v>
      </c>
      <c r="H785" t="s">
        <v>68</v>
      </c>
      <c r="I785" t="s">
        <v>1355</v>
      </c>
      <c r="J785" t="s">
        <v>44</v>
      </c>
      <c r="K785" t="s">
        <v>31</v>
      </c>
      <c r="L785" t="s">
        <v>39</v>
      </c>
      <c r="M785" t="s">
        <v>49</v>
      </c>
      <c r="N785">
        <f>Sheet1[[#This Row],[Quantity]]*Sheet1[[#This Row],[UnitPrice]]</f>
        <v>724.88</v>
      </c>
    </row>
    <row r="786" spans="1:14" x14ac:dyDescent="0.3">
      <c r="A786" s="1">
        <v>44949</v>
      </c>
      <c r="B786" t="s">
        <v>1356</v>
      </c>
      <c r="C786" t="s">
        <v>34</v>
      </c>
      <c r="D786" t="s">
        <v>47</v>
      </c>
      <c r="E786" t="s">
        <v>27</v>
      </c>
      <c r="F786">
        <v>4</v>
      </c>
      <c r="G786">
        <v>362.84</v>
      </c>
      <c r="H786" t="s">
        <v>53</v>
      </c>
      <c r="I786" t="s">
        <v>1357</v>
      </c>
      <c r="J786" t="s">
        <v>20</v>
      </c>
      <c r="K786" t="s">
        <v>31</v>
      </c>
      <c r="L786" t="s">
        <v>60</v>
      </c>
      <c r="M786" t="s">
        <v>49</v>
      </c>
      <c r="N786">
        <f>Sheet1[[#This Row],[Quantity]]*Sheet1[[#This Row],[UnitPrice]]</f>
        <v>1451.36</v>
      </c>
    </row>
    <row r="787" spans="1:14" x14ac:dyDescent="0.3">
      <c r="A787" s="1">
        <v>45115</v>
      </c>
      <c r="B787" t="s">
        <v>329</v>
      </c>
      <c r="C787" t="s">
        <v>56</v>
      </c>
      <c r="D787" t="s">
        <v>26</v>
      </c>
      <c r="E787" t="s">
        <v>35</v>
      </c>
      <c r="F787">
        <v>2</v>
      </c>
      <c r="G787">
        <v>54.41</v>
      </c>
      <c r="H787" t="s">
        <v>18</v>
      </c>
      <c r="I787" t="s">
        <v>1358</v>
      </c>
      <c r="J787" t="s">
        <v>30</v>
      </c>
      <c r="K787" t="s">
        <v>59</v>
      </c>
      <c r="L787" t="s">
        <v>60</v>
      </c>
      <c r="M787" t="s">
        <v>23</v>
      </c>
      <c r="N787">
        <f>Sheet1[[#This Row],[Quantity]]*Sheet1[[#This Row],[UnitPrice]]</f>
        <v>108.82</v>
      </c>
    </row>
    <row r="788" spans="1:14" x14ac:dyDescent="0.3">
      <c r="A788" s="1">
        <v>45358</v>
      </c>
      <c r="B788" t="s">
        <v>591</v>
      </c>
      <c r="C788" t="s">
        <v>15</v>
      </c>
      <c r="D788" t="s">
        <v>16</v>
      </c>
      <c r="E788" t="s">
        <v>52</v>
      </c>
      <c r="F788">
        <v>2</v>
      </c>
      <c r="G788">
        <v>110.95</v>
      </c>
      <c r="H788" t="s">
        <v>68</v>
      </c>
      <c r="I788" t="s">
        <v>1359</v>
      </c>
      <c r="J788" t="s">
        <v>58</v>
      </c>
      <c r="K788" t="s">
        <v>59</v>
      </c>
      <c r="L788" t="s">
        <v>60</v>
      </c>
      <c r="M788" t="s">
        <v>32</v>
      </c>
      <c r="N788">
        <f>Sheet1[[#This Row],[Quantity]]*Sheet1[[#This Row],[UnitPrice]]</f>
        <v>221.9</v>
      </c>
    </row>
    <row r="789" spans="1:14" x14ac:dyDescent="0.3">
      <c r="A789" s="1">
        <v>45251</v>
      </c>
      <c r="B789" t="s">
        <v>55</v>
      </c>
      <c r="C789" t="s">
        <v>63</v>
      </c>
      <c r="D789" t="s">
        <v>16</v>
      </c>
      <c r="E789" t="s">
        <v>52</v>
      </c>
      <c r="F789">
        <v>6</v>
      </c>
      <c r="G789">
        <v>284.02999999999997</v>
      </c>
      <c r="H789" t="s">
        <v>68</v>
      </c>
      <c r="I789" t="s">
        <v>1360</v>
      </c>
      <c r="J789" t="s">
        <v>38</v>
      </c>
      <c r="K789" t="s">
        <v>21</v>
      </c>
      <c r="L789" t="s">
        <v>60</v>
      </c>
      <c r="M789" t="s">
        <v>84</v>
      </c>
      <c r="N789">
        <f>Sheet1[[#This Row],[Quantity]]*Sheet1[[#This Row],[UnitPrice]]</f>
        <v>1704.1799999999998</v>
      </c>
    </row>
    <row r="790" spans="1:14" x14ac:dyDescent="0.3">
      <c r="A790" s="1">
        <v>45457</v>
      </c>
      <c r="B790" t="s">
        <v>410</v>
      </c>
      <c r="C790" t="s">
        <v>90</v>
      </c>
      <c r="D790" t="s">
        <v>47</v>
      </c>
      <c r="E790" t="s">
        <v>42</v>
      </c>
      <c r="F790">
        <v>3</v>
      </c>
      <c r="G790">
        <v>83.49</v>
      </c>
      <c r="H790" t="s">
        <v>18</v>
      </c>
      <c r="I790" t="s">
        <v>1361</v>
      </c>
      <c r="J790" t="s">
        <v>38</v>
      </c>
      <c r="K790" t="s">
        <v>45</v>
      </c>
      <c r="L790" t="s">
        <v>22</v>
      </c>
      <c r="M790" t="s">
        <v>40</v>
      </c>
      <c r="N790">
        <f>Sheet1[[#This Row],[Quantity]]*Sheet1[[#This Row],[UnitPrice]]</f>
        <v>250.46999999999997</v>
      </c>
    </row>
    <row r="791" spans="1:14" x14ac:dyDescent="0.3">
      <c r="A791" s="1">
        <v>45080</v>
      </c>
      <c r="B791" t="s">
        <v>375</v>
      </c>
      <c r="C791" t="s">
        <v>78</v>
      </c>
      <c r="D791" t="s">
        <v>26</v>
      </c>
      <c r="E791" t="s">
        <v>35</v>
      </c>
      <c r="F791">
        <v>8</v>
      </c>
      <c r="G791">
        <v>274.38</v>
      </c>
      <c r="H791" t="s">
        <v>53</v>
      </c>
      <c r="I791" t="s">
        <v>1362</v>
      </c>
      <c r="J791" t="s">
        <v>38</v>
      </c>
      <c r="K791" t="s">
        <v>45</v>
      </c>
      <c r="L791" t="s">
        <v>39</v>
      </c>
      <c r="M791" t="s">
        <v>23</v>
      </c>
      <c r="N791">
        <f>Sheet1[[#This Row],[Quantity]]*Sheet1[[#This Row],[UnitPrice]]</f>
        <v>2195.04</v>
      </c>
    </row>
    <row r="792" spans="1:14" x14ac:dyDescent="0.3">
      <c r="A792" s="1">
        <v>45700</v>
      </c>
      <c r="B792" t="s">
        <v>1363</v>
      </c>
      <c r="C792" t="s">
        <v>78</v>
      </c>
      <c r="D792" t="s">
        <v>47</v>
      </c>
      <c r="E792" t="s">
        <v>52</v>
      </c>
      <c r="F792">
        <v>5</v>
      </c>
      <c r="G792">
        <v>183.23</v>
      </c>
      <c r="H792" t="s">
        <v>36</v>
      </c>
      <c r="I792" t="s">
        <v>1364</v>
      </c>
      <c r="J792" t="s">
        <v>38</v>
      </c>
      <c r="K792" t="s">
        <v>21</v>
      </c>
      <c r="L792" t="s">
        <v>60</v>
      </c>
      <c r="M792" t="s">
        <v>76</v>
      </c>
      <c r="N792">
        <f>Sheet1[[#This Row],[Quantity]]*Sheet1[[#This Row],[UnitPrice]]</f>
        <v>916.15</v>
      </c>
    </row>
    <row r="793" spans="1:14" x14ac:dyDescent="0.3">
      <c r="A793" s="1">
        <v>45454</v>
      </c>
      <c r="B793" t="s">
        <v>1365</v>
      </c>
      <c r="C793" t="s">
        <v>90</v>
      </c>
      <c r="D793" t="s">
        <v>74</v>
      </c>
      <c r="E793" t="s">
        <v>64</v>
      </c>
      <c r="F793">
        <v>2</v>
      </c>
      <c r="G793">
        <v>334.18</v>
      </c>
      <c r="H793" t="s">
        <v>68</v>
      </c>
      <c r="I793" t="s">
        <v>1366</v>
      </c>
      <c r="J793" t="s">
        <v>30</v>
      </c>
      <c r="K793" t="s">
        <v>31</v>
      </c>
      <c r="L793" t="s">
        <v>60</v>
      </c>
      <c r="M793" t="s">
        <v>84</v>
      </c>
      <c r="N793">
        <f>Sheet1[[#This Row],[Quantity]]*Sheet1[[#This Row],[UnitPrice]]</f>
        <v>668.36</v>
      </c>
    </row>
    <row r="794" spans="1:14" x14ac:dyDescent="0.3">
      <c r="A794" s="1">
        <v>45270</v>
      </c>
      <c r="B794" t="s">
        <v>1367</v>
      </c>
      <c r="C794" t="s">
        <v>56</v>
      </c>
      <c r="D794" t="s">
        <v>26</v>
      </c>
      <c r="E794" t="s">
        <v>67</v>
      </c>
      <c r="F794">
        <v>9</v>
      </c>
      <c r="G794">
        <v>52.06</v>
      </c>
      <c r="H794" t="s">
        <v>18</v>
      </c>
      <c r="I794" t="s">
        <v>1368</v>
      </c>
      <c r="J794" t="s">
        <v>30</v>
      </c>
      <c r="K794" t="s">
        <v>31</v>
      </c>
      <c r="L794" t="s">
        <v>60</v>
      </c>
      <c r="M794" t="s">
        <v>61</v>
      </c>
      <c r="N794">
        <f>Sheet1[[#This Row],[Quantity]]*Sheet1[[#This Row],[UnitPrice]]</f>
        <v>468.54</v>
      </c>
    </row>
    <row r="795" spans="1:14" x14ac:dyDescent="0.3">
      <c r="A795" s="1">
        <v>45254</v>
      </c>
      <c r="B795" t="s">
        <v>1203</v>
      </c>
      <c r="C795" t="s">
        <v>56</v>
      </c>
      <c r="D795" t="s">
        <v>74</v>
      </c>
      <c r="E795" t="s">
        <v>35</v>
      </c>
      <c r="F795">
        <v>7</v>
      </c>
      <c r="G795">
        <v>95.68</v>
      </c>
      <c r="H795" t="s">
        <v>68</v>
      </c>
      <c r="I795" t="s">
        <v>1369</v>
      </c>
      <c r="J795" t="s">
        <v>20</v>
      </c>
      <c r="K795" t="s">
        <v>21</v>
      </c>
      <c r="L795" t="s">
        <v>22</v>
      </c>
      <c r="M795" t="s">
        <v>40</v>
      </c>
      <c r="N795">
        <f>Sheet1[[#This Row],[Quantity]]*Sheet1[[#This Row],[UnitPrice]]</f>
        <v>669.76</v>
      </c>
    </row>
    <row r="796" spans="1:14" x14ac:dyDescent="0.3">
      <c r="A796" s="1">
        <v>44938</v>
      </c>
      <c r="B796" t="s">
        <v>1370</v>
      </c>
      <c r="C796" t="s">
        <v>78</v>
      </c>
      <c r="D796" t="s">
        <v>26</v>
      </c>
      <c r="E796" t="s">
        <v>17</v>
      </c>
      <c r="F796">
        <v>3</v>
      </c>
      <c r="G796">
        <v>213.45</v>
      </c>
      <c r="H796" t="s">
        <v>28</v>
      </c>
      <c r="I796" t="s">
        <v>1371</v>
      </c>
      <c r="J796" t="s">
        <v>30</v>
      </c>
      <c r="K796" t="s">
        <v>45</v>
      </c>
      <c r="L796" t="s">
        <v>39</v>
      </c>
      <c r="M796" t="s">
        <v>32</v>
      </c>
      <c r="N796">
        <f>Sheet1[[#This Row],[Quantity]]*Sheet1[[#This Row],[UnitPrice]]</f>
        <v>640.34999999999991</v>
      </c>
    </row>
    <row r="797" spans="1:14" x14ac:dyDescent="0.3">
      <c r="A797" s="1">
        <v>45382</v>
      </c>
      <c r="B797" t="s">
        <v>591</v>
      </c>
      <c r="C797" t="s">
        <v>78</v>
      </c>
      <c r="D797" t="s">
        <v>16</v>
      </c>
      <c r="E797" t="s">
        <v>27</v>
      </c>
      <c r="F797">
        <v>6</v>
      </c>
      <c r="G797">
        <v>331.06</v>
      </c>
      <c r="H797" t="s">
        <v>36</v>
      </c>
      <c r="I797" t="s">
        <v>1372</v>
      </c>
      <c r="J797" t="s">
        <v>38</v>
      </c>
      <c r="K797" t="s">
        <v>21</v>
      </c>
      <c r="L797" t="s">
        <v>60</v>
      </c>
      <c r="M797" t="s">
        <v>61</v>
      </c>
      <c r="N797">
        <f>Sheet1[[#This Row],[Quantity]]*Sheet1[[#This Row],[UnitPrice]]</f>
        <v>1986.3600000000001</v>
      </c>
    </row>
    <row r="798" spans="1:14" x14ac:dyDescent="0.3">
      <c r="A798" s="1">
        <v>45399</v>
      </c>
      <c r="B798" t="s">
        <v>77</v>
      </c>
      <c r="C798" t="s">
        <v>90</v>
      </c>
      <c r="D798" t="s">
        <v>26</v>
      </c>
      <c r="E798" t="s">
        <v>17</v>
      </c>
      <c r="F798">
        <v>4</v>
      </c>
      <c r="G798">
        <v>232.8</v>
      </c>
      <c r="H798" t="s">
        <v>36</v>
      </c>
      <c r="I798" t="s">
        <v>1373</v>
      </c>
      <c r="J798" t="s">
        <v>38</v>
      </c>
      <c r="K798" t="s">
        <v>59</v>
      </c>
      <c r="L798" t="s">
        <v>22</v>
      </c>
      <c r="M798" t="s">
        <v>76</v>
      </c>
      <c r="N798">
        <f>Sheet1[[#This Row],[Quantity]]*Sheet1[[#This Row],[UnitPrice]]</f>
        <v>931.2</v>
      </c>
    </row>
    <row r="799" spans="1:14" x14ac:dyDescent="0.3">
      <c r="A799" s="1">
        <v>45481</v>
      </c>
      <c r="B799" t="s">
        <v>344</v>
      </c>
      <c r="C799" t="s">
        <v>56</v>
      </c>
      <c r="D799" t="s">
        <v>47</v>
      </c>
      <c r="E799" t="s">
        <v>35</v>
      </c>
      <c r="F799">
        <v>8</v>
      </c>
      <c r="G799">
        <v>355.36</v>
      </c>
      <c r="H799" t="s">
        <v>53</v>
      </c>
      <c r="I799" t="s">
        <v>1374</v>
      </c>
      <c r="J799" t="s">
        <v>20</v>
      </c>
      <c r="K799" t="s">
        <v>45</v>
      </c>
      <c r="L799" t="s">
        <v>39</v>
      </c>
      <c r="M799" t="s">
        <v>49</v>
      </c>
      <c r="N799">
        <f>Sheet1[[#This Row],[Quantity]]*Sheet1[[#This Row],[UnitPrice]]</f>
        <v>2842.88</v>
      </c>
    </row>
    <row r="800" spans="1:14" x14ac:dyDescent="0.3">
      <c r="A800" s="1">
        <v>45410</v>
      </c>
      <c r="B800" t="s">
        <v>340</v>
      </c>
      <c r="C800" t="s">
        <v>34</v>
      </c>
      <c r="D800" t="s">
        <v>74</v>
      </c>
      <c r="E800" t="s">
        <v>64</v>
      </c>
      <c r="F800">
        <v>10</v>
      </c>
      <c r="G800">
        <v>377.3</v>
      </c>
      <c r="H800" t="s">
        <v>28</v>
      </c>
      <c r="I800" t="s">
        <v>1375</v>
      </c>
      <c r="J800" t="s">
        <v>20</v>
      </c>
      <c r="K800" t="s">
        <v>31</v>
      </c>
      <c r="L800" t="s">
        <v>60</v>
      </c>
      <c r="M800" t="s">
        <v>61</v>
      </c>
      <c r="N800">
        <f>Sheet1[[#This Row],[Quantity]]*Sheet1[[#This Row],[UnitPrice]]</f>
        <v>3773</v>
      </c>
    </row>
    <row r="801" spans="1:14" x14ac:dyDescent="0.3">
      <c r="A801" s="1">
        <v>45482</v>
      </c>
      <c r="B801" t="s">
        <v>1376</v>
      </c>
      <c r="C801" t="s">
        <v>25</v>
      </c>
      <c r="D801" t="s">
        <v>16</v>
      </c>
      <c r="E801" t="s">
        <v>67</v>
      </c>
      <c r="F801">
        <v>8</v>
      </c>
      <c r="G801">
        <v>330.84</v>
      </c>
      <c r="H801" t="s">
        <v>53</v>
      </c>
      <c r="I801" t="s">
        <v>1377</v>
      </c>
      <c r="J801" t="s">
        <v>38</v>
      </c>
      <c r="K801" t="s">
        <v>31</v>
      </c>
      <c r="L801" t="s">
        <v>22</v>
      </c>
      <c r="M801" t="s">
        <v>84</v>
      </c>
      <c r="N801">
        <f>Sheet1[[#This Row],[Quantity]]*Sheet1[[#This Row],[UnitPrice]]</f>
        <v>2646.72</v>
      </c>
    </row>
    <row r="802" spans="1:14" x14ac:dyDescent="0.3">
      <c r="A802" s="1">
        <v>45125</v>
      </c>
      <c r="B802" t="s">
        <v>1100</v>
      </c>
      <c r="C802" t="s">
        <v>90</v>
      </c>
      <c r="D802" t="s">
        <v>47</v>
      </c>
      <c r="E802" t="s">
        <v>64</v>
      </c>
      <c r="F802">
        <v>3</v>
      </c>
      <c r="G802">
        <v>320.89999999999998</v>
      </c>
      <c r="H802" t="s">
        <v>28</v>
      </c>
      <c r="I802" t="s">
        <v>1378</v>
      </c>
      <c r="J802" t="s">
        <v>58</v>
      </c>
      <c r="K802" t="s">
        <v>59</v>
      </c>
      <c r="L802" t="s">
        <v>22</v>
      </c>
      <c r="M802" t="s">
        <v>84</v>
      </c>
      <c r="N802">
        <f>Sheet1[[#This Row],[Quantity]]*Sheet1[[#This Row],[UnitPrice]]</f>
        <v>962.69999999999993</v>
      </c>
    </row>
    <row r="803" spans="1:14" x14ac:dyDescent="0.3">
      <c r="A803" s="1">
        <v>45297</v>
      </c>
      <c r="B803" t="s">
        <v>431</v>
      </c>
      <c r="C803" t="s">
        <v>63</v>
      </c>
      <c r="D803" t="s">
        <v>47</v>
      </c>
      <c r="E803" t="s">
        <v>42</v>
      </c>
      <c r="F803">
        <v>6</v>
      </c>
      <c r="G803">
        <v>236.45</v>
      </c>
      <c r="H803" t="s">
        <v>28</v>
      </c>
      <c r="I803" t="s">
        <v>1379</v>
      </c>
      <c r="J803" t="s">
        <v>20</v>
      </c>
      <c r="K803" t="s">
        <v>45</v>
      </c>
      <c r="L803" t="s">
        <v>22</v>
      </c>
      <c r="M803" t="s">
        <v>23</v>
      </c>
      <c r="N803">
        <f>Sheet1[[#This Row],[Quantity]]*Sheet1[[#This Row],[UnitPrice]]</f>
        <v>1418.6999999999998</v>
      </c>
    </row>
    <row r="804" spans="1:14" x14ac:dyDescent="0.3">
      <c r="A804" s="1">
        <v>45608</v>
      </c>
      <c r="B804" t="s">
        <v>910</v>
      </c>
      <c r="C804" t="s">
        <v>51</v>
      </c>
      <c r="D804" t="s">
        <v>47</v>
      </c>
      <c r="E804" t="s">
        <v>27</v>
      </c>
      <c r="F804">
        <v>7</v>
      </c>
      <c r="G804">
        <v>152.72999999999999</v>
      </c>
      <c r="H804" t="s">
        <v>36</v>
      </c>
      <c r="I804" t="s">
        <v>1380</v>
      </c>
      <c r="J804" t="s">
        <v>38</v>
      </c>
      <c r="K804" t="s">
        <v>59</v>
      </c>
      <c r="L804" t="s">
        <v>22</v>
      </c>
      <c r="M804" t="s">
        <v>84</v>
      </c>
      <c r="N804">
        <f>Sheet1[[#This Row],[Quantity]]*Sheet1[[#This Row],[UnitPrice]]</f>
        <v>1069.1099999999999</v>
      </c>
    </row>
    <row r="805" spans="1:14" x14ac:dyDescent="0.3">
      <c r="A805" s="1">
        <v>45658</v>
      </c>
      <c r="B805" t="s">
        <v>1381</v>
      </c>
      <c r="C805" t="s">
        <v>25</v>
      </c>
      <c r="D805" t="s">
        <v>26</v>
      </c>
      <c r="E805" t="s">
        <v>17</v>
      </c>
      <c r="F805">
        <v>5</v>
      </c>
      <c r="G805">
        <v>70.03</v>
      </c>
      <c r="H805" t="s">
        <v>53</v>
      </c>
      <c r="I805" t="s">
        <v>1382</v>
      </c>
      <c r="J805" t="s">
        <v>58</v>
      </c>
      <c r="K805" t="s">
        <v>45</v>
      </c>
      <c r="L805" t="s">
        <v>39</v>
      </c>
      <c r="M805" t="s">
        <v>76</v>
      </c>
      <c r="N805">
        <f>Sheet1[[#This Row],[Quantity]]*Sheet1[[#This Row],[UnitPrice]]</f>
        <v>350.15</v>
      </c>
    </row>
    <row r="806" spans="1:14" x14ac:dyDescent="0.3">
      <c r="A806" s="1">
        <v>45395</v>
      </c>
      <c r="B806" t="s">
        <v>1383</v>
      </c>
      <c r="C806" t="s">
        <v>63</v>
      </c>
      <c r="D806" t="s">
        <v>16</v>
      </c>
      <c r="E806" t="s">
        <v>27</v>
      </c>
      <c r="F806">
        <v>9</v>
      </c>
      <c r="G806">
        <v>150.05000000000001</v>
      </c>
      <c r="H806" t="s">
        <v>28</v>
      </c>
      <c r="I806" t="s">
        <v>1384</v>
      </c>
      <c r="J806" t="s">
        <v>38</v>
      </c>
      <c r="K806" t="s">
        <v>45</v>
      </c>
      <c r="L806" t="s">
        <v>39</v>
      </c>
      <c r="M806" t="s">
        <v>23</v>
      </c>
      <c r="N806">
        <f>Sheet1[[#This Row],[Quantity]]*Sheet1[[#This Row],[UnitPrice]]</f>
        <v>1350.45</v>
      </c>
    </row>
    <row r="807" spans="1:14" x14ac:dyDescent="0.3">
      <c r="A807" s="1">
        <v>45019</v>
      </c>
      <c r="B807" t="s">
        <v>608</v>
      </c>
      <c r="C807" t="s">
        <v>51</v>
      </c>
      <c r="D807" t="s">
        <v>26</v>
      </c>
      <c r="E807" t="s">
        <v>64</v>
      </c>
      <c r="F807">
        <v>1</v>
      </c>
      <c r="G807">
        <v>91.53</v>
      </c>
      <c r="H807" t="s">
        <v>68</v>
      </c>
      <c r="I807" t="s">
        <v>1385</v>
      </c>
      <c r="J807" t="s">
        <v>58</v>
      </c>
      <c r="K807" t="s">
        <v>45</v>
      </c>
      <c r="L807" t="s">
        <v>60</v>
      </c>
      <c r="M807" t="s">
        <v>49</v>
      </c>
      <c r="N807">
        <f>Sheet1[[#This Row],[Quantity]]*Sheet1[[#This Row],[UnitPrice]]</f>
        <v>91.53</v>
      </c>
    </row>
    <row r="808" spans="1:14" x14ac:dyDescent="0.3">
      <c r="A808" s="1">
        <v>44947</v>
      </c>
      <c r="B808" t="s">
        <v>680</v>
      </c>
      <c r="C808" t="s">
        <v>15</v>
      </c>
      <c r="D808" t="s">
        <v>16</v>
      </c>
      <c r="E808" t="s">
        <v>42</v>
      </c>
      <c r="F808">
        <v>4</v>
      </c>
      <c r="G808">
        <v>264.5</v>
      </c>
      <c r="H808" t="s">
        <v>53</v>
      </c>
      <c r="I808" t="s">
        <v>1386</v>
      </c>
      <c r="J808" t="s">
        <v>20</v>
      </c>
      <c r="K808" t="s">
        <v>31</v>
      </c>
      <c r="L808" t="s">
        <v>39</v>
      </c>
      <c r="M808" t="s">
        <v>23</v>
      </c>
      <c r="N808">
        <f>Sheet1[[#This Row],[Quantity]]*Sheet1[[#This Row],[UnitPrice]]</f>
        <v>1058</v>
      </c>
    </row>
    <row r="809" spans="1:14" x14ac:dyDescent="0.3">
      <c r="A809" s="1">
        <v>45708</v>
      </c>
      <c r="B809" t="s">
        <v>1387</v>
      </c>
      <c r="C809" t="s">
        <v>51</v>
      </c>
      <c r="D809" t="s">
        <v>47</v>
      </c>
      <c r="E809" t="s">
        <v>52</v>
      </c>
      <c r="F809">
        <v>3</v>
      </c>
      <c r="G809">
        <v>158.85</v>
      </c>
      <c r="H809" t="s">
        <v>18</v>
      </c>
      <c r="I809" t="s">
        <v>1388</v>
      </c>
      <c r="J809" t="s">
        <v>38</v>
      </c>
      <c r="K809" t="s">
        <v>45</v>
      </c>
      <c r="L809" t="s">
        <v>60</v>
      </c>
      <c r="M809" t="s">
        <v>32</v>
      </c>
      <c r="N809">
        <f>Sheet1[[#This Row],[Quantity]]*Sheet1[[#This Row],[UnitPrice]]</f>
        <v>476.54999999999995</v>
      </c>
    </row>
    <row r="810" spans="1:14" x14ac:dyDescent="0.3">
      <c r="A810" s="1">
        <v>45547</v>
      </c>
      <c r="B810" t="s">
        <v>700</v>
      </c>
      <c r="C810" t="s">
        <v>34</v>
      </c>
      <c r="D810" t="s">
        <v>74</v>
      </c>
      <c r="E810" t="s">
        <v>64</v>
      </c>
      <c r="F810">
        <v>10</v>
      </c>
      <c r="G810">
        <v>78.58</v>
      </c>
      <c r="H810" t="s">
        <v>68</v>
      </c>
      <c r="I810" t="s">
        <v>1389</v>
      </c>
      <c r="J810" t="s">
        <v>30</v>
      </c>
      <c r="K810" t="s">
        <v>45</v>
      </c>
      <c r="L810" t="s">
        <v>60</v>
      </c>
      <c r="M810" t="s">
        <v>32</v>
      </c>
      <c r="N810">
        <f>Sheet1[[#This Row],[Quantity]]*Sheet1[[#This Row],[UnitPrice]]</f>
        <v>785.8</v>
      </c>
    </row>
    <row r="811" spans="1:14" x14ac:dyDescent="0.3">
      <c r="A811" s="1">
        <v>45301</v>
      </c>
      <c r="B811" t="s">
        <v>377</v>
      </c>
      <c r="C811" t="s">
        <v>25</v>
      </c>
      <c r="D811" t="s">
        <v>16</v>
      </c>
      <c r="E811" t="s">
        <v>64</v>
      </c>
      <c r="F811">
        <v>10</v>
      </c>
      <c r="G811">
        <v>298.16000000000003</v>
      </c>
      <c r="H811" t="s">
        <v>53</v>
      </c>
      <c r="I811" t="s">
        <v>1390</v>
      </c>
      <c r="J811" t="s">
        <v>58</v>
      </c>
      <c r="K811" t="s">
        <v>21</v>
      </c>
      <c r="L811" t="s">
        <v>22</v>
      </c>
      <c r="M811" t="s">
        <v>76</v>
      </c>
      <c r="N811">
        <f>Sheet1[[#This Row],[Quantity]]*Sheet1[[#This Row],[UnitPrice]]</f>
        <v>2981.6000000000004</v>
      </c>
    </row>
    <row r="812" spans="1:14" x14ac:dyDescent="0.3">
      <c r="A812" s="1">
        <v>45120</v>
      </c>
      <c r="B812" t="s">
        <v>651</v>
      </c>
      <c r="C812" t="s">
        <v>90</v>
      </c>
      <c r="D812" t="s">
        <v>74</v>
      </c>
      <c r="E812" t="s">
        <v>67</v>
      </c>
      <c r="F812">
        <v>3</v>
      </c>
      <c r="G812">
        <v>339.33</v>
      </c>
      <c r="H812" t="s">
        <v>53</v>
      </c>
      <c r="I812" t="s">
        <v>1391</v>
      </c>
      <c r="J812" t="s">
        <v>20</v>
      </c>
      <c r="K812" t="s">
        <v>21</v>
      </c>
      <c r="L812" t="s">
        <v>22</v>
      </c>
      <c r="M812" t="s">
        <v>32</v>
      </c>
      <c r="N812">
        <f>Sheet1[[#This Row],[Quantity]]*Sheet1[[#This Row],[UnitPrice]]</f>
        <v>1017.99</v>
      </c>
    </row>
    <row r="813" spans="1:14" x14ac:dyDescent="0.3">
      <c r="A813" s="1">
        <v>45540</v>
      </c>
      <c r="B813" t="s">
        <v>1392</v>
      </c>
      <c r="C813" t="s">
        <v>56</v>
      </c>
      <c r="D813" t="s">
        <v>74</v>
      </c>
      <c r="E813" t="s">
        <v>42</v>
      </c>
      <c r="F813">
        <v>10</v>
      </c>
      <c r="G813">
        <v>239.02</v>
      </c>
      <c r="H813" t="s">
        <v>28</v>
      </c>
      <c r="I813" t="s">
        <v>1393</v>
      </c>
      <c r="J813" t="s">
        <v>38</v>
      </c>
      <c r="K813" t="s">
        <v>59</v>
      </c>
      <c r="L813" t="s">
        <v>39</v>
      </c>
      <c r="M813" t="s">
        <v>32</v>
      </c>
      <c r="N813">
        <f>Sheet1[[#This Row],[Quantity]]*Sheet1[[#This Row],[UnitPrice]]</f>
        <v>2390.2000000000003</v>
      </c>
    </row>
    <row r="814" spans="1:14" x14ac:dyDescent="0.3">
      <c r="A814" s="1">
        <v>45615</v>
      </c>
      <c r="B814" t="s">
        <v>787</v>
      </c>
      <c r="C814" t="s">
        <v>34</v>
      </c>
      <c r="D814" t="s">
        <v>74</v>
      </c>
      <c r="E814" t="s">
        <v>42</v>
      </c>
      <c r="F814">
        <v>6</v>
      </c>
      <c r="G814">
        <v>33.96</v>
      </c>
      <c r="H814" t="s">
        <v>28</v>
      </c>
      <c r="I814" t="s">
        <v>1394</v>
      </c>
      <c r="J814" t="s">
        <v>20</v>
      </c>
      <c r="K814" t="s">
        <v>21</v>
      </c>
      <c r="L814" t="s">
        <v>22</v>
      </c>
      <c r="M814" t="s">
        <v>84</v>
      </c>
      <c r="N814">
        <f>Sheet1[[#This Row],[Quantity]]*Sheet1[[#This Row],[UnitPrice]]</f>
        <v>203.76</v>
      </c>
    </row>
    <row r="815" spans="1:14" x14ac:dyDescent="0.3">
      <c r="A815" s="1">
        <v>45760</v>
      </c>
      <c r="B815" t="s">
        <v>680</v>
      </c>
      <c r="C815" t="s">
        <v>101</v>
      </c>
      <c r="D815" t="s">
        <v>16</v>
      </c>
      <c r="E815" t="s">
        <v>42</v>
      </c>
      <c r="F815">
        <v>6</v>
      </c>
      <c r="G815">
        <v>363.2</v>
      </c>
      <c r="H815" t="s">
        <v>53</v>
      </c>
      <c r="I815" t="s">
        <v>1395</v>
      </c>
      <c r="J815" t="s">
        <v>38</v>
      </c>
      <c r="K815" t="s">
        <v>31</v>
      </c>
      <c r="L815" t="s">
        <v>39</v>
      </c>
      <c r="M815" t="s">
        <v>61</v>
      </c>
      <c r="N815">
        <f>Sheet1[[#This Row],[Quantity]]*Sheet1[[#This Row],[UnitPrice]]</f>
        <v>2179.1999999999998</v>
      </c>
    </row>
    <row r="816" spans="1:14" x14ac:dyDescent="0.3">
      <c r="A816" s="1">
        <v>44974</v>
      </c>
      <c r="B816" t="s">
        <v>1396</v>
      </c>
      <c r="C816" t="s">
        <v>15</v>
      </c>
      <c r="D816" t="s">
        <v>16</v>
      </c>
      <c r="E816" t="s">
        <v>35</v>
      </c>
      <c r="F816">
        <v>2</v>
      </c>
      <c r="G816">
        <v>219.89</v>
      </c>
      <c r="H816" t="s">
        <v>68</v>
      </c>
      <c r="I816" t="s">
        <v>1397</v>
      </c>
      <c r="J816" t="s">
        <v>44</v>
      </c>
      <c r="K816" t="s">
        <v>31</v>
      </c>
      <c r="L816" t="s">
        <v>39</v>
      </c>
      <c r="M816" t="s">
        <v>40</v>
      </c>
      <c r="N816">
        <f>Sheet1[[#This Row],[Quantity]]*Sheet1[[#This Row],[UnitPrice]]</f>
        <v>439.78</v>
      </c>
    </row>
    <row r="817" spans="1:14" x14ac:dyDescent="0.3">
      <c r="A817" s="1">
        <v>45748</v>
      </c>
      <c r="B817" t="s">
        <v>934</v>
      </c>
      <c r="C817" t="s">
        <v>78</v>
      </c>
      <c r="D817" t="s">
        <v>16</v>
      </c>
      <c r="E817" t="s">
        <v>42</v>
      </c>
      <c r="F817">
        <v>6</v>
      </c>
      <c r="G817">
        <v>78.16</v>
      </c>
      <c r="H817" t="s">
        <v>68</v>
      </c>
      <c r="I817" t="s">
        <v>1398</v>
      </c>
      <c r="J817" t="s">
        <v>44</v>
      </c>
      <c r="K817" t="s">
        <v>31</v>
      </c>
      <c r="L817" t="s">
        <v>39</v>
      </c>
      <c r="M817" t="s">
        <v>84</v>
      </c>
      <c r="N817">
        <f>Sheet1[[#This Row],[Quantity]]*Sheet1[[#This Row],[UnitPrice]]</f>
        <v>468.96</v>
      </c>
    </row>
    <row r="818" spans="1:14" x14ac:dyDescent="0.3">
      <c r="A818" s="1">
        <v>45016</v>
      </c>
      <c r="B818" t="s">
        <v>1241</v>
      </c>
      <c r="C818" t="s">
        <v>15</v>
      </c>
      <c r="D818" t="s">
        <v>74</v>
      </c>
      <c r="E818" t="s">
        <v>42</v>
      </c>
      <c r="F818">
        <v>3</v>
      </c>
      <c r="G818">
        <v>26.29</v>
      </c>
      <c r="H818" t="s">
        <v>68</v>
      </c>
      <c r="I818" t="s">
        <v>1399</v>
      </c>
      <c r="J818" t="s">
        <v>20</v>
      </c>
      <c r="K818" t="s">
        <v>21</v>
      </c>
      <c r="L818" t="s">
        <v>39</v>
      </c>
      <c r="M818" t="s">
        <v>40</v>
      </c>
      <c r="N818">
        <f>Sheet1[[#This Row],[Quantity]]*Sheet1[[#This Row],[UnitPrice]]</f>
        <v>78.87</v>
      </c>
    </row>
    <row r="819" spans="1:14" x14ac:dyDescent="0.3">
      <c r="A819" s="1">
        <v>45622</v>
      </c>
      <c r="B819" t="s">
        <v>1400</v>
      </c>
      <c r="C819" t="s">
        <v>15</v>
      </c>
      <c r="D819" t="s">
        <v>16</v>
      </c>
      <c r="E819" t="s">
        <v>35</v>
      </c>
      <c r="F819">
        <v>8</v>
      </c>
      <c r="G819">
        <v>30.71</v>
      </c>
      <c r="H819" t="s">
        <v>28</v>
      </c>
      <c r="I819" t="s">
        <v>1401</v>
      </c>
      <c r="J819" t="s">
        <v>38</v>
      </c>
      <c r="K819" t="s">
        <v>21</v>
      </c>
      <c r="L819" t="s">
        <v>22</v>
      </c>
      <c r="M819" t="s">
        <v>84</v>
      </c>
      <c r="N819">
        <f>Sheet1[[#This Row],[Quantity]]*Sheet1[[#This Row],[UnitPrice]]</f>
        <v>245.68</v>
      </c>
    </row>
    <row r="820" spans="1:14" x14ac:dyDescent="0.3">
      <c r="A820" s="1">
        <v>45209</v>
      </c>
      <c r="B820" t="s">
        <v>379</v>
      </c>
      <c r="C820" t="s">
        <v>78</v>
      </c>
      <c r="D820" t="s">
        <v>26</v>
      </c>
      <c r="E820" t="s">
        <v>67</v>
      </c>
      <c r="F820">
        <v>7</v>
      </c>
      <c r="G820">
        <v>132.85</v>
      </c>
      <c r="H820" t="s">
        <v>18</v>
      </c>
      <c r="I820" t="s">
        <v>1402</v>
      </c>
      <c r="J820" t="s">
        <v>58</v>
      </c>
      <c r="K820" t="s">
        <v>59</v>
      </c>
      <c r="L820" t="s">
        <v>60</v>
      </c>
      <c r="M820" t="s">
        <v>84</v>
      </c>
      <c r="N820">
        <f>Sheet1[[#This Row],[Quantity]]*Sheet1[[#This Row],[UnitPrice]]</f>
        <v>929.94999999999993</v>
      </c>
    </row>
    <row r="821" spans="1:14" x14ac:dyDescent="0.3">
      <c r="A821" s="1">
        <v>45367</v>
      </c>
      <c r="B821" t="s">
        <v>594</v>
      </c>
      <c r="C821" t="s">
        <v>56</v>
      </c>
      <c r="D821" t="s">
        <v>47</v>
      </c>
      <c r="E821" t="s">
        <v>17</v>
      </c>
      <c r="F821">
        <v>6</v>
      </c>
      <c r="G821">
        <v>263.04000000000002</v>
      </c>
      <c r="H821" t="s">
        <v>68</v>
      </c>
      <c r="I821" t="s">
        <v>1403</v>
      </c>
      <c r="J821" t="s">
        <v>38</v>
      </c>
      <c r="K821" t="s">
        <v>45</v>
      </c>
      <c r="L821" t="s">
        <v>22</v>
      </c>
      <c r="M821" t="s">
        <v>23</v>
      </c>
      <c r="N821">
        <f>Sheet1[[#This Row],[Quantity]]*Sheet1[[#This Row],[UnitPrice]]</f>
        <v>1578.2400000000002</v>
      </c>
    </row>
    <row r="822" spans="1:14" x14ac:dyDescent="0.3">
      <c r="A822" s="1">
        <v>45561</v>
      </c>
      <c r="B822" t="s">
        <v>1268</v>
      </c>
      <c r="C822" t="s">
        <v>15</v>
      </c>
      <c r="D822" t="s">
        <v>26</v>
      </c>
      <c r="E822" t="s">
        <v>52</v>
      </c>
      <c r="F822">
        <v>10</v>
      </c>
      <c r="G822">
        <v>343.56</v>
      </c>
      <c r="H822" t="s">
        <v>53</v>
      </c>
      <c r="I822" t="s">
        <v>1404</v>
      </c>
      <c r="J822" t="s">
        <v>30</v>
      </c>
      <c r="K822" t="s">
        <v>21</v>
      </c>
      <c r="L822" t="s">
        <v>22</v>
      </c>
      <c r="M822" t="s">
        <v>32</v>
      </c>
      <c r="N822">
        <f>Sheet1[[#This Row],[Quantity]]*Sheet1[[#This Row],[UnitPrice]]</f>
        <v>3435.6</v>
      </c>
    </row>
    <row r="823" spans="1:14" x14ac:dyDescent="0.3">
      <c r="A823" s="1">
        <v>45825</v>
      </c>
      <c r="B823" t="s">
        <v>198</v>
      </c>
      <c r="C823" t="s">
        <v>51</v>
      </c>
      <c r="D823" t="s">
        <v>26</v>
      </c>
      <c r="E823" t="s">
        <v>64</v>
      </c>
      <c r="F823">
        <v>1</v>
      </c>
      <c r="G823">
        <v>356.83</v>
      </c>
      <c r="H823" t="s">
        <v>18</v>
      </c>
      <c r="I823" t="s">
        <v>1405</v>
      </c>
      <c r="J823" t="s">
        <v>44</v>
      </c>
      <c r="K823" t="s">
        <v>31</v>
      </c>
      <c r="L823" t="s">
        <v>39</v>
      </c>
      <c r="M823" t="s">
        <v>84</v>
      </c>
      <c r="N823">
        <f>Sheet1[[#This Row],[Quantity]]*Sheet1[[#This Row],[UnitPrice]]</f>
        <v>356.83</v>
      </c>
    </row>
    <row r="824" spans="1:14" x14ac:dyDescent="0.3">
      <c r="A824" s="1">
        <v>45770</v>
      </c>
      <c r="B824" t="s">
        <v>319</v>
      </c>
      <c r="C824" t="s">
        <v>15</v>
      </c>
      <c r="D824" t="s">
        <v>16</v>
      </c>
      <c r="E824" t="s">
        <v>35</v>
      </c>
      <c r="F824">
        <v>4</v>
      </c>
      <c r="G824">
        <v>23.58</v>
      </c>
      <c r="H824" t="s">
        <v>28</v>
      </c>
      <c r="I824" t="s">
        <v>1406</v>
      </c>
      <c r="J824" t="s">
        <v>58</v>
      </c>
      <c r="K824" t="s">
        <v>59</v>
      </c>
      <c r="L824" t="s">
        <v>39</v>
      </c>
      <c r="M824" t="s">
        <v>76</v>
      </c>
      <c r="N824">
        <f>Sheet1[[#This Row],[Quantity]]*Sheet1[[#This Row],[UnitPrice]]</f>
        <v>94.32</v>
      </c>
    </row>
    <row r="825" spans="1:14" x14ac:dyDescent="0.3">
      <c r="A825" s="1">
        <v>45287</v>
      </c>
      <c r="B825" t="s">
        <v>507</v>
      </c>
      <c r="C825" t="s">
        <v>15</v>
      </c>
      <c r="D825" t="s">
        <v>26</v>
      </c>
      <c r="E825" t="s">
        <v>27</v>
      </c>
      <c r="F825">
        <v>3</v>
      </c>
      <c r="G825">
        <v>125.95</v>
      </c>
      <c r="H825" t="s">
        <v>28</v>
      </c>
      <c r="I825" t="s">
        <v>1407</v>
      </c>
      <c r="J825" t="s">
        <v>58</v>
      </c>
      <c r="K825" t="s">
        <v>21</v>
      </c>
      <c r="L825" t="s">
        <v>39</v>
      </c>
      <c r="M825" t="s">
        <v>76</v>
      </c>
      <c r="N825">
        <f>Sheet1[[#This Row],[Quantity]]*Sheet1[[#This Row],[UnitPrice]]</f>
        <v>377.85</v>
      </c>
    </row>
    <row r="826" spans="1:14" x14ac:dyDescent="0.3">
      <c r="A826" s="1">
        <v>44967</v>
      </c>
      <c r="B826" t="s">
        <v>379</v>
      </c>
      <c r="C826" t="s">
        <v>101</v>
      </c>
      <c r="D826" t="s">
        <v>16</v>
      </c>
      <c r="E826" t="s">
        <v>27</v>
      </c>
      <c r="F826">
        <v>5</v>
      </c>
      <c r="G826">
        <v>202.74</v>
      </c>
      <c r="H826" t="s">
        <v>53</v>
      </c>
      <c r="I826" t="s">
        <v>1408</v>
      </c>
      <c r="J826" t="s">
        <v>30</v>
      </c>
      <c r="K826" t="s">
        <v>21</v>
      </c>
      <c r="L826" t="s">
        <v>60</v>
      </c>
      <c r="M826" t="s">
        <v>40</v>
      </c>
      <c r="N826">
        <f>Sheet1[[#This Row],[Quantity]]*Sheet1[[#This Row],[UnitPrice]]</f>
        <v>1013.7</v>
      </c>
    </row>
    <row r="827" spans="1:14" x14ac:dyDescent="0.3">
      <c r="A827" s="1">
        <v>45363</v>
      </c>
      <c r="B827" t="s">
        <v>41</v>
      </c>
      <c r="C827" t="s">
        <v>25</v>
      </c>
      <c r="D827" t="s">
        <v>74</v>
      </c>
      <c r="E827" t="s">
        <v>64</v>
      </c>
      <c r="F827">
        <v>3</v>
      </c>
      <c r="G827">
        <v>339.72</v>
      </c>
      <c r="H827" t="s">
        <v>28</v>
      </c>
      <c r="I827" t="s">
        <v>1409</v>
      </c>
      <c r="J827" t="s">
        <v>20</v>
      </c>
      <c r="K827" t="s">
        <v>45</v>
      </c>
      <c r="L827" t="s">
        <v>22</v>
      </c>
      <c r="M827" t="s">
        <v>84</v>
      </c>
      <c r="N827">
        <f>Sheet1[[#This Row],[Quantity]]*Sheet1[[#This Row],[UnitPrice]]</f>
        <v>1019.1600000000001</v>
      </c>
    </row>
    <row r="828" spans="1:14" x14ac:dyDescent="0.3">
      <c r="A828" s="1">
        <v>45722</v>
      </c>
      <c r="B828" t="s">
        <v>601</v>
      </c>
      <c r="C828" t="s">
        <v>56</v>
      </c>
      <c r="D828" t="s">
        <v>47</v>
      </c>
      <c r="E828" t="s">
        <v>27</v>
      </c>
      <c r="F828">
        <v>8</v>
      </c>
      <c r="G828">
        <v>258.44</v>
      </c>
      <c r="H828" t="s">
        <v>18</v>
      </c>
      <c r="I828" t="s">
        <v>1410</v>
      </c>
      <c r="J828" t="s">
        <v>58</v>
      </c>
      <c r="K828" t="s">
        <v>31</v>
      </c>
      <c r="L828" t="s">
        <v>60</v>
      </c>
      <c r="M828" t="s">
        <v>32</v>
      </c>
      <c r="N828">
        <f>Sheet1[[#This Row],[Quantity]]*Sheet1[[#This Row],[UnitPrice]]</f>
        <v>2067.52</v>
      </c>
    </row>
    <row r="829" spans="1:14" x14ac:dyDescent="0.3">
      <c r="A829" s="1">
        <v>45450</v>
      </c>
      <c r="B829" t="s">
        <v>978</v>
      </c>
      <c r="C829" t="s">
        <v>90</v>
      </c>
      <c r="D829" t="s">
        <v>74</v>
      </c>
      <c r="E829" t="s">
        <v>42</v>
      </c>
      <c r="F829">
        <v>7</v>
      </c>
      <c r="G829">
        <v>324.63</v>
      </c>
      <c r="H829" t="s">
        <v>18</v>
      </c>
      <c r="I829" t="s">
        <v>1411</v>
      </c>
      <c r="J829" t="s">
        <v>44</v>
      </c>
      <c r="K829" t="s">
        <v>45</v>
      </c>
      <c r="L829" t="s">
        <v>22</v>
      </c>
      <c r="M829" t="s">
        <v>40</v>
      </c>
      <c r="N829">
        <f>Sheet1[[#This Row],[Quantity]]*Sheet1[[#This Row],[UnitPrice]]</f>
        <v>2272.41</v>
      </c>
    </row>
    <row r="830" spans="1:14" x14ac:dyDescent="0.3">
      <c r="A830" s="1">
        <v>45720</v>
      </c>
      <c r="B830" t="s">
        <v>1207</v>
      </c>
      <c r="C830" t="s">
        <v>51</v>
      </c>
      <c r="D830" t="s">
        <v>74</v>
      </c>
      <c r="E830" t="s">
        <v>67</v>
      </c>
      <c r="F830">
        <v>10</v>
      </c>
      <c r="G830">
        <v>218.99</v>
      </c>
      <c r="H830" t="s">
        <v>53</v>
      </c>
      <c r="I830" t="s">
        <v>1412</v>
      </c>
      <c r="J830" t="s">
        <v>38</v>
      </c>
      <c r="K830" t="s">
        <v>45</v>
      </c>
      <c r="L830" t="s">
        <v>22</v>
      </c>
      <c r="M830" t="s">
        <v>84</v>
      </c>
      <c r="N830">
        <f>Sheet1[[#This Row],[Quantity]]*Sheet1[[#This Row],[UnitPrice]]</f>
        <v>2189.9</v>
      </c>
    </row>
    <row r="831" spans="1:14" x14ac:dyDescent="0.3">
      <c r="A831" s="1">
        <v>45260</v>
      </c>
      <c r="B831" t="s">
        <v>785</v>
      </c>
      <c r="C831" t="s">
        <v>56</v>
      </c>
      <c r="D831" t="s">
        <v>47</v>
      </c>
      <c r="E831" t="s">
        <v>52</v>
      </c>
      <c r="F831">
        <v>9</v>
      </c>
      <c r="G831">
        <v>304.14</v>
      </c>
      <c r="H831" t="s">
        <v>28</v>
      </c>
      <c r="I831" t="s">
        <v>1413</v>
      </c>
      <c r="J831" t="s">
        <v>30</v>
      </c>
      <c r="K831" t="s">
        <v>31</v>
      </c>
      <c r="L831" t="s">
        <v>60</v>
      </c>
      <c r="M831" t="s">
        <v>32</v>
      </c>
      <c r="N831">
        <f>Sheet1[[#This Row],[Quantity]]*Sheet1[[#This Row],[UnitPrice]]</f>
        <v>2737.2599999999998</v>
      </c>
    </row>
    <row r="832" spans="1:14" x14ac:dyDescent="0.3">
      <c r="A832" s="1">
        <v>45293</v>
      </c>
      <c r="B832" t="s">
        <v>1167</v>
      </c>
      <c r="C832" t="s">
        <v>73</v>
      </c>
      <c r="D832" t="s">
        <v>16</v>
      </c>
      <c r="E832" t="s">
        <v>64</v>
      </c>
      <c r="F832">
        <v>9</v>
      </c>
      <c r="G832">
        <v>255.06</v>
      </c>
      <c r="H832" t="s">
        <v>68</v>
      </c>
      <c r="I832" t="s">
        <v>1414</v>
      </c>
      <c r="J832" t="s">
        <v>30</v>
      </c>
      <c r="K832" t="s">
        <v>31</v>
      </c>
      <c r="L832" t="s">
        <v>60</v>
      </c>
      <c r="M832" t="s">
        <v>84</v>
      </c>
      <c r="N832">
        <f>Sheet1[[#This Row],[Quantity]]*Sheet1[[#This Row],[UnitPrice]]</f>
        <v>2295.54</v>
      </c>
    </row>
    <row r="833" spans="1:14" x14ac:dyDescent="0.3">
      <c r="A833" s="1">
        <v>45567</v>
      </c>
      <c r="B833" t="s">
        <v>1415</v>
      </c>
      <c r="C833" t="s">
        <v>25</v>
      </c>
      <c r="D833" t="s">
        <v>16</v>
      </c>
      <c r="E833" t="s">
        <v>27</v>
      </c>
      <c r="F833">
        <v>4</v>
      </c>
      <c r="G833">
        <v>306.20999999999998</v>
      </c>
      <c r="H833" t="s">
        <v>18</v>
      </c>
      <c r="I833" t="s">
        <v>1416</v>
      </c>
      <c r="J833" t="s">
        <v>44</v>
      </c>
      <c r="K833" t="s">
        <v>31</v>
      </c>
      <c r="L833" t="s">
        <v>39</v>
      </c>
      <c r="M833" t="s">
        <v>76</v>
      </c>
      <c r="N833">
        <f>Sheet1[[#This Row],[Quantity]]*Sheet1[[#This Row],[UnitPrice]]</f>
        <v>1224.8399999999999</v>
      </c>
    </row>
    <row r="834" spans="1:14" x14ac:dyDescent="0.3">
      <c r="A834" s="1">
        <v>45473</v>
      </c>
      <c r="B834" t="s">
        <v>327</v>
      </c>
      <c r="C834" t="s">
        <v>34</v>
      </c>
      <c r="D834" t="s">
        <v>74</v>
      </c>
      <c r="E834" t="s">
        <v>67</v>
      </c>
      <c r="F834">
        <v>8</v>
      </c>
      <c r="G834">
        <v>368.84</v>
      </c>
      <c r="H834" t="s">
        <v>28</v>
      </c>
      <c r="I834" t="s">
        <v>1417</v>
      </c>
      <c r="J834" t="s">
        <v>30</v>
      </c>
      <c r="K834" t="s">
        <v>31</v>
      </c>
      <c r="L834" t="s">
        <v>22</v>
      </c>
      <c r="M834" t="s">
        <v>61</v>
      </c>
      <c r="N834">
        <f>Sheet1[[#This Row],[Quantity]]*Sheet1[[#This Row],[UnitPrice]]</f>
        <v>2950.72</v>
      </c>
    </row>
    <row r="835" spans="1:14" x14ac:dyDescent="0.3">
      <c r="A835" s="1">
        <v>45687</v>
      </c>
      <c r="B835" t="s">
        <v>1418</v>
      </c>
      <c r="C835" t="s">
        <v>56</v>
      </c>
      <c r="D835" t="s">
        <v>26</v>
      </c>
      <c r="E835" t="s">
        <v>35</v>
      </c>
      <c r="F835">
        <v>1</v>
      </c>
      <c r="G835">
        <v>215.32</v>
      </c>
      <c r="H835" t="s">
        <v>53</v>
      </c>
      <c r="I835" t="s">
        <v>1419</v>
      </c>
      <c r="J835" t="s">
        <v>30</v>
      </c>
      <c r="K835" t="s">
        <v>45</v>
      </c>
      <c r="L835" t="s">
        <v>22</v>
      </c>
      <c r="M835" t="s">
        <v>32</v>
      </c>
      <c r="N835">
        <f>Sheet1[[#This Row],[Quantity]]*Sheet1[[#This Row],[UnitPrice]]</f>
        <v>215.32</v>
      </c>
    </row>
    <row r="836" spans="1:14" x14ac:dyDescent="0.3">
      <c r="A836" s="1">
        <v>45595</v>
      </c>
      <c r="B836" t="s">
        <v>1174</v>
      </c>
      <c r="C836" t="s">
        <v>78</v>
      </c>
      <c r="D836" t="s">
        <v>74</v>
      </c>
      <c r="E836" t="s">
        <v>42</v>
      </c>
      <c r="F836">
        <v>10</v>
      </c>
      <c r="G836">
        <v>196.13</v>
      </c>
      <c r="H836" t="s">
        <v>18</v>
      </c>
      <c r="I836" t="s">
        <v>1420</v>
      </c>
      <c r="J836" t="s">
        <v>20</v>
      </c>
      <c r="K836" t="s">
        <v>45</v>
      </c>
      <c r="L836" t="s">
        <v>22</v>
      </c>
      <c r="M836" t="s">
        <v>76</v>
      </c>
      <c r="N836">
        <f>Sheet1[[#This Row],[Quantity]]*Sheet1[[#This Row],[UnitPrice]]</f>
        <v>1961.3</v>
      </c>
    </row>
    <row r="837" spans="1:14" x14ac:dyDescent="0.3">
      <c r="A837" s="1">
        <v>45362</v>
      </c>
      <c r="B837" t="s">
        <v>1421</v>
      </c>
      <c r="C837" t="s">
        <v>101</v>
      </c>
      <c r="D837" t="s">
        <v>16</v>
      </c>
      <c r="E837" t="s">
        <v>42</v>
      </c>
      <c r="F837">
        <v>2</v>
      </c>
      <c r="G837">
        <v>135.56</v>
      </c>
      <c r="H837" t="s">
        <v>53</v>
      </c>
      <c r="I837" t="s">
        <v>1422</v>
      </c>
      <c r="J837" t="s">
        <v>30</v>
      </c>
      <c r="K837" t="s">
        <v>21</v>
      </c>
      <c r="L837" t="s">
        <v>22</v>
      </c>
      <c r="M837" t="s">
        <v>49</v>
      </c>
      <c r="N837">
        <f>Sheet1[[#This Row],[Quantity]]*Sheet1[[#This Row],[UnitPrice]]</f>
        <v>271.12</v>
      </c>
    </row>
    <row r="838" spans="1:14" x14ac:dyDescent="0.3">
      <c r="A838" s="1">
        <v>45335</v>
      </c>
      <c r="B838" t="s">
        <v>107</v>
      </c>
      <c r="C838" t="s">
        <v>51</v>
      </c>
      <c r="D838" t="s">
        <v>74</v>
      </c>
      <c r="E838" t="s">
        <v>17</v>
      </c>
      <c r="F838">
        <v>7</v>
      </c>
      <c r="G838">
        <v>55.66</v>
      </c>
      <c r="H838" t="s">
        <v>53</v>
      </c>
      <c r="I838" t="s">
        <v>1423</v>
      </c>
      <c r="J838" t="s">
        <v>44</v>
      </c>
      <c r="K838" t="s">
        <v>45</v>
      </c>
      <c r="L838" t="s">
        <v>60</v>
      </c>
      <c r="M838" t="s">
        <v>84</v>
      </c>
      <c r="N838">
        <f>Sheet1[[#This Row],[Quantity]]*Sheet1[[#This Row],[UnitPrice]]</f>
        <v>389.62</v>
      </c>
    </row>
    <row r="839" spans="1:14" x14ac:dyDescent="0.3">
      <c r="A839" s="1">
        <v>45579</v>
      </c>
      <c r="B839" t="s">
        <v>1424</v>
      </c>
      <c r="C839" t="s">
        <v>56</v>
      </c>
      <c r="D839" t="s">
        <v>16</v>
      </c>
      <c r="E839" t="s">
        <v>42</v>
      </c>
      <c r="F839">
        <v>6</v>
      </c>
      <c r="G839">
        <v>273.77</v>
      </c>
      <c r="H839" t="s">
        <v>53</v>
      </c>
      <c r="I839" t="s">
        <v>1425</v>
      </c>
      <c r="J839" t="s">
        <v>58</v>
      </c>
      <c r="K839" t="s">
        <v>21</v>
      </c>
      <c r="L839" t="s">
        <v>60</v>
      </c>
      <c r="M839" t="s">
        <v>49</v>
      </c>
      <c r="N839">
        <f>Sheet1[[#This Row],[Quantity]]*Sheet1[[#This Row],[UnitPrice]]</f>
        <v>1642.62</v>
      </c>
    </row>
    <row r="840" spans="1:14" x14ac:dyDescent="0.3">
      <c r="A840" s="1">
        <v>45673</v>
      </c>
      <c r="B840" t="s">
        <v>1426</v>
      </c>
      <c r="C840" t="s">
        <v>25</v>
      </c>
      <c r="D840" t="s">
        <v>47</v>
      </c>
      <c r="E840" t="s">
        <v>64</v>
      </c>
      <c r="F840">
        <v>10</v>
      </c>
      <c r="G840">
        <v>327.45</v>
      </c>
      <c r="H840" t="s">
        <v>53</v>
      </c>
      <c r="I840" t="s">
        <v>1427</v>
      </c>
      <c r="J840" t="s">
        <v>30</v>
      </c>
      <c r="K840" t="s">
        <v>31</v>
      </c>
      <c r="L840" t="s">
        <v>39</v>
      </c>
      <c r="M840" t="s">
        <v>32</v>
      </c>
      <c r="N840">
        <f>Sheet1[[#This Row],[Quantity]]*Sheet1[[#This Row],[UnitPrice]]</f>
        <v>3274.5</v>
      </c>
    </row>
    <row r="841" spans="1:14" x14ac:dyDescent="0.3">
      <c r="A841" s="1">
        <v>45075</v>
      </c>
      <c r="B841" t="s">
        <v>1392</v>
      </c>
      <c r="C841" t="s">
        <v>56</v>
      </c>
      <c r="D841" t="s">
        <v>47</v>
      </c>
      <c r="E841" t="s">
        <v>35</v>
      </c>
      <c r="F841">
        <v>8</v>
      </c>
      <c r="G841">
        <v>69.040000000000006</v>
      </c>
      <c r="H841" t="s">
        <v>68</v>
      </c>
      <c r="I841" t="s">
        <v>1428</v>
      </c>
      <c r="J841" t="s">
        <v>20</v>
      </c>
      <c r="K841" t="s">
        <v>21</v>
      </c>
      <c r="L841" t="s">
        <v>39</v>
      </c>
      <c r="M841" t="s">
        <v>49</v>
      </c>
      <c r="N841">
        <f>Sheet1[[#This Row],[Quantity]]*Sheet1[[#This Row],[UnitPrice]]</f>
        <v>552.32000000000005</v>
      </c>
    </row>
    <row r="842" spans="1:14" x14ac:dyDescent="0.3">
      <c r="A842" s="1">
        <v>45538</v>
      </c>
      <c r="B842" t="s">
        <v>1429</v>
      </c>
      <c r="C842" t="s">
        <v>34</v>
      </c>
      <c r="D842" t="s">
        <v>74</v>
      </c>
      <c r="E842" t="s">
        <v>42</v>
      </c>
      <c r="F842">
        <v>8</v>
      </c>
      <c r="G842">
        <v>225.66</v>
      </c>
      <c r="H842" t="s">
        <v>68</v>
      </c>
      <c r="I842" t="s">
        <v>1430</v>
      </c>
      <c r="J842" t="s">
        <v>38</v>
      </c>
      <c r="K842" t="s">
        <v>59</v>
      </c>
      <c r="L842" t="s">
        <v>22</v>
      </c>
      <c r="M842" t="s">
        <v>84</v>
      </c>
      <c r="N842">
        <f>Sheet1[[#This Row],[Quantity]]*Sheet1[[#This Row],[UnitPrice]]</f>
        <v>1805.28</v>
      </c>
    </row>
    <row r="843" spans="1:14" x14ac:dyDescent="0.3">
      <c r="A843" s="1">
        <v>45569</v>
      </c>
      <c r="B843" t="s">
        <v>1431</v>
      </c>
      <c r="C843" t="s">
        <v>51</v>
      </c>
      <c r="D843" t="s">
        <v>26</v>
      </c>
      <c r="E843" t="s">
        <v>35</v>
      </c>
      <c r="F843">
        <v>8</v>
      </c>
      <c r="G843">
        <v>364.36</v>
      </c>
      <c r="H843" t="s">
        <v>18</v>
      </c>
      <c r="I843" t="s">
        <v>1432</v>
      </c>
      <c r="J843" t="s">
        <v>58</v>
      </c>
      <c r="K843" t="s">
        <v>45</v>
      </c>
      <c r="L843" t="s">
        <v>39</v>
      </c>
      <c r="M843" t="s">
        <v>40</v>
      </c>
      <c r="N843">
        <f>Sheet1[[#This Row],[Quantity]]*Sheet1[[#This Row],[UnitPrice]]</f>
        <v>2914.88</v>
      </c>
    </row>
    <row r="844" spans="1:14" x14ac:dyDescent="0.3">
      <c r="A844" s="1">
        <v>45336</v>
      </c>
      <c r="B844" t="s">
        <v>229</v>
      </c>
      <c r="C844" t="s">
        <v>25</v>
      </c>
      <c r="D844" t="s">
        <v>47</v>
      </c>
      <c r="E844" t="s">
        <v>42</v>
      </c>
      <c r="F844">
        <v>9</v>
      </c>
      <c r="G844">
        <v>341.96</v>
      </c>
      <c r="H844" t="s">
        <v>18</v>
      </c>
      <c r="I844" t="s">
        <v>1433</v>
      </c>
      <c r="J844" t="s">
        <v>38</v>
      </c>
      <c r="K844" t="s">
        <v>45</v>
      </c>
      <c r="L844" t="s">
        <v>39</v>
      </c>
      <c r="M844" t="s">
        <v>76</v>
      </c>
      <c r="N844">
        <f>Sheet1[[#This Row],[Quantity]]*Sheet1[[#This Row],[UnitPrice]]</f>
        <v>3077.64</v>
      </c>
    </row>
    <row r="845" spans="1:14" x14ac:dyDescent="0.3">
      <c r="A845" s="1">
        <v>45404</v>
      </c>
      <c r="B845" t="s">
        <v>1268</v>
      </c>
      <c r="C845" t="s">
        <v>78</v>
      </c>
      <c r="D845" t="s">
        <v>16</v>
      </c>
      <c r="E845" t="s">
        <v>64</v>
      </c>
      <c r="F845">
        <v>2</v>
      </c>
      <c r="G845">
        <v>220.74</v>
      </c>
      <c r="H845" t="s">
        <v>53</v>
      </c>
      <c r="I845" t="s">
        <v>1434</v>
      </c>
      <c r="J845" t="s">
        <v>38</v>
      </c>
      <c r="K845" t="s">
        <v>21</v>
      </c>
      <c r="L845" t="s">
        <v>22</v>
      </c>
      <c r="M845" t="s">
        <v>49</v>
      </c>
      <c r="N845">
        <f>Sheet1[[#This Row],[Quantity]]*Sheet1[[#This Row],[UnitPrice]]</f>
        <v>441.48</v>
      </c>
    </row>
    <row r="846" spans="1:14" x14ac:dyDescent="0.3">
      <c r="A846" s="1">
        <v>45127</v>
      </c>
      <c r="B846" t="s">
        <v>944</v>
      </c>
      <c r="C846" t="s">
        <v>63</v>
      </c>
      <c r="D846" t="s">
        <v>26</v>
      </c>
      <c r="E846" t="s">
        <v>35</v>
      </c>
      <c r="F846">
        <v>1</v>
      </c>
      <c r="G846">
        <v>222.88</v>
      </c>
      <c r="H846" t="s">
        <v>68</v>
      </c>
      <c r="I846" t="s">
        <v>1435</v>
      </c>
      <c r="J846" t="s">
        <v>58</v>
      </c>
      <c r="K846" t="s">
        <v>45</v>
      </c>
      <c r="L846" t="s">
        <v>39</v>
      </c>
      <c r="M846" t="s">
        <v>32</v>
      </c>
      <c r="N846">
        <f>Sheet1[[#This Row],[Quantity]]*Sheet1[[#This Row],[UnitPrice]]</f>
        <v>222.88</v>
      </c>
    </row>
    <row r="847" spans="1:14" x14ac:dyDescent="0.3">
      <c r="A847" s="1">
        <v>45592</v>
      </c>
      <c r="B847" t="s">
        <v>865</v>
      </c>
      <c r="C847" t="s">
        <v>25</v>
      </c>
      <c r="D847" t="s">
        <v>16</v>
      </c>
      <c r="E847" t="s">
        <v>67</v>
      </c>
      <c r="F847">
        <v>4</v>
      </c>
      <c r="G847">
        <v>155.65</v>
      </c>
      <c r="H847" t="s">
        <v>28</v>
      </c>
      <c r="I847" t="s">
        <v>1436</v>
      </c>
      <c r="J847" t="s">
        <v>30</v>
      </c>
      <c r="K847" t="s">
        <v>59</v>
      </c>
      <c r="L847" t="s">
        <v>22</v>
      </c>
      <c r="M847" t="s">
        <v>61</v>
      </c>
      <c r="N847">
        <f>Sheet1[[#This Row],[Quantity]]*Sheet1[[#This Row],[UnitPrice]]</f>
        <v>622.6</v>
      </c>
    </row>
    <row r="848" spans="1:14" x14ac:dyDescent="0.3">
      <c r="A848" s="1">
        <v>45282</v>
      </c>
      <c r="B848" t="s">
        <v>1161</v>
      </c>
      <c r="C848" t="s">
        <v>73</v>
      </c>
      <c r="D848" t="s">
        <v>74</v>
      </c>
      <c r="E848" t="s">
        <v>42</v>
      </c>
      <c r="F848">
        <v>6</v>
      </c>
      <c r="G848">
        <v>391.4</v>
      </c>
      <c r="H848" t="s">
        <v>28</v>
      </c>
      <c r="I848" t="s">
        <v>1437</v>
      </c>
      <c r="J848" t="s">
        <v>44</v>
      </c>
      <c r="K848" t="s">
        <v>59</v>
      </c>
      <c r="L848" t="s">
        <v>22</v>
      </c>
      <c r="M848" t="s">
        <v>40</v>
      </c>
      <c r="N848">
        <f>Sheet1[[#This Row],[Quantity]]*Sheet1[[#This Row],[UnitPrice]]</f>
        <v>2348.3999999999996</v>
      </c>
    </row>
    <row r="849" spans="1:14" x14ac:dyDescent="0.3">
      <c r="A849" s="1">
        <v>45088</v>
      </c>
      <c r="B849" t="s">
        <v>991</v>
      </c>
      <c r="C849" t="s">
        <v>56</v>
      </c>
      <c r="D849" t="s">
        <v>47</v>
      </c>
      <c r="E849" t="s">
        <v>35</v>
      </c>
      <c r="F849">
        <v>4</v>
      </c>
      <c r="G849">
        <v>230.11</v>
      </c>
      <c r="H849" t="s">
        <v>53</v>
      </c>
      <c r="I849" t="s">
        <v>1438</v>
      </c>
      <c r="J849" t="s">
        <v>44</v>
      </c>
      <c r="K849" t="s">
        <v>21</v>
      </c>
      <c r="L849" t="s">
        <v>39</v>
      </c>
      <c r="M849" t="s">
        <v>61</v>
      </c>
      <c r="N849">
        <f>Sheet1[[#This Row],[Quantity]]*Sheet1[[#This Row],[UnitPrice]]</f>
        <v>920.44</v>
      </c>
    </row>
    <row r="850" spans="1:14" x14ac:dyDescent="0.3">
      <c r="A850" s="1">
        <v>45231</v>
      </c>
      <c r="B850" t="s">
        <v>1439</v>
      </c>
      <c r="C850" t="s">
        <v>101</v>
      </c>
      <c r="D850" t="s">
        <v>74</v>
      </c>
      <c r="E850" t="s">
        <v>64</v>
      </c>
      <c r="F850">
        <v>6</v>
      </c>
      <c r="G850">
        <v>360.69</v>
      </c>
      <c r="H850" t="s">
        <v>68</v>
      </c>
      <c r="I850" t="s">
        <v>1440</v>
      </c>
      <c r="J850" t="s">
        <v>38</v>
      </c>
      <c r="K850" t="s">
        <v>45</v>
      </c>
      <c r="L850" t="s">
        <v>22</v>
      </c>
      <c r="M850" t="s">
        <v>76</v>
      </c>
      <c r="N850">
        <f>Sheet1[[#This Row],[Quantity]]*Sheet1[[#This Row],[UnitPrice]]</f>
        <v>2164.14</v>
      </c>
    </row>
    <row r="851" spans="1:14" x14ac:dyDescent="0.3">
      <c r="A851" s="1">
        <v>45281</v>
      </c>
      <c r="B851" t="s">
        <v>1194</v>
      </c>
      <c r="C851" t="s">
        <v>63</v>
      </c>
      <c r="D851" t="s">
        <v>74</v>
      </c>
      <c r="E851" t="s">
        <v>42</v>
      </c>
      <c r="F851">
        <v>3</v>
      </c>
      <c r="G851">
        <v>276.33999999999997</v>
      </c>
      <c r="H851" t="s">
        <v>68</v>
      </c>
      <c r="I851" t="s">
        <v>1441</v>
      </c>
      <c r="J851" t="s">
        <v>20</v>
      </c>
      <c r="K851" t="s">
        <v>21</v>
      </c>
      <c r="L851" t="s">
        <v>39</v>
      </c>
      <c r="M851" t="s">
        <v>32</v>
      </c>
      <c r="N851">
        <f>Sheet1[[#This Row],[Quantity]]*Sheet1[[#This Row],[UnitPrice]]</f>
        <v>829.02</v>
      </c>
    </row>
    <row r="852" spans="1:14" x14ac:dyDescent="0.3">
      <c r="A852" s="1">
        <v>45178</v>
      </c>
      <c r="B852" t="s">
        <v>1227</v>
      </c>
      <c r="C852" t="s">
        <v>15</v>
      </c>
      <c r="D852" t="s">
        <v>47</v>
      </c>
      <c r="E852" t="s">
        <v>64</v>
      </c>
      <c r="F852">
        <v>2</v>
      </c>
      <c r="G852">
        <v>178.88</v>
      </c>
      <c r="H852" t="s">
        <v>36</v>
      </c>
      <c r="I852" t="s">
        <v>1442</v>
      </c>
      <c r="J852" t="s">
        <v>20</v>
      </c>
      <c r="K852" t="s">
        <v>21</v>
      </c>
      <c r="L852" t="s">
        <v>39</v>
      </c>
      <c r="M852" t="s">
        <v>23</v>
      </c>
      <c r="N852">
        <f>Sheet1[[#This Row],[Quantity]]*Sheet1[[#This Row],[UnitPrice]]</f>
        <v>357.76</v>
      </c>
    </row>
    <row r="853" spans="1:14" x14ac:dyDescent="0.3">
      <c r="A853" s="1">
        <v>44983</v>
      </c>
      <c r="B853" t="s">
        <v>662</v>
      </c>
      <c r="C853" t="s">
        <v>51</v>
      </c>
      <c r="D853" t="s">
        <v>74</v>
      </c>
      <c r="E853" t="s">
        <v>67</v>
      </c>
      <c r="F853">
        <v>6</v>
      </c>
      <c r="G853">
        <v>96.53</v>
      </c>
      <c r="H853" t="s">
        <v>53</v>
      </c>
      <c r="I853" t="s">
        <v>1443</v>
      </c>
      <c r="J853" t="s">
        <v>58</v>
      </c>
      <c r="K853" t="s">
        <v>59</v>
      </c>
      <c r="L853" t="s">
        <v>60</v>
      </c>
      <c r="M853" t="s">
        <v>61</v>
      </c>
      <c r="N853">
        <f>Sheet1[[#This Row],[Quantity]]*Sheet1[[#This Row],[UnitPrice]]</f>
        <v>579.18000000000006</v>
      </c>
    </row>
    <row r="854" spans="1:14" x14ac:dyDescent="0.3">
      <c r="A854" s="1">
        <v>45273</v>
      </c>
      <c r="B854" t="s">
        <v>865</v>
      </c>
      <c r="C854" t="s">
        <v>63</v>
      </c>
      <c r="D854" t="s">
        <v>26</v>
      </c>
      <c r="E854" t="s">
        <v>42</v>
      </c>
      <c r="F854">
        <v>2</v>
      </c>
      <c r="G854">
        <v>52.8</v>
      </c>
      <c r="H854" t="s">
        <v>53</v>
      </c>
      <c r="I854" t="s">
        <v>1444</v>
      </c>
      <c r="J854" t="s">
        <v>58</v>
      </c>
      <c r="K854" t="s">
        <v>21</v>
      </c>
      <c r="L854" t="s">
        <v>22</v>
      </c>
      <c r="M854" t="s">
        <v>76</v>
      </c>
      <c r="N854">
        <f>Sheet1[[#This Row],[Quantity]]*Sheet1[[#This Row],[UnitPrice]]</f>
        <v>105.6</v>
      </c>
    </row>
    <row r="855" spans="1:14" x14ac:dyDescent="0.3">
      <c r="A855" s="1">
        <v>45278</v>
      </c>
      <c r="B855" t="s">
        <v>1445</v>
      </c>
      <c r="C855" t="s">
        <v>56</v>
      </c>
      <c r="D855" t="s">
        <v>26</v>
      </c>
      <c r="E855" t="s">
        <v>42</v>
      </c>
      <c r="F855">
        <v>10</v>
      </c>
      <c r="G855">
        <v>213.74</v>
      </c>
      <c r="H855" t="s">
        <v>18</v>
      </c>
      <c r="I855" t="s">
        <v>1446</v>
      </c>
      <c r="J855" t="s">
        <v>20</v>
      </c>
      <c r="K855" t="s">
        <v>21</v>
      </c>
      <c r="L855" t="s">
        <v>60</v>
      </c>
      <c r="M855" t="s">
        <v>49</v>
      </c>
      <c r="N855">
        <f>Sheet1[[#This Row],[Quantity]]*Sheet1[[#This Row],[UnitPrice]]</f>
        <v>2137.4</v>
      </c>
    </row>
    <row r="856" spans="1:14" x14ac:dyDescent="0.3">
      <c r="A856" s="1">
        <v>45579</v>
      </c>
      <c r="B856" t="s">
        <v>206</v>
      </c>
      <c r="C856" t="s">
        <v>25</v>
      </c>
      <c r="D856" t="s">
        <v>16</v>
      </c>
      <c r="E856" t="s">
        <v>42</v>
      </c>
      <c r="F856">
        <v>3</v>
      </c>
      <c r="G856">
        <v>12.98</v>
      </c>
      <c r="H856" t="s">
        <v>53</v>
      </c>
      <c r="I856" t="s">
        <v>1447</v>
      </c>
      <c r="J856" t="s">
        <v>58</v>
      </c>
      <c r="K856" t="s">
        <v>21</v>
      </c>
      <c r="L856" t="s">
        <v>39</v>
      </c>
      <c r="M856" t="s">
        <v>49</v>
      </c>
      <c r="N856">
        <f>Sheet1[[#This Row],[Quantity]]*Sheet1[[#This Row],[UnitPrice]]</f>
        <v>38.94</v>
      </c>
    </row>
    <row r="857" spans="1:14" x14ac:dyDescent="0.3">
      <c r="A857" s="1">
        <v>45056</v>
      </c>
      <c r="B857" t="s">
        <v>1448</v>
      </c>
      <c r="C857" t="s">
        <v>25</v>
      </c>
      <c r="D857" t="s">
        <v>16</v>
      </c>
      <c r="E857" t="s">
        <v>64</v>
      </c>
      <c r="F857">
        <v>7</v>
      </c>
      <c r="G857">
        <v>293.77</v>
      </c>
      <c r="H857" t="s">
        <v>53</v>
      </c>
      <c r="I857" t="s">
        <v>1449</v>
      </c>
      <c r="J857" t="s">
        <v>58</v>
      </c>
      <c r="K857" t="s">
        <v>45</v>
      </c>
      <c r="L857" t="s">
        <v>60</v>
      </c>
      <c r="M857" t="s">
        <v>76</v>
      </c>
      <c r="N857">
        <f>Sheet1[[#This Row],[Quantity]]*Sheet1[[#This Row],[UnitPrice]]</f>
        <v>2056.39</v>
      </c>
    </row>
    <row r="858" spans="1:14" x14ac:dyDescent="0.3">
      <c r="A858" s="1">
        <v>45242</v>
      </c>
      <c r="B858" t="s">
        <v>41</v>
      </c>
      <c r="C858" t="s">
        <v>34</v>
      </c>
      <c r="D858" t="s">
        <v>26</v>
      </c>
      <c r="E858" t="s">
        <v>17</v>
      </c>
      <c r="F858">
        <v>5</v>
      </c>
      <c r="G858">
        <v>288.70999999999998</v>
      </c>
      <c r="H858" t="s">
        <v>28</v>
      </c>
      <c r="I858" t="s">
        <v>1450</v>
      </c>
      <c r="J858" t="s">
        <v>58</v>
      </c>
      <c r="K858" t="s">
        <v>31</v>
      </c>
      <c r="L858" t="s">
        <v>22</v>
      </c>
      <c r="M858" t="s">
        <v>61</v>
      </c>
      <c r="N858">
        <f>Sheet1[[#This Row],[Quantity]]*Sheet1[[#This Row],[UnitPrice]]</f>
        <v>1443.55</v>
      </c>
    </row>
    <row r="859" spans="1:14" x14ac:dyDescent="0.3">
      <c r="A859" s="1">
        <v>45649</v>
      </c>
      <c r="B859" t="s">
        <v>710</v>
      </c>
      <c r="C859" t="s">
        <v>25</v>
      </c>
      <c r="D859" t="s">
        <v>47</v>
      </c>
      <c r="E859" t="s">
        <v>35</v>
      </c>
      <c r="F859">
        <v>7</v>
      </c>
      <c r="G859">
        <v>47.88</v>
      </c>
      <c r="H859" t="s">
        <v>53</v>
      </c>
      <c r="I859" t="s">
        <v>1451</v>
      </c>
      <c r="J859" t="s">
        <v>44</v>
      </c>
      <c r="K859" t="s">
        <v>59</v>
      </c>
      <c r="L859" t="s">
        <v>60</v>
      </c>
      <c r="M859" t="s">
        <v>49</v>
      </c>
      <c r="N859">
        <f>Sheet1[[#This Row],[Quantity]]*Sheet1[[#This Row],[UnitPrice]]</f>
        <v>335.16</v>
      </c>
    </row>
    <row r="860" spans="1:14" x14ac:dyDescent="0.3">
      <c r="A860" s="1">
        <v>45680</v>
      </c>
      <c r="B860" t="s">
        <v>1452</v>
      </c>
      <c r="C860" t="s">
        <v>78</v>
      </c>
      <c r="D860" t="s">
        <v>74</v>
      </c>
      <c r="E860" t="s">
        <v>64</v>
      </c>
      <c r="F860">
        <v>1</v>
      </c>
      <c r="G860">
        <v>355.54</v>
      </c>
      <c r="H860" t="s">
        <v>18</v>
      </c>
      <c r="I860" t="s">
        <v>1453</v>
      </c>
      <c r="J860" t="s">
        <v>38</v>
      </c>
      <c r="K860" t="s">
        <v>45</v>
      </c>
      <c r="L860" t="s">
        <v>22</v>
      </c>
      <c r="M860" t="s">
        <v>32</v>
      </c>
      <c r="N860">
        <f>Sheet1[[#This Row],[Quantity]]*Sheet1[[#This Row],[UnitPrice]]</f>
        <v>355.54</v>
      </c>
    </row>
    <row r="861" spans="1:14" x14ac:dyDescent="0.3">
      <c r="A861" s="1">
        <v>45493</v>
      </c>
      <c r="B861" t="s">
        <v>532</v>
      </c>
      <c r="C861" t="s">
        <v>63</v>
      </c>
      <c r="D861" t="s">
        <v>47</v>
      </c>
      <c r="E861" t="s">
        <v>67</v>
      </c>
      <c r="F861">
        <v>3</v>
      </c>
      <c r="G861">
        <v>331.3</v>
      </c>
      <c r="H861" t="s">
        <v>28</v>
      </c>
      <c r="I861" t="s">
        <v>1454</v>
      </c>
      <c r="J861" t="s">
        <v>44</v>
      </c>
      <c r="K861" t="s">
        <v>21</v>
      </c>
      <c r="L861" t="s">
        <v>60</v>
      </c>
      <c r="M861" t="s">
        <v>23</v>
      </c>
      <c r="N861">
        <f>Sheet1[[#This Row],[Quantity]]*Sheet1[[#This Row],[UnitPrice]]</f>
        <v>993.90000000000009</v>
      </c>
    </row>
    <row r="862" spans="1:14" x14ac:dyDescent="0.3">
      <c r="A862" s="1">
        <v>45183</v>
      </c>
      <c r="B862" t="s">
        <v>235</v>
      </c>
      <c r="C862" t="s">
        <v>56</v>
      </c>
      <c r="D862" t="s">
        <v>47</v>
      </c>
      <c r="E862" t="s">
        <v>52</v>
      </c>
      <c r="F862">
        <v>3</v>
      </c>
      <c r="G862">
        <v>26.97</v>
      </c>
      <c r="H862" t="s">
        <v>53</v>
      </c>
      <c r="I862" t="s">
        <v>1455</v>
      </c>
      <c r="J862" t="s">
        <v>20</v>
      </c>
      <c r="K862" t="s">
        <v>21</v>
      </c>
      <c r="L862" t="s">
        <v>39</v>
      </c>
      <c r="M862" t="s">
        <v>32</v>
      </c>
      <c r="N862">
        <f>Sheet1[[#This Row],[Quantity]]*Sheet1[[#This Row],[UnitPrice]]</f>
        <v>80.91</v>
      </c>
    </row>
    <row r="863" spans="1:14" x14ac:dyDescent="0.3">
      <c r="A863" s="1">
        <v>45559</v>
      </c>
      <c r="B863" t="s">
        <v>1456</v>
      </c>
      <c r="C863" t="s">
        <v>15</v>
      </c>
      <c r="D863" t="s">
        <v>16</v>
      </c>
      <c r="E863" t="s">
        <v>64</v>
      </c>
      <c r="F863">
        <v>5</v>
      </c>
      <c r="G863">
        <v>394.6</v>
      </c>
      <c r="H863" t="s">
        <v>36</v>
      </c>
      <c r="I863" t="s">
        <v>1457</v>
      </c>
      <c r="J863" t="s">
        <v>20</v>
      </c>
      <c r="K863" t="s">
        <v>59</v>
      </c>
      <c r="L863" t="s">
        <v>60</v>
      </c>
      <c r="M863" t="s">
        <v>84</v>
      </c>
      <c r="N863">
        <f>Sheet1[[#This Row],[Quantity]]*Sheet1[[#This Row],[UnitPrice]]</f>
        <v>1973</v>
      </c>
    </row>
    <row r="864" spans="1:14" x14ac:dyDescent="0.3">
      <c r="A864" s="1">
        <v>45393</v>
      </c>
      <c r="B864" t="s">
        <v>1458</v>
      </c>
      <c r="C864" t="s">
        <v>78</v>
      </c>
      <c r="D864" t="s">
        <v>74</v>
      </c>
      <c r="E864" t="s">
        <v>27</v>
      </c>
      <c r="F864">
        <v>7</v>
      </c>
      <c r="G864">
        <v>235.07</v>
      </c>
      <c r="H864" t="s">
        <v>53</v>
      </c>
      <c r="I864" t="s">
        <v>1459</v>
      </c>
      <c r="J864" t="s">
        <v>30</v>
      </c>
      <c r="K864" t="s">
        <v>45</v>
      </c>
      <c r="L864" t="s">
        <v>60</v>
      </c>
      <c r="M864" t="s">
        <v>32</v>
      </c>
      <c r="N864">
        <f>Sheet1[[#This Row],[Quantity]]*Sheet1[[#This Row],[UnitPrice]]</f>
        <v>1645.49</v>
      </c>
    </row>
    <row r="865" spans="1:14" x14ac:dyDescent="0.3">
      <c r="A865" s="1">
        <v>45656</v>
      </c>
      <c r="B865" t="s">
        <v>1460</v>
      </c>
      <c r="C865" t="s">
        <v>25</v>
      </c>
      <c r="D865" t="s">
        <v>26</v>
      </c>
      <c r="E865" t="s">
        <v>35</v>
      </c>
      <c r="F865">
        <v>9</v>
      </c>
      <c r="G865">
        <v>354.65</v>
      </c>
      <c r="H865" t="s">
        <v>28</v>
      </c>
      <c r="I865" t="s">
        <v>1461</v>
      </c>
      <c r="J865" t="s">
        <v>20</v>
      </c>
      <c r="K865" t="s">
        <v>45</v>
      </c>
      <c r="L865" t="s">
        <v>60</v>
      </c>
      <c r="M865" t="s">
        <v>49</v>
      </c>
      <c r="N865">
        <f>Sheet1[[#This Row],[Quantity]]*Sheet1[[#This Row],[UnitPrice]]</f>
        <v>3191.85</v>
      </c>
    </row>
    <row r="866" spans="1:14" x14ac:dyDescent="0.3">
      <c r="A866" s="1">
        <v>45601</v>
      </c>
      <c r="B866" t="s">
        <v>692</v>
      </c>
      <c r="C866" t="s">
        <v>73</v>
      </c>
      <c r="D866" t="s">
        <v>47</v>
      </c>
      <c r="E866" t="s">
        <v>17</v>
      </c>
      <c r="F866">
        <v>4</v>
      </c>
      <c r="G866">
        <v>177.34</v>
      </c>
      <c r="H866" t="s">
        <v>18</v>
      </c>
      <c r="I866" t="s">
        <v>1462</v>
      </c>
      <c r="J866" t="s">
        <v>44</v>
      </c>
      <c r="K866" t="s">
        <v>21</v>
      </c>
      <c r="L866" t="s">
        <v>60</v>
      </c>
      <c r="M866" t="s">
        <v>84</v>
      </c>
      <c r="N866">
        <f>Sheet1[[#This Row],[Quantity]]*Sheet1[[#This Row],[UnitPrice]]</f>
        <v>709.36</v>
      </c>
    </row>
    <row r="867" spans="1:14" x14ac:dyDescent="0.3">
      <c r="A867" s="1">
        <v>45752</v>
      </c>
      <c r="B867" t="s">
        <v>754</v>
      </c>
      <c r="C867" t="s">
        <v>101</v>
      </c>
      <c r="D867" t="s">
        <v>74</v>
      </c>
      <c r="E867" t="s">
        <v>27</v>
      </c>
      <c r="F867">
        <v>2</v>
      </c>
      <c r="G867">
        <v>69.27</v>
      </c>
      <c r="H867" t="s">
        <v>18</v>
      </c>
      <c r="I867" t="s">
        <v>1463</v>
      </c>
      <c r="J867" t="s">
        <v>38</v>
      </c>
      <c r="K867" t="s">
        <v>21</v>
      </c>
      <c r="L867" t="s">
        <v>39</v>
      </c>
      <c r="M867" t="s">
        <v>23</v>
      </c>
      <c r="N867">
        <f>Sheet1[[#This Row],[Quantity]]*Sheet1[[#This Row],[UnitPrice]]</f>
        <v>138.54</v>
      </c>
    </row>
    <row r="868" spans="1:14" x14ac:dyDescent="0.3">
      <c r="A868" s="1">
        <v>45668</v>
      </c>
      <c r="B868" t="s">
        <v>1464</v>
      </c>
      <c r="C868" t="s">
        <v>56</v>
      </c>
      <c r="D868" t="s">
        <v>26</v>
      </c>
      <c r="E868" t="s">
        <v>17</v>
      </c>
      <c r="F868">
        <v>6</v>
      </c>
      <c r="G868">
        <v>180.53</v>
      </c>
      <c r="H868" t="s">
        <v>36</v>
      </c>
      <c r="I868" t="s">
        <v>1465</v>
      </c>
      <c r="J868" t="s">
        <v>20</v>
      </c>
      <c r="K868" t="s">
        <v>21</v>
      </c>
      <c r="L868" t="s">
        <v>39</v>
      </c>
      <c r="M868" t="s">
        <v>23</v>
      </c>
      <c r="N868">
        <f>Sheet1[[#This Row],[Quantity]]*Sheet1[[#This Row],[UnitPrice]]</f>
        <v>1083.18</v>
      </c>
    </row>
    <row r="869" spans="1:14" x14ac:dyDescent="0.3">
      <c r="A869" s="1">
        <v>45816</v>
      </c>
      <c r="B869" t="s">
        <v>1263</v>
      </c>
      <c r="C869" t="s">
        <v>25</v>
      </c>
      <c r="D869" t="s">
        <v>26</v>
      </c>
      <c r="E869" t="s">
        <v>64</v>
      </c>
      <c r="F869">
        <v>1</v>
      </c>
      <c r="G869">
        <v>249.98</v>
      </c>
      <c r="H869" t="s">
        <v>53</v>
      </c>
      <c r="I869" t="s">
        <v>1466</v>
      </c>
      <c r="J869" t="s">
        <v>20</v>
      </c>
      <c r="K869" t="s">
        <v>45</v>
      </c>
      <c r="L869" t="s">
        <v>22</v>
      </c>
      <c r="M869" t="s">
        <v>61</v>
      </c>
      <c r="N869">
        <f>Sheet1[[#This Row],[Quantity]]*Sheet1[[#This Row],[UnitPrice]]</f>
        <v>249.98</v>
      </c>
    </row>
    <row r="870" spans="1:14" x14ac:dyDescent="0.3">
      <c r="A870" s="1">
        <v>45521</v>
      </c>
      <c r="B870" t="s">
        <v>395</v>
      </c>
      <c r="C870" t="s">
        <v>51</v>
      </c>
      <c r="D870" t="s">
        <v>74</v>
      </c>
      <c r="E870" t="s">
        <v>67</v>
      </c>
      <c r="F870">
        <v>2</v>
      </c>
      <c r="G870">
        <v>159.78</v>
      </c>
      <c r="H870" t="s">
        <v>28</v>
      </c>
      <c r="I870" t="s">
        <v>1467</v>
      </c>
      <c r="J870" t="s">
        <v>58</v>
      </c>
      <c r="K870" t="s">
        <v>21</v>
      </c>
      <c r="L870" t="s">
        <v>22</v>
      </c>
      <c r="M870" t="s">
        <v>23</v>
      </c>
      <c r="N870">
        <f>Sheet1[[#This Row],[Quantity]]*Sheet1[[#This Row],[UnitPrice]]</f>
        <v>319.56</v>
      </c>
    </row>
    <row r="871" spans="1:14" x14ac:dyDescent="0.3">
      <c r="A871" s="1">
        <v>45673</v>
      </c>
      <c r="B871" t="s">
        <v>442</v>
      </c>
      <c r="C871" t="s">
        <v>25</v>
      </c>
      <c r="D871" t="s">
        <v>74</v>
      </c>
      <c r="E871" t="s">
        <v>35</v>
      </c>
      <c r="F871">
        <v>1</v>
      </c>
      <c r="G871">
        <v>385.99</v>
      </c>
      <c r="H871" t="s">
        <v>28</v>
      </c>
      <c r="I871" t="s">
        <v>1468</v>
      </c>
      <c r="J871" t="s">
        <v>44</v>
      </c>
      <c r="K871" t="s">
        <v>21</v>
      </c>
      <c r="L871" t="s">
        <v>22</v>
      </c>
      <c r="M871" t="s">
        <v>32</v>
      </c>
      <c r="N871">
        <f>Sheet1[[#This Row],[Quantity]]*Sheet1[[#This Row],[UnitPrice]]</f>
        <v>385.99</v>
      </c>
    </row>
    <row r="872" spans="1:14" x14ac:dyDescent="0.3">
      <c r="A872" s="1">
        <v>45414</v>
      </c>
      <c r="B872" t="s">
        <v>1031</v>
      </c>
      <c r="C872" t="s">
        <v>34</v>
      </c>
      <c r="D872" t="s">
        <v>74</v>
      </c>
      <c r="E872" t="s">
        <v>42</v>
      </c>
      <c r="F872">
        <v>10</v>
      </c>
      <c r="G872">
        <v>138.86000000000001</v>
      </c>
      <c r="H872" t="s">
        <v>53</v>
      </c>
      <c r="I872" t="s">
        <v>1469</v>
      </c>
      <c r="J872" t="s">
        <v>20</v>
      </c>
      <c r="K872" t="s">
        <v>21</v>
      </c>
      <c r="L872" t="s">
        <v>39</v>
      </c>
      <c r="M872" t="s">
        <v>32</v>
      </c>
      <c r="N872">
        <f>Sheet1[[#This Row],[Quantity]]*Sheet1[[#This Row],[UnitPrice]]</f>
        <v>1388.6000000000001</v>
      </c>
    </row>
    <row r="873" spans="1:14" x14ac:dyDescent="0.3">
      <c r="A873" s="1">
        <v>45197</v>
      </c>
      <c r="B873" t="s">
        <v>387</v>
      </c>
      <c r="C873" t="s">
        <v>73</v>
      </c>
      <c r="D873" t="s">
        <v>16</v>
      </c>
      <c r="E873" t="s">
        <v>52</v>
      </c>
      <c r="F873">
        <v>4</v>
      </c>
      <c r="G873">
        <v>90.29</v>
      </c>
      <c r="H873" t="s">
        <v>18</v>
      </c>
      <c r="I873" t="s">
        <v>1470</v>
      </c>
      <c r="J873" t="s">
        <v>44</v>
      </c>
      <c r="K873" t="s">
        <v>31</v>
      </c>
      <c r="L873" t="s">
        <v>39</v>
      </c>
      <c r="M873" t="s">
        <v>32</v>
      </c>
      <c r="N873">
        <f>Sheet1[[#This Row],[Quantity]]*Sheet1[[#This Row],[UnitPrice]]</f>
        <v>361.16</v>
      </c>
    </row>
    <row r="874" spans="1:14" x14ac:dyDescent="0.3">
      <c r="A874" s="1">
        <v>45003</v>
      </c>
      <c r="B874" t="s">
        <v>995</v>
      </c>
      <c r="C874" t="s">
        <v>15</v>
      </c>
      <c r="D874" t="s">
        <v>16</v>
      </c>
      <c r="E874" t="s">
        <v>35</v>
      </c>
      <c r="F874">
        <v>6</v>
      </c>
      <c r="G874">
        <v>159.58000000000001</v>
      </c>
      <c r="H874" t="s">
        <v>36</v>
      </c>
      <c r="I874" t="s">
        <v>1471</v>
      </c>
      <c r="J874" t="s">
        <v>58</v>
      </c>
      <c r="K874" t="s">
        <v>21</v>
      </c>
      <c r="L874" t="s">
        <v>22</v>
      </c>
      <c r="M874" t="s">
        <v>23</v>
      </c>
      <c r="N874">
        <f>Sheet1[[#This Row],[Quantity]]*Sheet1[[#This Row],[UnitPrice]]</f>
        <v>957.48</v>
      </c>
    </row>
    <row r="875" spans="1:14" x14ac:dyDescent="0.3">
      <c r="A875" s="1">
        <v>45292</v>
      </c>
      <c r="B875" t="s">
        <v>220</v>
      </c>
      <c r="C875" t="s">
        <v>90</v>
      </c>
      <c r="D875" t="s">
        <v>16</v>
      </c>
      <c r="E875" t="s">
        <v>42</v>
      </c>
      <c r="F875">
        <v>8</v>
      </c>
      <c r="G875">
        <v>151.31</v>
      </c>
      <c r="H875" t="s">
        <v>18</v>
      </c>
      <c r="I875" t="s">
        <v>1472</v>
      </c>
      <c r="J875" t="s">
        <v>44</v>
      </c>
      <c r="K875" t="s">
        <v>45</v>
      </c>
      <c r="L875" t="s">
        <v>22</v>
      </c>
      <c r="M875" t="s">
        <v>49</v>
      </c>
      <c r="N875">
        <f>Sheet1[[#This Row],[Quantity]]*Sheet1[[#This Row],[UnitPrice]]</f>
        <v>1210.48</v>
      </c>
    </row>
    <row r="876" spans="1:14" x14ac:dyDescent="0.3">
      <c r="A876" s="1">
        <v>45258</v>
      </c>
      <c r="B876" t="s">
        <v>1473</v>
      </c>
      <c r="C876" t="s">
        <v>73</v>
      </c>
      <c r="D876" t="s">
        <v>47</v>
      </c>
      <c r="E876" t="s">
        <v>52</v>
      </c>
      <c r="F876">
        <v>10</v>
      </c>
      <c r="G876">
        <v>79.69</v>
      </c>
      <c r="H876" t="s">
        <v>28</v>
      </c>
      <c r="I876" t="s">
        <v>1474</v>
      </c>
      <c r="J876" t="s">
        <v>20</v>
      </c>
      <c r="K876" t="s">
        <v>59</v>
      </c>
      <c r="L876" t="s">
        <v>39</v>
      </c>
      <c r="M876" t="s">
        <v>84</v>
      </c>
      <c r="N876">
        <f>Sheet1[[#This Row],[Quantity]]*Sheet1[[#This Row],[UnitPrice]]</f>
        <v>796.9</v>
      </c>
    </row>
    <row r="877" spans="1:14" x14ac:dyDescent="0.3">
      <c r="A877" s="1">
        <v>45222</v>
      </c>
      <c r="B877" t="s">
        <v>208</v>
      </c>
      <c r="C877" t="s">
        <v>73</v>
      </c>
      <c r="D877" t="s">
        <v>16</v>
      </c>
      <c r="E877" t="s">
        <v>52</v>
      </c>
      <c r="F877">
        <v>10</v>
      </c>
      <c r="G877">
        <v>324.83</v>
      </c>
      <c r="H877" t="s">
        <v>28</v>
      </c>
      <c r="I877" t="s">
        <v>1475</v>
      </c>
      <c r="J877" t="s">
        <v>20</v>
      </c>
      <c r="K877" t="s">
        <v>21</v>
      </c>
      <c r="L877" t="s">
        <v>60</v>
      </c>
      <c r="M877" t="s">
        <v>49</v>
      </c>
      <c r="N877">
        <f>Sheet1[[#This Row],[Quantity]]*Sheet1[[#This Row],[UnitPrice]]</f>
        <v>3248.2999999999997</v>
      </c>
    </row>
    <row r="878" spans="1:14" x14ac:dyDescent="0.3">
      <c r="A878" s="1">
        <v>45496</v>
      </c>
      <c r="B878" t="s">
        <v>1476</v>
      </c>
      <c r="C878" t="s">
        <v>34</v>
      </c>
      <c r="D878" t="s">
        <v>26</v>
      </c>
      <c r="E878" t="s">
        <v>52</v>
      </c>
      <c r="F878">
        <v>1</v>
      </c>
      <c r="G878">
        <v>147.84</v>
      </c>
      <c r="H878" t="s">
        <v>18</v>
      </c>
      <c r="I878" t="s">
        <v>1477</v>
      </c>
      <c r="J878" t="s">
        <v>30</v>
      </c>
      <c r="K878" t="s">
        <v>45</v>
      </c>
      <c r="L878" t="s">
        <v>22</v>
      </c>
      <c r="M878" t="s">
        <v>84</v>
      </c>
      <c r="N878">
        <f>Sheet1[[#This Row],[Quantity]]*Sheet1[[#This Row],[UnitPrice]]</f>
        <v>147.84</v>
      </c>
    </row>
    <row r="879" spans="1:14" x14ac:dyDescent="0.3">
      <c r="A879" s="1">
        <v>45223</v>
      </c>
      <c r="B879" t="s">
        <v>72</v>
      </c>
      <c r="C879" t="s">
        <v>56</v>
      </c>
      <c r="D879" t="s">
        <v>16</v>
      </c>
      <c r="E879" t="s">
        <v>42</v>
      </c>
      <c r="F879">
        <v>7</v>
      </c>
      <c r="G879">
        <v>285.42</v>
      </c>
      <c r="H879" t="s">
        <v>68</v>
      </c>
      <c r="I879" t="s">
        <v>1478</v>
      </c>
      <c r="J879" t="s">
        <v>30</v>
      </c>
      <c r="K879" t="s">
        <v>31</v>
      </c>
      <c r="L879" t="s">
        <v>39</v>
      </c>
      <c r="M879" t="s">
        <v>84</v>
      </c>
      <c r="N879">
        <f>Sheet1[[#This Row],[Quantity]]*Sheet1[[#This Row],[UnitPrice]]</f>
        <v>1997.94</v>
      </c>
    </row>
    <row r="880" spans="1:14" x14ac:dyDescent="0.3">
      <c r="A880" s="1">
        <v>45550</v>
      </c>
      <c r="B880" t="s">
        <v>176</v>
      </c>
      <c r="C880" t="s">
        <v>25</v>
      </c>
      <c r="D880" t="s">
        <v>47</v>
      </c>
      <c r="E880" t="s">
        <v>27</v>
      </c>
      <c r="F880">
        <v>4</v>
      </c>
      <c r="G880">
        <v>160.51</v>
      </c>
      <c r="H880" t="s">
        <v>53</v>
      </c>
      <c r="I880" t="s">
        <v>1479</v>
      </c>
      <c r="J880" t="s">
        <v>30</v>
      </c>
      <c r="K880" t="s">
        <v>59</v>
      </c>
      <c r="L880" t="s">
        <v>22</v>
      </c>
      <c r="M880" t="s">
        <v>61</v>
      </c>
      <c r="N880">
        <f>Sheet1[[#This Row],[Quantity]]*Sheet1[[#This Row],[UnitPrice]]</f>
        <v>642.04</v>
      </c>
    </row>
    <row r="881" spans="1:14" x14ac:dyDescent="0.3">
      <c r="A881" s="1">
        <v>45594</v>
      </c>
      <c r="B881" t="s">
        <v>160</v>
      </c>
      <c r="C881" t="s">
        <v>63</v>
      </c>
      <c r="D881" t="s">
        <v>74</v>
      </c>
      <c r="E881" t="s">
        <v>67</v>
      </c>
      <c r="F881">
        <v>2</v>
      </c>
      <c r="G881">
        <v>394.52</v>
      </c>
      <c r="H881" t="s">
        <v>18</v>
      </c>
      <c r="I881" t="s">
        <v>1480</v>
      </c>
      <c r="J881" t="s">
        <v>30</v>
      </c>
      <c r="K881" t="s">
        <v>31</v>
      </c>
      <c r="L881" t="s">
        <v>22</v>
      </c>
      <c r="M881" t="s">
        <v>84</v>
      </c>
      <c r="N881">
        <f>Sheet1[[#This Row],[Quantity]]*Sheet1[[#This Row],[UnitPrice]]</f>
        <v>789.04</v>
      </c>
    </row>
    <row r="882" spans="1:14" x14ac:dyDescent="0.3">
      <c r="A882" s="1">
        <v>45767</v>
      </c>
      <c r="B882" t="s">
        <v>966</v>
      </c>
      <c r="C882" t="s">
        <v>63</v>
      </c>
      <c r="D882" t="s">
        <v>16</v>
      </c>
      <c r="E882" t="s">
        <v>67</v>
      </c>
      <c r="F882">
        <v>10</v>
      </c>
      <c r="G882">
        <v>170.14</v>
      </c>
      <c r="H882" t="s">
        <v>28</v>
      </c>
      <c r="I882" t="s">
        <v>1481</v>
      </c>
      <c r="J882" t="s">
        <v>20</v>
      </c>
      <c r="K882" t="s">
        <v>21</v>
      </c>
      <c r="L882" t="s">
        <v>39</v>
      </c>
      <c r="M882" t="s">
        <v>61</v>
      </c>
      <c r="N882">
        <f>Sheet1[[#This Row],[Quantity]]*Sheet1[[#This Row],[UnitPrice]]</f>
        <v>1701.3999999999999</v>
      </c>
    </row>
    <row r="883" spans="1:14" x14ac:dyDescent="0.3">
      <c r="A883" s="1">
        <v>45405</v>
      </c>
      <c r="B883" t="s">
        <v>1431</v>
      </c>
      <c r="C883" t="s">
        <v>101</v>
      </c>
      <c r="D883" t="s">
        <v>16</v>
      </c>
      <c r="E883" t="s">
        <v>42</v>
      </c>
      <c r="F883">
        <v>10</v>
      </c>
      <c r="G883">
        <v>144.38999999999999</v>
      </c>
      <c r="H883" t="s">
        <v>53</v>
      </c>
      <c r="I883" t="s">
        <v>1482</v>
      </c>
      <c r="J883" t="s">
        <v>30</v>
      </c>
      <c r="K883" t="s">
        <v>45</v>
      </c>
      <c r="L883" t="s">
        <v>39</v>
      </c>
      <c r="M883" t="s">
        <v>84</v>
      </c>
      <c r="N883">
        <f>Sheet1[[#This Row],[Quantity]]*Sheet1[[#This Row],[UnitPrice]]</f>
        <v>1443.8999999999999</v>
      </c>
    </row>
    <row r="884" spans="1:14" x14ac:dyDescent="0.3">
      <c r="A884" s="1">
        <v>45156</v>
      </c>
      <c r="B884" t="s">
        <v>290</v>
      </c>
      <c r="C884" t="s">
        <v>101</v>
      </c>
      <c r="D884" t="s">
        <v>74</v>
      </c>
      <c r="E884" t="s">
        <v>42</v>
      </c>
      <c r="F884">
        <v>7</v>
      </c>
      <c r="G884">
        <v>355.97</v>
      </c>
      <c r="H884" t="s">
        <v>28</v>
      </c>
      <c r="I884" t="s">
        <v>1483</v>
      </c>
      <c r="J884" t="s">
        <v>44</v>
      </c>
      <c r="K884" t="s">
        <v>21</v>
      </c>
      <c r="L884" t="s">
        <v>60</v>
      </c>
      <c r="M884" t="s">
        <v>40</v>
      </c>
      <c r="N884">
        <f>Sheet1[[#This Row],[Quantity]]*Sheet1[[#This Row],[UnitPrice]]</f>
        <v>2491.79</v>
      </c>
    </row>
    <row r="885" spans="1:14" x14ac:dyDescent="0.3">
      <c r="A885" s="1">
        <v>45213</v>
      </c>
      <c r="B885" t="s">
        <v>1098</v>
      </c>
      <c r="C885" t="s">
        <v>51</v>
      </c>
      <c r="D885" t="s">
        <v>16</v>
      </c>
      <c r="E885" t="s">
        <v>67</v>
      </c>
      <c r="F885">
        <v>1</v>
      </c>
      <c r="G885">
        <v>319.26</v>
      </c>
      <c r="H885" t="s">
        <v>18</v>
      </c>
      <c r="I885" t="s">
        <v>1484</v>
      </c>
      <c r="J885" t="s">
        <v>38</v>
      </c>
      <c r="K885" t="s">
        <v>21</v>
      </c>
      <c r="L885" t="s">
        <v>39</v>
      </c>
      <c r="M885" t="s">
        <v>23</v>
      </c>
      <c r="N885">
        <f>Sheet1[[#This Row],[Quantity]]*Sheet1[[#This Row],[UnitPrice]]</f>
        <v>319.26</v>
      </c>
    </row>
    <row r="886" spans="1:14" x14ac:dyDescent="0.3">
      <c r="A886" s="1">
        <v>45345</v>
      </c>
      <c r="B886" t="s">
        <v>1295</v>
      </c>
      <c r="C886" t="s">
        <v>101</v>
      </c>
      <c r="D886" t="s">
        <v>47</v>
      </c>
      <c r="E886" t="s">
        <v>35</v>
      </c>
      <c r="F886">
        <v>4</v>
      </c>
      <c r="G886">
        <v>96.13</v>
      </c>
      <c r="H886" t="s">
        <v>68</v>
      </c>
      <c r="I886" t="s">
        <v>1485</v>
      </c>
      <c r="J886" t="s">
        <v>38</v>
      </c>
      <c r="K886" t="s">
        <v>21</v>
      </c>
      <c r="L886" t="s">
        <v>60</v>
      </c>
      <c r="M886" t="s">
        <v>40</v>
      </c>
      <c r="N886">
        <f>Sheet1[[#This Row],[Quantity]]*Sheet1[[#This Row],[UnitPrice]]</f>
        <v>384.52</v>
      </c>
    </row>
    <row r="887" spans="1:14" x14ac:dyDescent="0.3">
      <c r="A887" s="1">
        <v>45166</v>
      </c>
      <c r="B887" t="s">
        <v>1486</v>
      </c>
      <c r="C887" t="s">
        <v>15</v>
      </c>
      <c r="D887" t="s">
        <v>74</v>
      </c>
      <c r="E887" t="s">
        <v>35</v>
      </c>
      <c r="F887">
        <v>6</v>
      </c>
      <c r="G887">
        <v>160.47</v>
      </c>
      <c r="H887" t="s">
        <v>28</v>
      </c>
      <c r="I887" t="s">
        <v>1487</v>
      </c>
      <c r="J887" t="s">
        <v>38</v>
      </c>
      <c r="K887" t="s">
        <v>59</v>
      </c>
      <c r="L887" t="s">
        <v>39</v>
      </c>
      <c r="M887" t="s">
        <v>49</v>
      </c>
      <c r="N887">
        <f>Sheet1[[#This Row],[Quantity]]*Sheet1[[#This Row],[UnitPrice]]</f>
        <v>962.81999999999994</v>
      </c>
    </row>
    <row r="888" spans="1:14" x14ac:dyDescent="0.3">
      <c r="A888" s="1">
        <v>45391</v>
      </c>
      <c r="B888" t="s">
        <v>763</v>
      </c>
      <c r="C888" t="s">
        <v>73</v>
      </c>
      <c r="D888" t="s">
        <v>47</v>
      </c>
      <c r="E888" t="s">
        <v>27</v>
      </c>
      <c r="F888">
        <v>2</v>
      </c>
      <c r="G888">
        <v>288.11</v>
      </c>
      <c r="H888" t="s">
        <v>28</v>
      </c>
      <c r="I888" t="s">
        <v>1488</v>
      </c>
      <c r="J888" t="s">
        <v>38</v>
      </c>
      <c r="K888" t="s">
        <v>31</v>
      </c>
      <c r="L888" t="s">
        <v>22</v>
      </c>
      <c r="M888" t="s">
        <v>84</v>
      </c>
      <c r="N888">
        <f>Sheet1[[#This Row],[Quantity]]*Sheet1[[#This Row],[UnitPrice]]</f>
        <v>576.22</v>
      </c>
    </row>
    <row r="889" spans="1:14" x14ac:dyDescent="0.3">
      <c r="A889" s="1">
        <v>45341</v>
      </c>
      <c r="B889" t="s">
        <v>379</v>
      </c>
      <c r="C889" t="s">
        <v>63</v>
      </c>
      <c r="D889" t="s">
        <v>26</v>
      </c>
      <c r="E889" t="s">
        <v>27</v>
      </c>
      <c r="F889">
        <v>4</v>
      </c>
      <c r="G889">
        <v>97.8</v>
      </c>
      <c r="H889" t="s">
        <v>53</v>
      </c>
      <c r="I889" t="s">
        <v>1489</v>
      </c>
      <c r="J889" t="s">
        <v>38</v>
      </c>
      <c r="K889" t="s">
        <v>59</v>
      </c>
      <c r="L889" t="s">
        <v>60</v>
      </c>
      <c r="M889" t="s">
        <v>49</v>
      </c>
      <c r="N889">
        <f>Sheet1[[#This Row],[Quantity]]*Sheet1[[#This Row],[UnitPrice]]</f>
        <v>391.2</v>
      </c>
    </row>
    <row r="890" spans="1:14" x14ac:dyDescent="0.3">
      <c r="A890" s="1">
        <v>45276</v>
      </c>
      <c r="B890" t="s">
        <v>100</v>
      </c>
      <c r="C890" t="s">
        <v>56</v>
      </c>
      <c r="D890" t="s">
        <v>47</v>
      </c>
      <c r="E890" t="s">
        <v>52</v>
      </c>
      <c r="F890">
        <v>1</v>
      </c>
      <c r="G890">
        <v>228.94</v>
      </c>
      <c r="H890" t="s">
        <v>68</v>
      </c>
      <c r="I890" t="s">
        <v>1490</v>
      </c>
      <c r="J890" t="s">
        <v>38</v>
      </c>
      <c r="K890" t="s">
        <v>45</v>
      </c>
      <c r="L890" t="s">
        <v>22</v>
      </c>
      <c r="M890" t="s">
        <v>23</v>
      </c>
      <c r="N890">
        <f>Sheet1[[#This Row],[Quantity]]*Sheet1[[#This Row],[UnitPrice]]</f>
        <v>228.94</v>
      </c>
    </row>
    <row r="891" spans="1:14" x14ac:dyDescent="0.3">
      <c r="A891" s="1">
        <v>45137</v>
      </c>
      <c r="B891" t="s">
        <v>710</v>
      </c>
      <c r="C891" t="s">
        <v>34</v>
      </c>
      <c r="D891" t="s">
        <v>74</v>
      </c>
      <c r="E891" t="s">
        <v>17</v>
      </c>
      <c r="F891">
        <v>4</v>
      </c>
      <c r="G891">
        <v>326.36</v>
      </c>
      <c r="H891" t="s">
        <v>36</v>
      </c>
      <c r="I891" t="s">
        <v>1491</v>
      </c>
      <c r="J891" t="s">
        <v>44</v>
      </c>
      <c r="K891" t="s">
        <v>21</v>
      </c>
      <c r="L891" t="s">
        <v>60</v>
      </c>
      <c r="M891" t="s">
        <v>61</v>
      </c>
      <c r="N891">
        <f>Sheet1[[#This Row],[Quantity]]*Sheet1[[#This Row],[UnitPrice]]</f>
        <v>1305.44</v>
      </c>
    </row>
    <row r="892" spans="1:14" x14ac:dyDescent="0.3">
      <c r="A892" s="1">
        <v>44952</v>
      </c>
      <c r="B892" t="s">
        <v>776</v>
      </c>
      <c r="C892" t="s">
        <v>56</v>
      </c>
      <c r="D892" t="s">
        <v>47</v>
      </c>
      <c r="E892" t="s">
        <v>64</v>
      </c>
      <c r="F892">
        <v>8</v>
      </c>
      <c r="G892">
        <v>100.89</v>
      </c>
      <c r="H892" t="s">
        <v>18</v>
      </c>
      <c r="I892" t="s">
        <v>1492</v>
      </c>
      <c r="J892" t="s">
        <v>58</v>
      </c>
      <c r="K892" t="s">
        <v>31</v>
      </c>
      <c r="L892" t="s">
        <v>22</v>
      </c>
      <c r="M892" t="s">
        <v>32</v>
      </c>
      <c r="N892">
        <f>Sheet1[[#This Row],[Quantity]]*Sheet1[[#This Row],[UnitPrice]]</f>
        <v>807.12</v>
      </c>
    </row>
    <row r="893" spans="1:14" x14ac:dyDescent="0.3">
      <c r="A893" s="1">
        <v>45836</v>
      </c>
      <c r="B893" t="s">
        <v>1493</v>
      </c>
      <c r="C893" t="s">
        <v>63</v>
      </c>
      <c r="D893" t="s">
        <v>16</v>
      </c>
      <c r="E893" t="s">
        <v>64</v>
      </c>
      <c r="F893">
        <v>6</v>
      </c>
      <c r="G893">
        <v>153.65</v>
      </c>
      <c r="H893" t="s">
        <v>18</v>
      </c>
      <c r="I893" t="s">
        <v>1494</v>
      </c>
      <c r="J893" t="s">
        <v>44</v>
      </c>
      <c r="K893" t="s">
        <v>21</v>
      </c>
      <c r="L893" t="s">
        <v>22</v>
      </c>
      <c r="M893" t="s">
        <v>23</v>
      </c>
      <c r="N893">
        <f>Sheet1[[#This Row],[Quantity]]*Sheet1[[#This Row],[UnitPrice]]</f>
        <v>921.90000000000009</v>
      </c>
    </row>
    <row r="894" spans="1:14" x14ac:dyDescent="0.3">
      <c r="A894" s="1">
        <v>45343</v>
      </c>
      <c r="B894" t="s">
        <v>1268</v>
      </c>
      <c r="C894" t="s">
        <v>101</v>
      </c>
      <c r="D894" t="s">
        <v>47</v>
      </c>
      <c r="E894" t="s">
        <v>67</v>
      </c>
      <c r="F894">
        <v>4</v>
      </c>
      <c r="G894">
        <v>335.28</v>
      </c>
      <c r="H894" t="s">
        <v>36</v>
      </c>
      <c r="I894" t="s">
        <v>1495</v>
      </c>
      <c r="J894" t="s">
        <v>38</v>
      </c>
      <c r="K894" t="s">
        <v>45</v>
      </c>
      <c r="L894" t="s">
        <v>22</v>
      </c>
      <c r="M894" t="s">
        <v>76</v>
      </c>
      <c r="N894">
        <f>Sheet1[[#This Row],[Quantity]]*Sheet1[[#This Row],[UnitPrice]]</f>
        <v>1341.12</v>
      </c>
    </row>
    <row r="895" spans="1:14" x14ac:dyDescent="0.3">
      <c r="A895" s="1">
        <v>45799</v>
      </c>
      <c r="B895" t="s">
        <v>348</v>
      </c>
      <c r="C895" t="s">
        <v>25</v>
      </c>
      <c r="D895" t="s">
        <v>74</v>
      </c>
      <c r="E895" t="s">
        <v>17</v>
      </c>
      <c r="F895">
        <v>8</v>
      </c>
      <c r="G895">
        <v>351.15</v>
      </c>
      <c r="H895" t="s">
        <v>28</v>
      </c>
      <c r="I895" t="s">
        <v>1496</v>
      </c>
      <c r="J895" t="s">
        <v>38</v>
      </c>
      <c r="K895" t="s">
        <v>45</v>
      </c>
      <c r="L895" t="s">
        <v>22</v>
      </c>
      <c r="M895" t="s">
        <v>32</v>
      </c>
      <c r="N895">
        <f>Sheet1[[#This Row],[Quantity]]*Sheet1[[#This Row],[UnitPrice]]</f>
        <v>2809.2</v>
      </c>
    </row>
    <row r="896" spans="1:14" x14ac:dyDescent="0.3">
      <c r="A896" s="1">
        <v>45508</v>
      </c>
      <c r="B896" t="s">
        <v>227</v>
      </c>
      <c r="C896" t="s">
        <v>56</v>
      </c>
      <c r="D896" t="s">
        <v>74</v>
      </c>
      <c r="E896" t="s">
        <v>52</v>
      </c>
      <c r="F896">
        <v>2</v>
      </c>
      <c r="G896">
        <v>202</v>
      </c>
      <c r="H896" t="s">
        <v>36</v>
      </c>
      <c r="I896" t="s">
        <v>1497</v>
      </c>
      <c r="J896" t="s">
        <v>20</v>
      </c>
      <c r="K896" t="s">
        <v>59</v>
      </c>
      <c r="L896" t="s">
        <v>60</v>
      </c>
      <c r="M896" t="s">
        <v>61</v>
      </c>
      <c r="N896">
        <f>Sheet1[[#This Row],[Quantity]]*Sheet1[[#This Row],[UnitPrice]]</f>
        <v>404</v>
      </c>
    </row>
    <row r="897" spans="1:14" x14ac:dyDescent="0.3">
      <c r="A897" s="1">
        <v>45709</v>
      </c>
      <c r="B897" t="s">
        <v>1257</v>
      </c>
      <c r="C897" t="s">
        <v>63</v>
      </c>
      <c r="D897" t="s">
        <v>74</v>
      </c>
      <c r="E897" t="s">
        <v>17</v>
      </c>
      <c r="F897">
        <v>6</v>
      </c>
      <c r="G897">
        <v>192.41</v>
      </c>
      <c r="H897" t="s">
        <v>53</v>
      </c>
      <c r="I897" t="s">
        <v>1498</v>
      </c>
      <c r="J897" t="s">
        <v>44</v>
      </c>
      <c r="K897" t="s">
        <v>45</v>
      </c>
      <c r="L897" t="s">
        <v>22</v>
      </c>
      <c r="M897" t="s">
        <v>40</v>
      </c>
      <c r="N897">
        <f>Sheet1[[#This Row],[Quantity]]*Sheet1[[#This Row],[UnitPrice]]</f>
        <v>1154.46</v>
      </c>
    </row>
    <row r="898" spans="1:14" x14ac:dyDescent="0.3">
      <c r="A898" s="1">
        <v>45037</v>
      </c>
      <c r="B898" t="s">
        <v>206</v>
      </c>
      <c r="C898" t="s">
        <v>101</v>
      </c>
      <c r="D898" t="s">
        <v>47</v>
      </c>
      <c r="E898" t="s">
        <v>17</v>
      </c>
      <c r="F898">
        <v>9</v>
      </c>
      <c r="G898">
        <v>206.01</v>
      </c>
      <c r="H898" t="s">
        <v>68</v>
      </c>
      <c r="I898" t="s">
        <v>1499</v>
      </c>
      <c r="J898" t="s">
        <v>20</v>
      </c>
      <c r="K898" t="s">
        <v>21</v>
      </c>
      <c r="L898" t="s">
        <v>39</v>
      </c>
      <c r="M898" t="s">
        <v>40</v>
      </c>
      <c r="N898">
        <f>Sheet1[[#This Row],[Quantity]]*Sheet1[[#This Row],[UnitPrice]]</f>
        <v>1854.09</v>
      </c>
    </row>
    <row r="899" spans="1:14" x14ac:dyDescent="0.3">
      <c r="A899" s="1">
        <v>45000</v>
      </c>
      <c r="B899" t="s">
        <v>1500</v>
      </c>
      <c r="C899" t="s">
        <v>101</v>
      </c>
      <c r="D899" t="s">
        <v>16</v>
      </c>
      <c r="E899" t="s">
        <v>67</v>
      </c>
      <c r="F899">
        <v>3</v>
      </c>
      <c r="G899">
        <v>375.43</v>
      </c>
      <c r="H899" t="s">
        <v>36</v>
      </c>
      <c r="I899" t="s">
        <v>1501</v>
      </c>
      <c r="J899" t="s">
        <v>20</v>
      </c>
      <c r="K899" t="s">
        <v>59</v>
      </c>
      <c r="L899" t="s">
        <v>22</v>
      </c>
      <c r="M899" t="s">
        <v>76</v>
      </c>
      <c r="N899">
        <f>Sheet1[[#This Row],[Quantity]]*Sheet1[[#This Row],[UnitPrice]]</f>
        <v>1126.29</v>
      </c>
    </row>
    <row r="900" spans="1:14" x14ac:dyDescent="0.3">
      <c r="A900" s="1">
        <v>45625</v>
      </c>
      <c r="B900" t="s">
        <v>1502</v>
      </c>
      <c r="C900" t="s">
        <v>73</v>
      </c>
      <c r="D900" t="s">
        <v>16</v>
      </c>
      <c r="E900" t="s">
        <v>27</v>
      </c>
      <c r="F900">
        <v>7</v>
      </c>
      <c r="G900">
        <v>98.82</v>
      </c>
      <c r="H900" t="s">
        <v>36</v>
      </c>
      <c r="I900" t="s">
        <v>1503</v>
      </c>
      <c r="J900" t="s">
        <v>58</v>
      </c>
      <c r="K900" t="s">
        <v>21</v>
      </c>
      <c r="L900" t="s">
        <v>39</v>
      </c>
      <c r="M900" t="s">
        <v>40</v>
      </c>
      <c r="N900">
        <f>Sheet1[[#This Row],[Quantity]]*Sheet1[[#This Row],[UnitPrice]]</f>
        <v>691.74</v>
      </c>
    </row>
    <row r="901" spans="1:14" x14ac:dyDescent="0.3">
      <c r="A901" s="1">
        <v>45193</v>
      </c>
      <c r="B901" t="s">
        <v>261</v>
      </c>
      <c r="C901" t="s">
        <v>51</v>
      </c>
      <c r="D901" t="s">
        <v>47</v>
      </c>
      <c r="E901" t="s">
        <v>64</v>
      </c>
      <c r="F901">
        <v>8</v>
      </c>
      <c r="G901">
        <v>141.12</v>
      </c>
      <c r="H901" t="s">
        <v>53</v>
      </c>
      <c r="I901" t="s">
        <v>1504</v>
      </c>
      <c r="J901" t="s">
        <v>30</v>
      </c>
      <c r="K901" t="s">
        <v>59</v>
      </c>
      <c r="L901" t="s">
        <v>22</v>
      </c>
      <c r="M901" t="s">
        <v>61</v>
      </c>
      <c r="N901">
        <f>Sheet1[[#This Row],[Quantity]]*Sheet1[[#This Row],[UnitPrice]]</f>
        <v>1128.96</v>
      </c>
    </row>
    <row r="902" spans="1:14" x14ac:dyDescent="0.3">
      <c r="A902" s="1">
        <v>45352</v>
      </c>
      <c r="B902" t="s">
        <v>389</v>
      </c>
      <c r="C902" t="s">
        <v>56</v>
      </c>
      <c r="D902" t="s">
        <v>74</v>
      </c>
      <c r="E902" t="s">
        <v>35</v>
      </c>
      <c r="F902">
        <v>4</v>
      </c>
      <c r="G902">
        <v>388.12</v>
      </c>
      <c r="H902" t="s">
        <v>28</v>
      </c>
      <c r="I902" t="s">
        <v>1505</v>
      </c>
      <c r="J902" t="s">
        <v>30</v>
      </c>
      <c r="K902" t="s">
        <v>31</v>
      </c>
      <c r="L902" t="s">
        <v>60</v>
      </c>
      <c r="M902" t="s">
        <v>40</v>
      </c>
      <c r="N902">
        <f>Sheet1[[#This Row],[Quantity]]*Sheet1[[#This Row],[UnitPrice]]</f>
        <v>1552.48</v>
      </c>
    </row>
    <row r="903" spans="1:14" x14ac:dyDescent="0.3">
      <c r="A903" s="1">
        <v>45009</v>
      </c>
      <c r="B903" t="s">
        <v>1506</v>
      </c>
      <c r="C903" t="s">
        <v>51</v>
      </c>
      <c r="D903" t="s">
        <v>26</v>
      </c>
      <c r="E903" t="s">
        <v>17</v>
      </c>
      <c r="F903">
        <v>4</v>
      </c>
      <c r="G903">
        <v>372.75</v>
      </c>
      <c r="H903" t="s">
        <v>68</v>
      </c>
      <c r="I903" t="s">
        <v>1507</v>
      </c>
      <c r="J903" t="s">
        <v>58</v>
      </c>
      <c r="K903" t="s">
        <v>59</v>
      </c>
      <c r="L903" t="s">
        <v>60</v>
      </c>
      <c r="M903" t="s">
        <v>40</v>
      </c>
      <c r="N903">
        <f>Sheet1[[#This Row],[Quantity]]*Sheet1[[#This Row],[UnitPrice]]</f>
        <v>1491</v>
      </c>
    </row>
    <row r="904" spans="1:14" x14ac:dyDescent="0.3">
      <c r="A904" s="1">
        <v>45643</v>
      </c>
      <c r="B904" t="s">
        <v>214</v>
      </c>
      <c r="C904" t="s">
        <v>63</v>
      </c>
      <c r="D904" t="s">
        <v>26</v>
      </c>
      <c r="E904" t="s">
        <v>35</v>
      </c>
      <c r="F904">
        <v>1</v>
      </c>
      <c r="G904">
        <v>120.47</v>
      </c>
      <c r="H904" t="s">
        <v>53</v>
      </c>
      <c r="I904" t="s">
        <v>1508</v>
      </c>
      <c r="J904" t="s">
        <v>44</v>
      </c>
      <c r="K904" t="s">
        <v>31</v>
      </c>
      <c r="L904" t="s">
        <v>39</v>
      </c>
      <c r="M904" t="s">
        <v>84</v>
      </c>
      <c r="N904">
        <f>Sheet1[[#This Row],[Quantity]]*Sheet1[[#This Row],[UnitPrice]]</f>
        <v>120.47</v>
      </c>
    </row>
    <row r="905" spans="1:14" x14ac:dyDescent="0.3">
      <c r="A905" s="1">
        <v>45761</v>
      </c>
      <c r="B905" t="s">
        <v>820</v>
      </c>
      <c r="C905" t="s">
        <v>15</v>
      </c>
      <c r="D905" t="s">
        <v>47</v>
      </c>
      <c r="E905" t="s">
        <v>27</v>
      </c>
      <c r="F905">
        <v>2</v>
      </c>
      <c r="G905">
        <v>86.6</v>
      </c>
      <c r="H905" t="s">
        <v>18</v>
      </c>
      <c r="I905" t="s">
        <v>1509</v>
      </c>
      <c r="J905" t="s">
        <v>58</v>
      </c>
      <c r="K905" t="s">
        <v>45</v>
      </c>
      <c r="L905" t="s">
        <v>22</v>
      </c>
      <c r="M905" t="s">
        <v>49</v>
      </c>
      <c r="N905">
        <f>Sheet1[[#This Row],[Quantity]]*Sheet1[[#This Row],[UnitPrice]]</f>
        <v>173.2</v>
      </c>
    </row>
    <row r="906" spans="1:14" x14ac:dyDescent="0.3">
      <c r="A906" s="1">
        <v>44998</v>
      </c>
      <c r="B906" t="s">
        <v>1510</v>
      </c>
      <c r="C906" t="s">
        <v>51</v>
      </c>
      <c r="D906" t="s">
        <v>74</v>
      </c>
      <c r="E906" t="s">
        <v>52</v>
      </c>
      <c r="F906">
        <v>5</v>
      </c>
      <c r="G906">
        <v>140.38999999999999</v>
      </c>
      <c r="H906" t="s">
        <v>68</v>
      </c>
      <c r="I906" t="s">
        <v>1511</v>
      </c>
      <c r="J906" t="s">
        <v>30</v>
      </c>
      <c r="K906" t="s">
        <v>21</v>
      </c>
      <c r="L906" t="s">
        <v>39</v>
      </c>
      <c r="M906" t="s">
        <v>49</v>
      </c>
      <c r="N906">
        <f>Sheet1[[#This Row],[Quantity]]*Sheet1[[#This Row],[UnitPrice]]</f>
        <v>701.94999999999993</v>
      </c>
    </row>
    <row r="907" spans="1:14" x14ac:dyDescent="0.3">
      <c r="A907" s="1">
        <v>45266</v>
      </c>
      <c r="B907" t="s">
        <v>865</v>
      </c>
      <c r="C907" t="s">
        <v>34</v>
      </c>
      <c r="D907" t="s">
        <v>16</v>
      </c>
      <c r="E907" t="s">
        <v>52</v>
      </c>
      <c r="F907">
        <v>6</v>
      </c>
      <c r="G907">
        <v>152.18</v>
      </c>
      <c r="H907" t="s">
        <v>53</v>
      </c>
      <c r="I907" t="s">
        <v>1512</v>
      </c>
      <c r="J907" t="s">
        <v>44</v>
      </c>
      <c r="K907" t="s">
        <v>45</v>
      </c>
      <c r="L907" t="s">
        <v>22</v>
      </c>
      <c r="M907" t="s">
        <v>76</v>
      </c>
      <c r="N907">
        <f>Sheet1[[#This Row],[Quantity]]*Sheet1[[#This Row],[UnitPrice]]</f>
        <v>913.08</v>
      </c>
    </row>
    <row r="908" spans="1:14" x14ac:dyDescent="0.3">
      <c r="A908" s="1">
        <v>45522</v>
      </c>
      <c r="B908" t="s">
        <v>566</v>
      </c>
      <c r="C908" t="s">
        <v>90</v>
      </c>
      <c r="D908" t="s">
        <v>74</v>
      </c>
      <c r="E908" t="s">
        <v>17</v>
      </c>
      <c r="F908">
        <v>10</v>
      </c>
      <c r="G908">
        <v>72.47</v>
      </c>
      <c r="H908" t="s">
        <v>68</v>
      </c>
      <c r="I908" t="s">
        <v>1513</v>
      </c>
      <c r="J908" t="s">
        <v>58</v>
      </c>
      <c r="K908" t="s">
        <v>21</v>
      </c>
      <c r="L908" t="s">
        <v>39</v>
      </c>
      <c r="M908" t="s">
        <v>61</v>
      </c>
      <c r="N908">
        <f>Sheet1[[#This Row],[Quantity]]*Sheet1[[#This Row],[UnitPrice]]</f>
        <v>724.7</v>
      </c>
    </row>
    <row r="909" spans="1:14" x14ac:dyDescent="0.3">
      <c r="A909" s="1">
        <v>45106</v>
      </c>
      <c r="B909" t="s">
        <v>694</v>
      </c>
      <c r="C909" t="s">
        <v>101</v>
      </c>
      <c r="D909" t="s">
        <v>16</v>
      </c>
      <c r="E909" t="s">
        <v>67</v>
      </c>
      <c r="F909">
        <v>6</v>
      </c>
      <c r="G909">
        <v>249.3</v>
      </c>
      <c r="H909" t="s">
        <v>28</v>
      </c>
      <c r="I909" t="s">
        <v>1514</v>
      </c>
      <c r="J909" t="s">
        <v>38</v>
      </c>
      <c r="K909" t="s">
        <v>45</v>
      </c>
      <c r="L909" t="s">
        <v>39</v>
      </c>
      <c r="M909" t="s">
        <v>32</v>
      </c>
      <c r="N909">
        <f>Sheet1[[#This Row],[Quantity]]*Sheet1[[#This Row],[UnitPrice]]</f>
        <v>1495.8000000000002</v>
      </c>
    </row>
    <row r="910" spans="1:14" x14ac:dyDescent="0.3">
      <c r="A910" s="1">
        <v>45193</v>
      </c>
      <c r="B910" t="s">
        <v>908</v>
      </c>
      <c r="C910" t="s">
        <v>56</v>
      </c>
      <c r="D910" t="s">
        <v>16</v>
      </c>
      <c r="E910" t="s">
        <v>27</v>
      </c>
      <c r="F910">
        <v>10</v>
      </c>
      <c r="G910">
        <v>42.45</v>
      </c>
      <c r="H910" t="s">
        <v>68</v>
      </c>
      <c r="I910" t="s">
        <v>1515</v>
      </c>
      <c r="J910" t="s">
        <v>30</v>
      </c>
      <c r="K910" t="s">
        <v>21</v>
      </c>
      <c r="L910" t="s">
        <v>22</v>
      </c>
      <c r="M910" t="s">
        <v>61</v>
      </c>
      <c r="N910">
        <f>Sheet1[[#This Row],[Quantity]]*Sheet1[[#This Row],[UnitPrice]]</f>
        <v>424.5</v>
      </c>
    </row>
    <row r="911" spans="1:14" x14ac:dyDescent="0.3">
      <c r="A911" s="1">
        <v>44940</v>
      </c>
      <c r="B911" t="s">
        <v>486</v>
      </c>
      <c r="C911" t="s">
        <v>63</v>
      </c>
      <c r="D911" t="s">
        <v>47</v>
      </c>
      <c r="E911" t="s">
        <v>52</v>
      </c>
      <c r="F911">
        <v>6</v>
      </c>
      <c r="G911">
        <v>152.63</v>
      </c>
      <c r="H911" t="s">
        <v>28</v>
      </c>
      <c r="I911" t="s">
        <v>1516</v>
      </c>
      <c r="J911" t="s">
        <v>20</v>
      </c>
      <c r="K911" t="s">
        <v>45</v>
      </c>
      <c r="L911" t="s">
        <v>60</v>
      </c>
      <c r="M911" t="s">
        <v>23</v>
      </c>
      <c r="N911">
        <f>Sheet1[[#This Row],[Quantity]]*Sheet1[[#This Row],[UnitPrice]]</f>
        <v>915.78</v>
      </c>
    </row>
    <row r="912" spans="1:14" x14ac:dyDescent="0.3">
      <c r="A912" s="1">
        <v>45593</v>
      </c>
      <c r="B912" t="s">
        <v>254</v>
      </c>
      <c r="C912" t="s">
        <v>63</v>
      </c>
      <c r="D912" t="s">
        <v>16</v>
      </c>
      <c r="E912" t="s">
        <v>52</v>
      </c>
      <c r="F912">
        <v>5</v>
      </c>
      <c r="G912">
        <v>91.27</v>
      </c>
      <c r="H912" t="s">
        <v>18</v>
      </c>
      <c r="I912" t="s">
        <v>1517</v>
      </c>
      <c r="J912" t="s">
        <v>20</v>
      </c>
      <c r="K912" t="s">
        <v>59</v>
      </c>
      <c r="L912" t="s">
        <v>22</v>
      </c>
      <c r="M912" t="s">
        <v>49</v>
      </c>
      <c r="N912">
        <f>Sheet1[[#This Row],[Quantity]]*Sheet1[[#This Row],[UnitPrice]]</f>
        <v>456.34999999999997</v>
      </c>
    </row>
    <row r="913" spans="1:14" x14ac:dyDescent="0.3">
      <c r="A913" s="1">
        <v>45439</v>
      </c>
      <c r="B913" t="s">
        <v>1518</v>
      </c>
      <c r="C913" t="s">
        <v>73</v>
      </c>
      <c r="D913" t="s">
        <v>26</v>
      </c>
      <c r="E913" t="s">
        <v>35</v>
      </c>
      <c r="F913">
        <v>5</v>
      </c>
      <c r="G913">
        <v>155.88</v>
      </c>
      <c r="H913" t="s">
        <v>68</v>
      </c>
      <c r="I913" t="s">
        <v>1519</v>
      </c>
      <c r="J913" t="s">
        <v>30</v>
      </c>
      <c r="K913" t="s">
        <v>59</v>
      </c>
      <c r="L913" t="s">
        <v>39</v>
      </c>
      <c r="M913" t="s">
        <v>49</v>
      </c>
      <c r="N913">
        <f>Sheet1[[#This Row],[Quantity]]*Sheet1[[#This Row],[UnitPrice]]</f>
        <v>779.4</v>
      </c>
    </row>
    <row r="914" spans="1:14" x14ac:dyDescent="0.3">
      <c r="A914" s="1">
        <v>45170</v>
      </c>
      <c r="B914" t="s">
        <v>925</v>
      </c>
      <c r="C914" t="s">
        <v>15</v>
      </c>
      <c r="D914" t="s">
        <v>47</v>
      </c>
      <c r="E914" t="s">
        <v>17</v>
      </c>
      <c r="F914">
        <v>3</v>
      </c>
      <c r="G914">
        <v>167.77</v>
      </c>
      <c r="H914" t="s">
        <v>18</v>
      </c>
      <c r="I914" t="s">
        <v>1520</v>
      </c>
      <c r="J914" t="s">
        <v>44</v>
      </c>
      <c r="K914" t="s">
        <v>21</v>
      </c>
      <c r="L914" t="s">
        <v>39</v>
      </c>
      <c r="M914" t="s">
        <v>40</v>
      </c>
      <c r="N914">
        <f>Sheet1[[#This Row],[Quantity]]*Sheet1[[#This Row],[UnitPrice]]</f>
        <v>503.31000000000006</v>
      </c>
    </row>
    <row r="915" spans="1:14" x14ac:dyDescent="0.3">
      <c r="A915" s="1">
        <v>45670</v>
      </c>
      <c r="B915" t="s">
        <v>871</v>
      </c>
      <c r="C915" t="s">
        <v>63</v>
      </c>
      <c r="D915" t="s">
        <v>47</v>
      </c>
      <c r="E915" t="s">
        <v>17</v>
      </c>
      <c r="F915">
        <v>3</v>
      </c>
      <c r="G915">
        <v>389.45</v>
      </c>
      <c r="H915" t="s">
        <v>28</v>
      </c>
      <c r="I915" t="s">
        <v>1521</v>
      </c>
      <c r="J915" t="s">
        <v>38</v>
      </c>
      <c r="K915" t="s">
        <v>21</v>
      </c>
      <c r="L915" t="s">
        <v>39</v>
      </c>
      <c r="M915" t="s">
        <v>49</v>
      </c>
      <c r="N915">
        <f>Sheet1[[#This Row],[Quantity]]*Sheet1[[#This Row],[UnitPrice]]</f>
        <v>1168.3499999999999</v>
      </c>
    </row>
    <row r="916" spans="1:14" x14ac:dyDescent="0.3">
      <c r="A916" s="1">
        <v>45523</v>
      </c>
      <c r="B916" t="s">
        <v>117</v>
      </c>
      <c r="C916" t="s">
        <v>51</v>
      </c>
      <c r="D916" t="s">
        <v>26</v>
      </c>
      <c r="E916" t="s">
        <v>52</v>
      </c>
      <c r="F916">
        <v>1</v>
      </c>
      <c r="G916">
        <v>113.57</v>
      </c>
      <c r="H916" t="s">
        <v>28</v>
      </c>
      <c r="I916" t="s">
        <v>1522</v>
      </c>
      <c r="J916" t="s">
        <v>58</v>
      </c>
      <c r="K916" t="s">
        <v>59</v>
      </c>
      <c r="L916" t="s">
        <v>22</v>
      </c>
      <c r="M916" t="s">
        <v>49</v>
      </c>
      <c r="N916">
        <f>Sheet1[[#This Row],[Quantity]]*Sheet1[[#This Row],[UnitPrice]]</f>
        <v>113.57</v>
      </c>
    </row>
    <row r="917" spans="1:14" x14ac:dyDescent="0.3">
      <c r="A917" s="1">
        <v>45631</v>
      </c>
      <c r="B917" t="s">
        <v>446</v>
      </c>
      <c r="C917" t="s">
        <v>15</v>
      </c>
      <c r="D917" t="s">
        <v>16</v>
      </c>
      <c r="E917" t="s">
        <v>64</v>
      </c>
      <c r="F917">
        <v>1</v>
      </c>
      <c r="G917">
        <v>11.97</v>
      </c>
      <c r="H917" t="s">
        <v>28</v>
      </c>
      <c r="I917" t="s">
        <v>1523</v>
      </c>
      <c r="J917" t="s">
        <v>20</v>
      </c>
      <c r="K917" t="s">
        <v>59</v>
      </c>
      <c r="L917" t="s">
        <v>22</v>
      </c>
      <c r="M917" t="s">
        <v>32</v>
      </c>
      <c r="N917">
        <f>Sheet1[[#This Row],[Quantity]]*Sheet1[[#This Row],[UnitPrice]]</f>
        <v>11.97</v>
      </c>
    </row>
    <row r="918" spans="1:14" x14ac:dyDescent="0.3">
      <c r="A918" s="1">
        <v>45519</v>
      </c>
      <c r="B918" t="s">
        <v>1524</v>
      </c>
      <c r="C918" t="s">
        <v>78</v>
      </c>
      <c r="D918" t="s">
        <v>74</v>
      </c>
      <c r="E918" t="s">
        <v>27</v>
      </c>
      <c r="F918">
        <v>2</v>
      </c>
      <c r="G918">
        <v>389.92</v>
      </c>
      <c r="H918" t="s">
        <v>36</v>
      </c>
      <c r="I918" t="s">
        <v>1525</v>
      </c>
      <c r="J918" t="s">
        <v>20</v>
      </c>
      <c r="K918" t="s">
        <v>21</v>
      </c>
      <c r="L918" t="s">
        <v>60</v>
      </c>
      <c r="M918" t="s">
        <v>32</v>
      </c>
      <c r="N918">
        <f>Sheet1[[#This Row],[Quantity]]*Sheet1[[#This Row],[UnitPrice]]</f>
        <v>779.84</v>
      </c>
    </row>
    <row r="919" spans="1:14" x14ac:dyDescent="0.3">
      <c r="A919" s="1">
        <v>45635</v>
      </c>
      <c r="B919" t="s">
        <v>471</v>
      </c>
      <c r="C919" t="s">
        <v>34</v>
      </c>
      <c r="D919" t="s">
        <v>16</v>
      </c>
      <c r="E919" t="s">
        <v>27</v>
      </c>
      <c r="F919">
        <v>10</v>
      </c>
      <c r="G919">
        <v>301.79000000000002</v>
      </c>
      <c r="H919" t="s">
        <v>68</v>
      </c>
      <c r="I919" t="s">
        <v>1526</v>
      </c>
      <c r="J919" t="s">
        <v>30</v>
      </c>
      <c r="K919" t="s">
        <v>45</v>
      </c>
      <c r="L919" t="s">
        <v>39</v>
      </c>
      <c r="M919" t="s">
        <v>49</v>
      </c>
      <c r="N919">
        <f>Sheet1[[#This Row],[Quantity]]*Sheet1[[#This Row],[UnitPrice]]</f>
        <v>3017.9</v>
      </c>
    </row>
    <row r="920" spans="1:14" x14ac:dyDescent="0.3">
      <c r="A920" s="1">
        <v>45238</v>
      </c>
      <c r="B920" t="s">
        <v>1100</v>
      </c>
      <c r="C920" t="s">
        <v>90</v>
      </c>
      <c r="D920" t="s">
        <v>74</v>
      </c>
      <c r="E920" t="s">
        <v>42</v>
      </c>
      <c r="F920">
        <v>3</v>
      </c>
      <c r="G920">
        <v>140.91</v>
      </c>
      <c r="H920" t="s">
        <v>18</v>
      </c>
      <c r="I920" t="s">
        <v>1527</v>
      </c>
      <c r="J920" t="s">
        <v>30</v>
      </c>
      <c r="K920" t="s">
        <v>59</v>
      </c>
      <c r="L920" t="s">
        <v>22</v>
      </c>
      <c r="M920" t="s">
        <v>76</v>
      </c>
      <c r="N920">
        <f>Sheet1[[#This Row],[Quantity]]*Sheet1[[#This Row],[UnitPrice]]</f>
        <v>422.73</v>
      </c>
    </row>
    <row r="921" spans="1:14" x14ac:dyDescent="0.3">
      <c r="A921" s="1">
        <v>45720</v>
      </c>
      <c r="B921" t="s">
        <v>242</v>
      </c>
      <c r="C921" t="s">
        <v>63</v>
      </c>
      <c r="D921" t="s">
        <v>26</v>
      </c>
      <c r="E921" t="s">
        <v>64</v>
      </c>
      <c r="F921">
        <v>4</v>
      </c>
      <c r="G921">
        <v>384.08</v>
      </c>
      <c r="H921" t="s">
        <v>36</v>
      </c>
      <c r="I921" t="s">
        <v>1528</v>
      </c>
      <c r="J921" t="s">
        <v>38</v>
      </c>
      <c r="K921" t="s">
        <v>21</v>
      </c>
      <c r="L921" t="s">
        <v>39</v>
      </c>
      <c r="M921" t="s">
        <v>84</v>
      </c>
      <c r="N921">
        <f>Sheet1[[#This Row],[Quantity]]*Sheet1[[#This Row],[UnitPrice]]</f>
        <v>1536.32</v>
      </c>
    </row>
    <row r="922" spans="1:14" x14ac:dyDescent="0.3">
      <c r="A922" s="1">
        <v>45092</v>
      </c>
      <c r="B922" t="s">
        <v>1315</v>
      </c>
      <c r="C922" t="s">
        <v>101</v>
      </c>
      <c r="D922" t="s">
        <v>47</v>
      </c>
      <c r="E922" t="s">
        <v>17</v>
      </c>
      <c r="F922">
        <v>6</v>
      </c>
      <c r="G922">
        <v>199.51</v>
      </c>
      <c r="H922" t="s">
        <v>18</v>
      </c>
      <c r="I922" t="s">
        <v>1529</v>
      </c>
      <c r="J922" t="s">
        <v>30</v>
      </c>
      <c r="K922" t="s">
        <v>59</v>
      </c>
      <c r="L922" t="s">
        <v>39</v>
      </c>
      <c r="M922" t="s">
        <v>32</v>
      </c>
      <c r="N922">
        <f>Sheet1[[#This Row],[Quantity]]*Sheet1[[#This Row],[UnitPrice]]</f>
        <v>1197.06</v>
      </c>
    </row>
    <row r="923" spans="1:14" x14ac:dyDescent="0.3">
      <c r="A923" s="1">
        <v>45351</v>
      </c>
      <c r="B923" t="s">
        <v>1530</v>
      </c>
      <c r="C923" t="s">
        <v>101</v>
      </c>
      <c r="D923" t="s">
        <v>47</v>
      </c>
      <c r="E923" t="s">
        <v>42</v>
      </c>
      <c r="F923">
        <v>3</v>
      </c>
      <c r="G923">
        <v>246.73</v>
      </c>
      <c r="H923" t="s">
        <v>53</v>
      </c>
      <c r="I923" t="s">
        <v>1531</v>
      </c>
      <c r="J923" t="s">
        <v>30</v>
      </c>
      <c r="K923" t="s">
        <v>45</v>
      </c>
      <c r="L923" t="s">
        <v>22</v>
      </c>
      <c r="M923" t="s">
        <v>32</v>
      </c>
      <c r="N923">
        <f>Sheet1[[#This Row],[Quantity]]*Sheet1[[#This Row],[UnitPrice]]</f>
        <v>740.18999999999994</v>
      </c>
    </row>
    <row r="924" spans="1:14" x14ac:dyDescent="0.3">
      <c r="A924" s="1">
        <v>44941</v>
      </c>
      <c r="B924" t="s">
        <v>1532</v>
      </c>
      <c r="C924" t="s">
        <v>56</v>
      </c>
      <c r="D924" t="s">
        <v>26</v>
      </c>
      <c r="E924" t="s">
        <v>42</v>
      </c>
      <c r="F924">
        <v>6</v>
      </c>
      <c r="G924">
        <v>172.81</v>
      </c>
      <c r="H924" t="s">
        <v>36</v>
      </c>
      <c r="I924" t="s">
        <v>1533</v>
      </c>
      <c r="J924" t="s">
        <v>30</v>
      </c>
      <c r="K924" t="s">
        <v>21</v>
      </c>
      <c r="L924" t="s">
        <v>22</v>
      </c>
      <c r="M924" t="s">
        <v>61</v>
      </c>
      <c r="N924">
        <f>Sheet1[[#This Row],[Quantity]]*Sheet1[[#This Row],[UnitPrice]]</f>
        <v>1036.8600000000001</v>
      </c>
    </row>
    <row r="925" spans="1:14" x14ac:dyDescent="0.3">
      <c r="A925" s="1">
        <v>45009</v>
      </c>
      <c r="B925" t="s">
        <v>516</v>
      </c>
      <c r="C925" t="s">
        <v>34</v>
      </c>
      <c r="D925" t="s">
        <v>16</v>
      </c>
      <c r="E925" t="s">
        <v>42</v>
      </c>
      <c r="F925">
        <v>4</v>
      </c>
      <c r="G925">
        <v>393</v>
      </c>
      <c r="H925" t="s">
        <v>68</v>
      </c>
      <c r="I925" t="s">
        <v>1534</v>
      </c>
      <c r="J925" t="s">
        <v>44</v>
      </c>
      <c r="K925" t="s">
        <v>31</v>
      </c>
      <c r="L925" t="s">
        <v>60</v>
      </c>
      <c r="M925" t="s">
        <v>40</v>
      </c>
      <c r="N925">
        <f>Sheet1[[#This Row],[Quantity]]*Sheet1[[#This Row],[UnitPrice]]</f>
        <v>1572</v>
      </c>
    </row>
    <row r="926" spans="1:14" x14ac:dyDescent="0.3">
      <c r="A926" s="1">
        <v>45198</v>
      </c>
      <c r="B926" t="s">
        <v>1535</v>
      </c>
      <c r="C926" t="s">
        <v>15</v>
      </c>
      <c r="D926" t="s">
        <v>26</v>
      </c>
      <c r="E926" t="s">
        <v>27</v>
      </c>
      <c r="F926">
        <v>10</v>
      </c>
      <c r="G926">
        <v>223.88</v>
      </c>
      <c r="H926" t="s">
        <v>68</v>
      </c>
      <c r="I926" t="s">
        <v>1536</v>
      </c>
      <c r="J926" t="s">
        <v>30</v>
      </c>
      <c r="K926" t="s">
        <v>59</v>
      </c>
      <c r="L926" t="s">
        <v>22</v>
      </c>
      <c r="M926" t="s">
        <v>40</v>
      </c>
      <c r="N926">
        <f>Sheet1[[#This Row],[Quantity]]*Sheet1[[#This Row],[UnitPrice]]</f>
        <v>2238.8000000000002</v>
      </c>
    </row>
    <row r="927" spans="1:14" x14ac:dyDescent="0.3">
      <c r="A927" s="1">
        <v>44971</v>
      </c>
      <c r="B927" t="s">
        <v>561</v>
      </c>
      <c r="C927" t="s">
        <v>63</v>
      </c>
      <c r="D927" t="s">
        <v>16</v>
      </c>
      <c r="E927" t="s">
        <v>35</v>
      </c>
      <c r="F927">
        <v>2</v>
      </c>
      <c r="G927">
        <v>144.82</v>
      </c>
      <c r="H927" t="s">
        <v>18</v>
      </c>
      <c r="I927" t="s">
        <v>1537</v>
      </c>
      <c r="J927" t="s">
        <v>20</v>
      </c>
      <c r="K927" t="s">
        <v>59</v>
      </c>
      <c r="L927" t="s">
        <v>22</v>
      </c>
      <c r="M927" t="s">
        <v>84</v>
      </c>
      <c r="N927">
        <f>Sheet1[[#This Row],[Quantity]]*Sheet1[[#This Row],[UnitPrice]]</f>
        <v>289.64</v>
      </c>
    </row>
    <row r="928" spans="1:14" x14ac:dyDescent="0.3">
      <c r="A928" s="1">
        <v>45729</v>
      </c>
      <c r="B928" t="s">
        <v>140</v>
      </c>
      <c r="C928" t="s">
        <v>101</v>
      </c>
      <c r="D928" t="s">
        <v>47</v>
      </c>
      <c r="E928" t="s">
        <v>64</v>
      </c>
      <c r="F928">
        <v>7</v>
      </c>
      <c r="G928">
        <v>97.22</v>
      </c>
      <c r="H928" t="s">
        <v>53</v>
      </c>
      <c r="I928" t="s">
        <v>1538</v>
      </c>
      <c r="J928" t="s">
        <v>44</v>
      </c>
      <c r="K928" t="s">
        <v>21</v>
      </c>
      <c r="L928" t="s">
        <v>22</v>
      </c>
      <c r="M928" t="s">
        <v>32</v>
      </c>
      <c r="N928">
        <f>Sheet1[[#This Row],[Quantity]]*Sheet1[[#This Row],[UnitPrice]]</f>
        <v>680.54</v>
      </c>
    </row>
    <row r="929" spans="1:14" x14ac:dyDescent="0.3">
      <c r="A929" s="1">
        <v>45244</v>
      </c>
      <c r="B929" t="s">
        <v>194</v>
      </c>
      <c r="C929" t="s">
        <v>51</v>
      </c>
      <c r="D929" t="s">
        <v>26</v>
      </c>
      <c r="E929" t="s">
        <v>35</v>
      </c>
      <c r="F929">
        <v>3</v>
      </c>
      <c r="G929">
        <v>276.7</v>
      </c>
      <c r="H929" t="s">
        <v>28</v>
      </c>
      <c r="I929" t="s">
        <v>1539</v>
      </c>
      <c r="J929" t="s">
        <v>58</v>
      </c>
      <c r="K929" t="s">
        <v>59</v>
      </c>
      <c r="L929" t="s">
        <v>39</v>
      </c>
      <c r="M929" t="s">
        <v>84</v>
      </c>
      <c r="N929">
        <f>Sheet1[[#This Row],[Quantity]]*Sheet1[[#This Row],[UnitPrice]]</f>
        <v>830.09999999999991</v>
      </c>
    </row>
    <row r="930" spans="1:14" x14ac:dyDescent="0.3">
      <c r="A930" s="1">
        <v>45337</v>
      </c>
      <c r="B930" t="s">
        <v>1540</v>
      </c>
      <c r="C930" t="s">
        <v>25</v>
      </c>
      <c r="D930" t="s">
        <v>74</v>
      </c>
      <c r="E930" t="s">
        <v>42</v>
      </c>
      <c r="F930">
        <v>7</v>
      </c>
      <c r="G930">
        <v>192.28</v>
      </c>
      <c r="H930" t="s">
        <v>53</v>
      </c>
      <c r="I930" t="s">
        <v>1541</v>
      </c>
      <c r="J930" t="s">
        <v>38</v>
      </c>
      <c r="K930" t="s">
        <v>59</v>
      </c>
      <c r="L930" t="s">
        <v>39</v>
      </c>
      <c r="M930" t="s">
        <v>32</v>
      </c>
      <c r="N930">
        <f>Sheet1[[#This Row],[Quantity]]*Sheet1[[#This Row],[UnitPrice]]</f>
        <v>1345.96</v>
      </c>
    </row>
    <row r="931" spans="1:14" x14ac:dyDescent="0.3">
      <c r="A931" s="1">
        <v>45668</v>
      </c>
      <c r="B931" t="s">
        <v>127</v>
      </c>
      <c r="C931" t="s">
        <v>90</v>
      </c>
      <c r="D931" t="s">
        <v>74</v>
      </c>
      <c r="E931" t="s">
        <v>17</v>
      </c>
      <c r="F931">
        <v>7</v>
      </c>
      <c r="G931">
        <v>123.1</v>
      </c>
      <c r="H931" t="s">
        <v>28</v>
      </c>
      <c r="I931" t="s">
        <v>1542</v>
      </c>
      <c r="J931" t="s">
        <v>58</v>
      </c>
      <c r="K931" t="s">
        <v>31</v>
      </c>
      <c r="L931" t="s">
        <v>39</v>
      </c>
      <c r="M931" t="s">
        <v>23</v>
      </c>
      <c r="N931">
        <f>Sheet1[[#This Row],[Quantity]]*Sheet1[[#This Row],[UnitPrice]]</f>
        <v>861.69999999999993</v>
      </c>
    </row>
    <row r="932" spans="1:14" x14ac:dyDescent="0.3">
      <c r="A932" s="1">
        <v>45349</v>
      </c>
      <c r="B932" t="s">
        <v>1460</v>
      </c>
      <c r="C932" t="s">
        <v>101</v>
      </c>
      <c r="D932" t="s">
        <v>74</v>
      </c>
      <c r="E932" t="s">
        <v>27</v>
      </c>
      <c r="F932">
        <v>3</v>
      </c>
      <c r="G932">
        <v>339.25</v>
      </c>
      <c r="H932" t="s">
        <v>36</v>
      </c>
      <c r="I932" t="s">
        <v>1543</v>
      </c>
      <c r="J932" t="s">
        <v>44</v>
      </c>
      <c r="K932" t="s">
        <v>31</v>
      </c>
      <c r="L932" t="s">
        <v>60</v>
      </c>
      <c r="M932" t="s">
        <v>84</v>
      </c>
      <c r="N932">
        <f>Sheet1[[#This Row],[Quantity]]*Sheet1[[#This Row],[UnitPrice]]</f>
        <v>1017.75</v>
      </c>
    </row>
    <row r="933" spans="1:14" x14ac:dyDescent="0.3">
      <c r="A933" s="1">
        <v>45369</v>
      </c>
      <c r="B933" t="s">
        <v>373</v>
      </c>
      <c r="C933" t="s">
        <v>34</v>
      </c>
      <c r="D933" t="s">
        <v>16</v>
      </c>
      <c r="E933" t="s">
        <v>64</v>
      </c>
      <c r="F933">
        <v>5</v>
      </c>
      <c r="G933">
        <v>329.67</v>
      </c>
      <c r="H933" t="s">
        <v>53</v>
      </c>
      <c r="I933" t="s">
        <v>1544</v>
      </c>
      <c r="J933" t="s">
        <v>30</v>
      </c>
      <c r="K933" t="s">
        <v>21</v>
      </c>
      <c r="L933" t="s">
        <v>39</v>
      </c>
      <c r="M933" t="s">
        <v>49</v>
      </c>
      <c r="N933">
        <f>Sheet1[[#This Row],[Quantity]]*Sheet1[[#This Row],[UnitPrice]]</f>
        <v>1648.3500000000001</v>
      </c>
    </row>
    <row r="934" spans="1:14" x14ac:dyDescent="0.3">
      <c r="A934" s="1">
        <v>45491</v>
      </c>
      <c r="B934" t="s">
        <v>603</v>
      </c>
      <c r="C934" t="s">
        <v>78</v>
      </c>
      <c r="D934" t="s">
        <v>47</v>
      </c>
      <c r="E934" t="s">
        <v>64</v>
      </c>
      <c r="F934">
        <v>2</v>
      </c>
      <c r="G934">
        <v>85.7</v>
      </c>
      <c r="H934" t="s">
        <v>28</v>
      </c>
      <c r="I934" t="s">
        <v>1545</v>
      </c>
      <c r="J934" t="s">
        <v>30</v>
      </c>
      <c r="K934" t="s">
        <v>21</v>
      </c>
      <c r="L934" t="s">
        <v>39</v>
      </c>
      <c r="M934" t="s">
        <v>32</v>
      </c>
      <c r="N934">
        <f>Sheet1[[#This Row],[Quantity]]*Sheet1[[#This Row],[UnitPrice]]</f>
        <v>171.4</v>
      </c>
    </row>
    <row r="935" spans="1:14" x14ac:dyDescent="0.3">
      <c r="A935" s="1">
        <v>44949</v>
      </c>
      <c r="B935" t="s">
        <v>475</v>
      </c>
      <c r="C935" t="s">
        <v>63</v>
      </c>
      <c r="D935" t="s">
        <v>47</v>
      </c>
      <c r="E935" t="s">
        <v>64</v>
      </c>
      <c r="F935">
        <v>8</v>
      </c>
      <c r="G935">
        <v>81.87</v>
      </c>
      <c r="H935" t="s">
        <v>53</v>
      </c>
      <c r="I935" t="s">
        <v>1546</v>
      </c>
      <c r="J935" t="s">
        <v>58</v>
      </c>
      <c r="K935" t="s">
        <v>31</v>
      </c>
      <c r="L935" t="s">
        <v>39</v>
      </c>
      <c r="M935" t="s">
        <v>49</v>
      </c>
      <c r="N935">
        <f>Sheet1[[#This Row],[Quantity]]*Sheet1[[#This Row],[UnitPrice]]</f>
        <v>654.96</v>
      </c>
    </row>
    <row r="936" spans="1:14" x14ac:dyDescent="0.3">
      <c r="A936" s="1">
        <v>45348</v>
      </c>
      <c r="B936" t="s">
        <v>1547</v>
      </c>
      <c r="C936" t="s">
        <v>25</v>
      </c>
      <c r="D936" t="s">
        <v>47</v>
      </c>
      <c r="E936" t="s">
        <v>52</v>
      </c>
      <c r="F936">
        <v>1</v>
      </c>
      <c r="G936">
        <v>20.69</v>
      </c>
      <c r="H936" t="s">
        <v>68</v>
      </c>
      <c r="I936" t="s">
        <v>1548</v>
      </c>
      <c r="J936" t="s">
        <v>38</v>
      </c>
      <c r="K936" t="s">
        <v>59</v>
      </c>
      <c r="L936" t="s">
        <v>22</v>
      </c>
      <c r="M936" t="s">
        <v>49</v>
      </c>
      <c r="N936">
        <f>Sheet1[[#This Row],[Quantity]]*Sheet1[[#This Row],[UnitPrice]]</f>
        <v>20.69</v>
      </c>
    </row>
    <row r="937" spans="1:14" x14ac:dyDescent="0.3">
      <c r="A937" s="1">
        <v>45148</v>
      </c>
      <c r="B937" t="s">
        <v>541</v>
      </c>
      <c r="C937" t="s">
        <v>78</v>
      </c>
      <c r="D937" t="s">
        <v>16</v>
      </c>
      <c r="E937" t="s">
        <v>64</v>
      </c>
      <c r="F937">
        <v>2</v>
      </c>
      <c r="G937">
        <v>82.94</v>
      </c>
      <c r="H937" t="s">
        <v>36</v>
      </c>
      <c r="I937" t="s">
        <v>1549</v>
      </c>
      <c r="J937" t="s">
        <v>38</v>
      </c>
      <c r="K937" t="s">
        <v>21</v>
      </c>
      <c r="L937" t="s">
        <v>22</v>
      </c>
      <c r="M937" t="s">
        <v>32</v>
      </c>
      <c r="N937">
        <f>Sheet1[[#This Row],[Quantity]]*Sheet1[[#This Row],[UnitPrice]]</f>
        <v>165.88</v>
      </c>
    </row>
    <row r="938" spans="1:14" x14ac:dyDescent="0.3">
      <c r="A938" s="1">
        <v>45761</v>
      </c>
      <c r="B938" t="s">
        <v>1550</v>
      </c>
      <c r="C938" t="s">
        <v>51</v>
      </c>
      <c r="D938" t="s">
        <v>47</v>
      </c>
      <c r="E938" t="s">
        <v>52</v>
      </c>
      <c r="F938">
        <v>8</v>
      </c>
      <c r="G938">
        <v>25.34</v>
      </c>
      <c r="H938" t="s">
        <v>53</v>
      </c>
      <c r="I938" t="s">
        <v>1551</v>
      </c>
      <c r="J938" t="s">
        <v>58</v>
      </c>
      <c r="K938" t="s">
        <v>45</v>
      </c>
      <c r="L938" t="s">
        <v>22</v>
      </c>
      <c r="M938" t="s">
        <v>49</v>
      </c>
      <c r="N938">
        <f>Sheet1[[#This Row],[Quantity]]*Sheet1[[#This Row],[UnitPrice]]</f>
        <v>202.72</v>
      </c>
    </row>
    <row r="939" spans="1:14" x14ac:dyDescent="0.3">
      <c r="A939" s="1">
        <v>45505</v>
      </c>
      <c r="B939" t="s">
        <v>519</v>
      </c>
      <c r="C939" t="s">
        <v>78</v>
      </c>
      <c r="D939" t="s">
        <v>47</v>
      </c>
      <c r="E939" t="s">
        <v>35</v>
      </c>
      <c r="F939">
        <v>7</v>
      </c>
      <c r="G939">
        <v>47.17</v>
      </c>
      <c r="H939" t="s">
        <v>36</v>
      </c>
      <c r="I939" t="s">
        <v>1552</v>
      </c>
      <c r="J939" t="s">
        <v>44</v>
      </c>
      <c r="K939" t="s">
        <v>45</v>
      </c>
      <c r="L939" t="s">
        <v>22</v>
      </c>
      <c r="M939" t="s">
        <v>32</v>
      </c>
      <c r="N939">
        <f>Sheet1[[#This Row],[Quantity]]*Sheet1[[#This Row],[UnitPrice]]</f>
        <v>330.19</v>
      </c>
    </row>
    <row r="940" spans="1:14" x14ac:dyDescent="0.3">
      <c r="A940" s="1">
        <v>45465</v>
      </c>
      <c r="B940" t="s">
        <v>379</v>
      </c>
      <c r="C940" t="s">
        <v>90</v>
      </c>
      <c r="D940" t="s">
        <v>47</v>
      </c>
      <c r="E940" t="s">
        <v>27</v>
      </c>
      <c r="F940">
        <v>1</v>
      </c>
      <c r="G940">
        <v>154.27000000000001</v>
      </c>
      <c r="H940" t="s">
        <v>28</v>
      </c>
      <c r="I940" t="s">
        <v>1553</v>
      </c>
      <c r="J940" t="s">
        <v>20</v>
      </c>
      <c r="K940" t="s">
        <v>21</v>
      </c>
      <c r="L940" t="s">
        <v>60</v>
      </c>
      <c r="M940" t="s">
        <v>23</v>
      </c>
      <c r="N940">
        <f>Sheet1[[#This Row],[Quantity]]*Sheet1[[#This Row],[UnitPrice]]</f>
        <v>154.27000000000001</v>
      </c>
    </row>
    <row r="941" spans="1:14" x14ac:dyDescent="0.3">
      <c r="A941" s="1">
        <v>45514</v>
      </c>
      <c r="B941" t="s">
        <v>1554</v>
      </c>
      <c r="C941" t="s">
        <v>101</v>
      </c>
      <c r="D941" t="s">
        <v>74</v>
      </c>
      <c r="E941" t="s">
        <v>17</v>
      </c>
      <c r="F941">
        <v>1</v>
      </c>
      <c r="G941">
        <v>168.73</v>
      </c>
      <c r="H941" t="s">
        <v>36</v>
      </c>
      <c r="I941" t="s">
        <v>1555</v>
      </c>
      <c r="J941" t="s">
        <v>20</v>
      </c>
      <c r="K941" t="s">
        <v>59</v>
      </c>
      <c r="L941" t="s">
        <v>22</v>
      </c>
      <c r="M941" t="s">
        <v>23</v>
      </c>
      <c r="N941">
        <f>Sheet1[[#This Row],[Quantity]]*Sheet1[[#This Row],[UnitPrice]]</f>
        <v>168.73</v>
      </c>
    </row>
    <row r="942" spans="1:14" x14ac:dyDescent="0.3">
      <c r="A942" s="1">
        <v>45721</v>
      </c>
      <c r="B942" t="s">
        <v>496</v>
      </c>
      <c r="C942" t="s">
        <v>63</v>
      </c>
      <c r="D942" t="s">
        <v>47</v>
      </c>
      <c r="E942" t="s">
        <v>64</v>
      </c>
      <c r="F942">
        <v>9</v>
      </c>
      <c r="G942">
        <v>72.36</v>
      </c>
      <c r="H942" t="s">
        <v>53</v>
      </c>
      <c r="I942" t="s">
        <v>1556</v>
      </c>
      <c r="J942" t="s">
        <v>44</v>
      </c>
      <c r="K942" t="s">
        <v>59</v>
      </c>
      <c r="L942" t="s">
        <v>39</v>
      </c>
      <c r="M942" t="s">
        <v>76</v>
      </c>
      <c r="N942">
        <f>Sheet1[[#This Row],[Quantity]]*Sheet1[[#This Row],[UnitPrice]]</f>
        <v>651.24</v>
      </c>
    </row>
    <row r="943" spans="1:14" x14ac:dyDescent="0.3">
      <c r="A943" s="1">
        <v>45613</v>
      </c>
      <c r="B943" t="s">
        <v>1557</v>
      </c>
      <c r="C943" t="s">
        <v>25</v>
      </c>
      <c r="D943" t="s">
        <v>26</v>
      </c>
      <c r="E943" t="s">
        <v>67</v>
      </c>
      <c r="F943">
        <v>6</v>
      </c>
      <c r="G943">
        <v>314.56</v>
      </c>
      <c r="H943" t="s">
        <v>18</v>
      </c>
      <c r="I943" t="s">
        <v>1558</v>
      </c>
      <c r="J943" t="s">
        <v>20</v>
      </c>
      <c r="K943" t="s">
        <v>31</v>
      </c>
      <c r="L943" t="s">
        <v>22</v>
      </c>
      <c r="M943" t="s">
        <v>61</v>
      </c>
      <c r="N943">
        <f>Sheet1[[#This Row],[Quantity]]*Sheet1[[#This Row],[UnitPrice]]</f>
        <v>1887.3600000000001</v>
      </c>
    </row>
    <row r="944" spans="1:14" x14ac:dyDescent="0.3">
      <c r="A944" s="1">
        <v>45319</v>
      </c>
      <c r="B944" t="s">
        <v>811</v>
      </c>
      <c r="C944" t="s">
        <v>15</v>
      </c>
      <c r="D944" t="s">
        <v>47</v>
      </c>
      <c r="E944" t="s">
        <v>17</v>
      </c>
      <c r="F944">
        <v>7</v>
      </c>
      <c r="G944">
        <v>263.89999999999998</v>
      </c>
      <c r="H944" t="s">
        <v>68</v>
      </c>
      <c r="I944" t="s">
        <v>1559</v>
      </c>
      <c r="J944" t="s">
        <v>20</v>
      </c>
      <c r="K944" t="s">
        <v>45</v>
      </c>
      <c r="L944" t="s">
        <v>22</v>
      </c>
      <c r="M944" t="s">
        <v>61</v>
      </c>
      <c r="N944">
        <f>Sheet1[[#This Row],[Quantity]]*Sheet1[[#This Row],[UnitPrice]]</f>
        <v>1847.2999999999997</v>
      </c>
    </row>
    <row r="945" spans="1:14" x14ac:dyDescent="0.3">
      <c r="A945" s="1">
        <v>44972</v>
      </c>
      <c r="B945" t="s">
        <v>1560</v>
      </c>
      <c r="C945" t="s">
        <v>15</v>
      </c>
      <c r="D945" t="s">
        <v>26</v>
      </c>
      <c r="E945" t="s">
        <v>64</v>
      </c>
      <c r="F945">
        <v>10</v>
      </c>
      <c r="G945">
        <v>330.66</v>
      </c>
      <c r="H945" t="s">
        <v>18</v>
      </c>
      <c r="I945" t="s">
        <v>1561</v>
      </c>
      <c r="J945" t="s">
        <v>20</v>
      </c>
      <c r="K945" t="s">
        <v>45</v>
      </c>
      <c r="L945" t="s">
        <v>60</v>
      </c>
      <c r="M945" t="s">
        <v>76</v>
      </c>
      <c r="N945">
        <f>Sheet1[[#This Row],[Quantity]]*Sheet1[[#This Row],[UnitPrice]]</f>
        <v>3306.6000000000004</v>
      </c>
    </row>
    <row r="946" spans="1:14" x14ac:dyDescent="0.3">
      <c r="A946" s="1">
        <v>45563</v>
      </c>
      <c r="B946" t="s">
        <v>516</v>
      </c>
      <c r="C946" t="s">
        <v>90</v>
      </c>
      <c r="D946" t="s">
        <v>26</v>
      </c>
      <c r="E946" t="s">
        <v>64</v>
      </c>
      <c r="F946">
        <v>10</v>
      </c>
      <c r="G946">
        <v>60.63</v>
      </c>
      <c r="H946" t="s">
        <v>18</v>
      </c>
      <c r="I946" t="s">
        <v>1562</v>
      </c>
      <c r="J946" t="s">
        <v>20</v>
      </c>
      <c r="K946" t="s">
        <v>45</v>
      </c>
      <c r="L946" t="s">
        <v>60</v>
      </c>
      <c r="M946" t="s">
        <v>23</v>
      </c>
      <c r="N946">
        <f>Sheet1[[#This Row],[Quantity]]*Sheet1[[#This Row],[UnitPrice]]</f>
        <v>606.30000000000007</v>
      </c>
    </row>
    <row r="947" spans="1:14" x14ac:dyDescent="0.3">
      <c r="A947" s="1">
        <v>45265</v>
      </c>
      <c r="B947" t="s">
        <v>1159</v>
      </c>
      <c r="C947" t="s">
        <v>78</v>
      </c>
      <c r="D947" t="s">
        <v>26</v>
      </c>
      <c r="E947" t="s">
        <v>17</v>
      </c>
      <c r="F947">
        <v>4</v>
      </c>
      <c r="G947">
        <v>161.58000000000001</v>
      </c>
      <c r="H947" t="s">
        <v>68</v>
      </c>
      <c r="I947" t="s">
        <v>1563</v>
      </c>
      <c r="J947" t="s">
        <v>58</v>
      </c>
      <c r="K947" t="s">
        <v>45</v>
      </c>
      <c r="L947" t="s">
        <v>22</v>
      </c>
      <c r="M947" t="s">
        <v>84</v>
      </c>
      <c r="N947">
        <f>Sheet1[[#This Row],[Quantity]]*Sheet1[[#This Row],[UnitPrice]]</f>
        <v>646.32000000000005</v>
      </c>
    </row>
    <row r="948" spans="1:14" x14ac:dyDescent="0.3">
      <c r="A948" s="1">
        <v>45435</v>
      </c>
      <c r="B948" t="s">
        <v>1550</v>
      </c>
      <c r="C948" t="s">
        <v>101</v>
      </c>
      <c r="D948" t="s">
        <v>47</v>
      </c>
      <c r="E948" t="s">
        <v>67</v>
      </c>
      <c r="F948">
        <v>5</v>
      </c>
      <c r="G948">
        <v>40.39</v>
      </c>
      <c r="H948" t="s">
        <v>28</v>
      </c>
      <c r="I948" t="s">
        <v>1564</v>
      </c>
      <c r="J948" t="s">
        <v>58</v>
      </c>
      <c r="K948" t="s">
        <v>21</v>
      </c>
      <c r="L948" t="s">
        <v>22</v>
      </c>
      <c r="M948" t="s">
        <v>32</v>
      </c>
      <c r="N948">
        <f>Sheet1[[#This Row],[Quantity]]*Sheet1[[#This Row],[UnitPrice]]</f>
        <v>201.95</v>
      </c>
    </row>
    <row r="949" spans="1:14" x14ac:dyDescent="0.3">
      <c r="A949" s="1">
        <v>45353</v>
      </c>
      <c r="B949" t="s">
        <v>1565</v>
      </c>
      <c r="C949" t="s">
        <v>51</v>
      </c>
      <c r="D949" t="s">
        <v>74</v>
      </c>
      <c r="E949" t="s">
        <v>17</v>
      </c>
      <c r="F949">
        <v>8</v>
      </c>
      <c r="G949">
        <v>43.32</v>
      </c>
      <c r="H949" t="s">
        <v>53</v>
      </c>
      <c r="I949" t="s">
        <v>1566</v>
      </c>
      <c r="J949" t="s">
        <v>20</v>
      </c>
      <c r="K949" t="s">
        <v>59</v>
      </c>
      <c r="L949" t="s">
        <v>22</v>
      </c>
      <c r="M949" t="s">
        <v>23</v>
      </c>
      <c r="N949">
        <f>Sheet1[[#This Row],[Quantity]]*Sheet1[[#This Row],[UnitPrice]]</f>
        <v>346.56</v>
      </c>
    </row>
    <row r="950" spans="1:14" x14ac:dyDescent="0.3">
      <c r="A950" s="1">
        <v>45750</v>
      </c>
      <c r="B950" t="s">
        <v>100</v>
      </c>
      <c r="C950" t="s">
        <v>25</v>
      </c>
      <c r="D950" t="s">
        <v>26</v>
      </c>
      <c r="E950" t="s">
        <v>35</v>
      </c>
      <c r="F950">
        <v>5</v>
      </c>
      <c r="G950">
        <v>281.55</v>
      </c>
      <c r="H950" t="s">
        <v>28</v>
      </c>
      <c r="I950" t="s">
        <v>1567</v>
      </c>
      <c r="J950" t="s">
        <v>38</v>
      </c>
      <c r="K950" t="s">
        <v>31</v>
      </c>
      <c r="L950" t="s">
        <v>22</v>
      </c>
      <c r="M950" t="s">
        <v>32</v>
      </c>
      <c r="N950">
        <f>Sheet1[[#This Row],[Quantity]]*Sheet1[[#This Row],[UnitPrice]]</f>
        <v>1407.75</v>
      </c>
    </row>
    <row r="951" spans="1:14" x14ac:dyDescent="0.3">
      <c r="A951" s="1">
        <v>45463</v>
      </c>
      <c r="B951" t="s">
        <v>837</v>
      </c>
      <c r="C951" t="s">
        <v>25</v>
      </c>
      <c r="D951" t="s">
        <v>26</v>
      </c>
      <c r="E951" t="s">
        <v>35</v>
      </c>
      <c r="F951">
        <v>8</v>
      </c>
      <c r="G951">
        <v>12.14</v>
      </c>
      <c r="H951" t="s">
        <v>18</v>
      </c>
      <c r="I951" t="s">
        <v>1568</v>
      </c>
      <c r="J951" t="s">
        <v>30</v>
      </c>
      <c r="K951" t="s">
        <v>31</v>
      </c>
      <c r="L951" t="s">
        <v>60</v>
      </c>
      <c r="M951" t="s">
        <v>32</v>
      </c>
      <c r="N951">
        <f>Sheet1[[#This Row],[Quantity]]*Sheet1[[#This Row],[UnitPrice]]</f>
        <v>97.12</v>
      </c>
    </row>
    <row r="952" spans="1:14" x14ac:dyDescent="0.3">
      <c r="A952" s="1">
        <v>45696</v>
      </c>
      <c r="B952" t="s">
        <v>1569</v>
      </c>
      <c r="C952" t="s">
        <v>101</v>
      </c>
      <c r="D952" t="s">
        <v>74</v>
      </c>
      <c r="E952" t="s">
        <v>52</v>
      </c>
      <c r="F952">
        <v>3</v>
      </c>
      <c r="G952">
        <v>92.98</v>
      </c>
      <c r="H952" t="s">
        <v>68</v>
      </c>
      <c r="I952" t="s">
        <v>1570</v>
      </c>
      <c r="J952" t="s">
        <v>58</v>
      </c>
      <c r="K952" t="s">
        <v>21</v>
      </c>
      <c r="L952" t="s">
        <v>39</v>
      </c>
      <c r="M952" t="s">
        <v>23</v>
      </c>
      <c r="N952">
        <f>Sheet1[[#This Row],[Quantity]]*Sheet1[[#This Row],[UnitPrice]]</f>
        <v>278.94</v>
      </c>
    </row>
    <row r="953" spans="1:14" x14ac:dyDescent="0.3">
      <c r="A953" s="1">
        <v>45728</v>
      </c>
      <c r="B953" t="s">
        <v>444</v>
      </c>
      <c r="C953" t="s">
        <v>51</v>
      </c>
      <c r="D953" t="s">
        <v>47</v>
      </c>
      <c r="E953" t="s">
        <v>67</v>
      </c>
      <c r="F953">
        <v>1</v>
      </c>
      <c r="G953">
        <v>240.4</v>
      </c>
      <c r="H953" t="s">
        <v>28</v>
      </c>
      <c r="I953" t="s">
        <v>1571</v>
      </c>
      <c r="J953" t="s">
        <v>44</v>
      </c>
      <c r="K953" t="s">
        <v>45</v>
      </c>
      <c r="L953" t="s">
        <v>22</v>
      </c>
      <c r="M953" t="s">
        <v>76</v>
      </c>
      <c r="N953">
        <f>Sheet1[[#This Row],[Quantity]]*Sheet1[[#This Row],[UnitPrice]]</f>
        <v>240.4</v>
      </c>
    </row>
    <row r="954" spans="1:14" x14ac:dyDescent="0.3">
      <c r="A954" s="1">
        <v>45284</v>
      </c>
      <c r="B954" t="s">
        <v>1063</v>
      </c>
      <c r="C954" t="s">
        <v>101</v>
      </c>
      <c r="D954" t="s">
        <v>74</v>
      </c>
      <c r="E954" t="s">
        <v>17</v>
      </c>
      <c r="F954">
        <v>4</v>
      </c>
      <c r="G954">
        <v>397.6</v>
      </c>
      <c r="H954" t="s">
        <v>68</v>
      </c>
      <c r="I954" t="s">
        <v>1572</v>
      </c>
      <c r="J954" t="s">
        <v>30</v>
      </c>
      <c r="K954" t="s">
        <v>21</v>
      </c>
      <c r="L954" t="s">
        <v>39</v>
      </c>
      <c r="M954" t="s">
        <v>61</v>
      </c>
      <c r="N954">
        <f>Sheet1[[#This Row],[Quantity]]*Sheet1[[#This Row],[UnitPrice]]</f>
        <v>1590.4</v>
      </c>
    </row>
    <row r="955" spans="1:14" x14ac:dyDescent="0.3">
      <c r="A955" s="1">
        <v>45735</v>
      </c>
      <c r="B955" t="s">
        <v>799</v>
      </c>
      <c r="C955" t="s">
        <v>15</v>
      </c>
      <c r="D955" t="s">
        <v>26</v>
      </c>
      <c r="E955" t="s">
        <v>27</v>
      </c>
      <c r="F955">
        <v>2</v>
      </c>
      <c r="G955">
        <v>386.74</v>
      </c>
      <c r="H955" t="s">
        <v>53</v>
      </c>
      <c r="I955" t="s">
        <v>1573</v>
      </c>
      <c r="J955" t="s">
        <v>58</v>
      </c>
      <c r="K955" t="s">
        <v>31</v>
      </c>
      <c r="L955" t="s">
        <v>60</v>
      </c>
      <c r="M955" t="s">
        <v>76</v>
      </c>
      <c r="N955">
        <f>Sheet1[[#This Row],[Quantity]]*Sheet1[[#This Row],[UnitPrice]]</f>
        <v>773.48</v>
      </c>
    </row>
    <row r="956" spans="1:14" x14ac:dyDescent="0.3">
      <c r="A956" s="1">
        <v>45133</v>
      </c>
      <c r="B956" t="s">
        <v>1180</v>
      </c>
      <c r="C956" t="s">
        <v>56</v>
      </c>
      <c r="D956" t="s">
        <v>16</v>
      </c>
      <c r="E956" t="s">
        <v>35</v>
      </c>
      <c r="F956">
        <v>7</v>
      </c>
      <c r="G956">
        <v>131.63</v>
      </c>
      <c r="H956" t="s">
        <v>53</v>
      </c>
      <c r="I956" t="s">
        <v>1574</v>
      </c>
      <c r="J956" t="s">
        <v>44</v>
      </c>
      <c r="K956" t="s">
        <v>31</v>
      </c>
      <c r="L956" t="s">
        <v>39</v>
      </c>
      <c r="M956" t="s">
        <v>76</v>
      </c>
      <c r="N956">
        <f>Sheet1[[#This Row],[Quantity]]*Sheet1[[#This Row],[UnitPrice]]</f>
        <v>921.41</v>
      </c>
    </row>
    <row r="957" spans="1:14" x14ac:dyDescent="0.3">
      <c r="A957" s="1">
        <v>45103</v>
      </c>
      <c r="B957" t="s">
        <v>422</v>
      </c>
      <c r="C957" t="s">
        <v>63</v>
      </c>
      <c r="D957" t="s">
        <v>74</v>
      </c>
      <c r="E957" t="s">
        <v>35</v>
      </c>
      <c r="F957">
        <v>4</v>
      </c>
      <c r="G957">
        <v>139.81</v>
      </c>
      <c r="H957" t="s">
        <v>68</v>
      </c>
      <c r="I957" t="s">
        <v>1575</v>
      </c>
      <c r="J957" t="s">
        <v>20</v>
      </c>
      <c r="K957" t="s">
        <v>31</v>
      </c>
      <c r="L957" t="s">
        <v>39</v>
      </c>
      <c r="M957" t="s">
        <v>49</v>
      </c>
      <c r="N957">
        <f>Sheet1[[#This Row],[Quantity]]*Sheet1[[#This Row],[UnitPrice]]</f>
        <v>559.24</v>
      </c>
    </row>
    <row r="958" spans="1:14" x14ac:dyDescent="0.3">
      <c r="A958" s="1">
        <v>45243</v>
      </c>
      <c r="B958" t="s">
        <v>543</v>
      </c>
      <c r="C958" t="s">
        <v>25</v>
      </c>
      <c r="D958" t="s">
        <v>16</v>
      </c>
      <c r="E958" t="s">
        <v>64</v>
      </c>
      <c r="F958">
        <v>5</v>
      </c>
      <c r="G958">
        <v>328.34</v>
      </c>
      <c r="H958" t="s">
        <v>36</v>
      </c>
      <c r="I958" t="s">
        <v>1576</v>
      </c>
      <c r="J958" t="s">
        <v>38</v>
      </c>
      <c r="K958" t="s">
        <v>45</v>
      </c>
      <c r="L958" t="s">
        <v>22</v>
      </c>
      <c r="M958" t="s">
        <v>49</v>
      </c>
      <c r="N958">
        <f>Sheet1[[#This Row],[Quantity]]*Sheet1[[#This Row],[UnitPrice]]</f>
        <v>1641.6999999999998</v>
      </c>
    </row>
    <row r="959" spans="1:14" x14ac:dyDescent="0.3">
      <c r="A959" s="1">
        <v>45631</v>
      </c>
      <c r="B959" t="s">
        <v>1577</v>
      </c>
      <c r="C959" t="s">
        <v>90</v>
      </c>
      <c r="D959" t="s">
        <v>47</v>
      </c>
      <c r="E959" t="s">
        <v>42</v>
      </c>
      <c r="F959">
        <v>5</v>
      </c>
      <c r="G959">
        <v>211.16</v>
      </c>
      <c r="H959" t="s">
        <v>28</v>
      </c>
      <c r="I959" t="s">
        <v>1578</v>
      </c>
      <c r="J959" t="s">
        <v>44</v>
      </c>
      <c r="K959" t="s">
        <v>45</v>
      </c>
      <c r="L959" t="s">
        <v>60</v>
      </c>
      <c r="M959" t="s">
        <v>32</v>
      </c>
      <c r="N959">
        <f>Sheet1[[#This Row],[Quantity]]*Sheet1[[#This Row],[UnitPrice]]</f>
        <v>1055.8</v>
      </c>
    </row>
    <row r="960" spans="1:14" x14ac:dyDescent="0.3">
      <c r="A960" s="1">
        <v>45555</v>
      </c>
      <c r="B960" t="s">
        <v>105</v>
      </c>
      <c r="C960" t="s">
        <v>51</v>
      </c>
      <c r="D960" t="s">
        <v>26</v>
      </c>
      <c r="E960" t="s">
        <v>42</v>
      </c>
      <c r="F960">
        <v>10</v>
      </c>
      <c r="G960">
        <v>203.44</v>
      </c>
      <c r="H960" t="s">
        <v>68</v>
      </c>
      <c r="I960" t="s">
        <v>1579</v>
      </c>
      <c r="J960" t="s">
        <v>38</v>
      </c>
      <c r="K960" t="s">
        <v>21</v>
      </c>
      <c r="L960" t="s">
        <v>39</v>
      </c>
      <c r="M960" t="s">
        <v>40</v>
      </c>
      <c r="N960">
        <f>Sheet1[[#This Row],[Quantity]]*Sheet1[[#This Row],[UnitPrice]]</f>
        <v>2034.4</v>
      </c>
    </row>
    <row r="961" spans="1:14" x14ac:dyDescent="0.3">
      <c r="A961" s="1">
        <v>45596</v>
      </c>
      <c r="B961" t="s">
        <v>1510</v>
      </c>
      <c r="C961" t="s">
        <v>78</v>
      </c>
      <c r="D961" t="s">
        <v>26</v>
      </c>
      <c r="E961" t="s">
        <v>17</v>
      </c>
      <c r="F961">
        <v>9</v>
      </c>
      <c r="G961">
        <v>328.18</v>
      </c>
      <c r="H961" t="s">
        <v>28</v>
      </c>
      <c r="I961" t="s">
        <v>1580</v>
      </c>
      <c r="J961" t="s">
        <v>38</v>
      </c>
      <c r="K961" t="s">
        <v>45</v>
      </c>
      <c r="L961" t="s">
        <v>39</v>
      </c>
      <c r="M961" t="s">
        <v>32</v>
      </c>
      <c r="N961">
        <f>Sheet1[[#This Row],[Quantity]]*Sheet1[[#This Row],[UnitPrice]]</f>
        <v>2953.62</v>
      </c>
    </row>
    <row r="962" spans="1:14" x14ac:dyDescent="0.3">
      <c r="A962" s="1">
        <v>45025</v>
      </c>
      <c r="B962" t="s">
        <v>1418</v>
      </c>
      <c r="C962" t="s">
        <v>25</v>
      </c>
      <c r="D962" t="s">
        <v>47</v>
      </c>
      <c r="E962" t="s">
        <v>64</v>
      </c>
      <c r="F962">
        <v>10</v>
      </c>
      <c r="G962">
        <v>229.46</v>
      </c>
      <c r="H962" t="s">
        <v>68</v>
      </c>
      <c r="I962" t="s">
        <v>1581</v>
      </c>
      <c r="J962" t="s">
        <v>30</v>
      </c>
      <c r="K962" t="s">
        <v>45</v>
      </c>
      <c r="L962" t="s">
        <v>22</v>
      </c>
      <c r="M962" t="s">
        <v>61</v>
      </c>
      <c r="N962">
        <f>Sheet1[[#This Row],[Quantity]]*Sheet1[[#This Row],[UnitPrice]]</f>
        <v>2294.6</v>
      </c>
    </row>
    <row r="963" spans="1:14" x14ac:dyDescent="0.3">
      <c r="A963" s="1">
        <v>45789</v>
      </c>
      <c r="B963" t="s">
        <v>66</v>
      </c>
      <c r="C963" t="s">
        <v>51</v>
      </c>
      <c r="D963" t="s">
        <v>47</v>
      </c>
      <c r="E963" t="s">
        <v>35</v>
      </c>
      <c r="F963">
        <v>3</v>
      </c>
      <c r="G963">
        <v>315.20999999999998</v>
      </c>
      <c r="H963" t="s">
        <v>68</v>
      </c>
      <c r="I963" t="s">
        <v>1582</v>
      </c>
      <c r="J963" t="s">
        <v>20</v>
      </c>
      <c r="K963" t="s">
        <v>45</v>
      </c>
      <c r="L963" t="s">
        <v>22</v>
      </c>
      <c r="M963" t="s">
        <v>49</v>
      </c>
      <c r="N963">
        <f>Sheet1[[#This Row],[Quantity]]*Sheet1[[#This Row],[UnitPrice]]</f>
        <v>945.62999999999988</v>
      </c>
    </row>
    <row r="964" spans="1:14" x14ac:dyDescent="0.3">
      <c r="A964" s="1">
        <v>45188</v>
      </c>
      <c r="B964" t="s">
        <v>1284</v>
      </c>
      <c r="C964" t="s">
        <v>90</v>
      </c>
      <c r="D964" t="s">
        <v>16</v>
      </c>
      <c r="E964" t="s">
        <v>42</v>
      </c>
      <c r="F964">
        <v>8</v>
      </c>
      <c r="G964">
        <v>372.17</v>
      </c>
      <c r="H964" t="s">
        <v>68</v>
      </c>
      <c r="I964" t="s">
        <v>1583</v>
      </c>
      <c r="J964" t="s">
        <v>20</v>
      </c>
      <c r="K964" t="s">
        <v>45</v>
      </c>
      <c r="L964" t="s">
        <v>22</v>
      </c>
      <c r="M964" t="s">
        <v>84</v>
      </c>
      <c r="N964">
        <f>Sheet1[[#This Row],[Quantity]]*Sheet1[[#This Row],[UnitPrice]]</f>
        <v>2977.36</v>
      </c>
    </row>
    <row r="965" spans="1:14" x14ac:dyDescent="0.3">
      <c r="A965" s="1">
        <v>45379</v>
      </c>
      <c r="B965" t="s">
        <v>119</v>
      </c>
      <c r="C965" t="s">
        <v>34</v>
      </c>
      <c r="D965" t="s">
        <v>47</v>
      </c>
      <c r="E965" t="s">
        <v>17</v>
      </c>
      <c r="F965">
        <v>8</v>
      </c>
      <c r="G965">
        <v>235.9</v>
      </c>
      <c r="H965" t="s">
        <v>28</v>
      </c>
      <c r="I965" t="s">
        <v>1584</v>
      </c>
      <c r="J965" t="s">
        <v>44</v>
      </c>
      <c r="K965" t="s">
        <v>31</v>
      </c>
      <c r="L965" t="s">
        <v>60</v>
      </c>
      <c r="M965" t="s">
        <v>32</v>
      </c>
      <c r="N965">
        <f>Sheet1[[#This Row],[Quantity]]*Sheet1[[#This Row],[UnitPrice]]</f>
        <v>1887.2</v>
      </c>
    </row>
    <row r="966" spans="1:14" x14ac:dyDescent="0.3">
      <c r="A966" s="1">
        <v>44986</v>
      </c>
      <c r="B966" t="s">
        <v>1585</v>
      </c>
      <c r="C966" t="s">
        <v>25</v>
      </c>
      <c r="D966" t="s">
        <v>16</v>
      </c>
      <c r="E966" t="s">
        <v>67</v>
      </c>
      <c r="F966">
        <v>5</v>
      </c>
      <c r="G966">
        <v>13.65</v>
      </c>
      <c r="H966" t="s">
        <v>53</v>
      </c>
      <c r="I966" t="s">
        <v>1586</v>
      </c>
      <c r="J966" t="s">
        <v>30</v>
      </c>
      <c r="K966" t="s">
        <v>31</v>
      </c>
      <c r="L966" t="s">
        <v>39</v>
      </c>
      <c r="M966" t="s">
        <v>76</v>
      </c>
      <c r="N966">
        <f>Sheet1[[#This Row],[Quantity]]*Sheet1[[#This Row],[UnitPrice]]</f>
        <v>68.25</v>
      </c>
    </row>
    <row r="967" spans="1:14" x14ac:dyDescent="0.3">
      <c r="A967" s="1">
        <v>45609</v>
      </c>
      <c r="B967" t="s">
        <v>575</v>
      </c>
      <c r="C967" t="s">
        <v>101</v>
      </c>
      <c r="D967" t="s">
        <v>47</v>
      </c>
      <c r="E967" t="s">
        <v>17</v>
      </c>
      <c r="F967">
        <v>6</v>
      </c>
      <c r="G967">
        <v>158.08000000000001</v>
      </c>
      <c r="H967" t="s">
        <v>68</v>
      </c>
      <c r="I967" t="s">
        <v>1587</v>
      </c>
      <c r="J967" t="s">
        <v>44</v>
      </c>
      <c r="K967" t="s">
        <v>45</v>
      </c>
      <c r="L967" t="s">
        <v>22</v>
      </c>
      <c r="M967" t="s">
        <v>76</v>
      </c>
      <c r="N967">
        <f>Sheet1[[#This Row],[Quantity]]*Sheet1[[#This Row],[UnitPrice]]</f>
        <v>948.48</v>
      </c>
    </row>
    <row r="968" spans="1:14" x14ac:dyDescent="0.3">
      <c r="A968" s="1">
        <v>45621</v>
      </c>
      <c r="B968" t="s">
        <v>904</v>
      </c>
      <c r="C968" t="s">
        <v>34</v>
      </c>
      <c r="D968" t="s">
        <v>26</v>
      </c>
      <c r="E968" t="s">
        <v>52</v>
      </c>
      <c r="F968">
        <v>6</v>
      </c>
      <c r="G968">
        <v>321.57</v>
      </c>
      <c r="H968" t="s">
        <v>53</v>
      </c>
      <c r="I968" t="s">
        <v>1588</v>
      </c>
      <c r="J968" t="s">
        <v>38</v>
      </c>
      <c r="K968" t="s">
        <v>21</v>
      </c>
      <c r="L968" t="s">
        <v>60</v>
      </c>
      <c r="M968" t="s">
        <v>49</v>
      </c>
      <c r="N968">
        <f>Sheet1[[#This Row],[Quantity]]*Sheet1[[#This Row],[UnitPrice]]</f>
        <v>1929.42</v>
      </c>
    </row>
    <row r="969" spans="1:14" x14ac:dyDescent="0.3">
      <c r="A969" s="1">
        <v>45834</v>
      </c>
      <c r="B969" t="s">
        <v>375</v>
      </c>
      <c r="C969" t="s">
        <v>25</v>
      </c>
      <c r="D969" t="s">
        <v>47</v>
      </c>
      <c r="E969" t="s">
        <v>67</v>
      </c>
      <c r="F969">
        <v>6</v>
      </c>
      <c r="G969">
        <v>261.27</v>
      </c>
      <c r="H969" t="s">
        <v>68</v>
      </c>
      <c r="I969" t="s">
        <v>1589</v>
      </c>
      <c r="J969" t="s">
        <v>30</v>
      </c>
      <c r="K969" t="s">
        <v>59</v>
      </c>
      <c r="L969" t="s">
        <v>39</v>
      </c>
      <c r="M969" t="s">
        <v>32</v>
      </c>
      <c r="N969">
        <f>Sheet1[[#This Row],[Quantity]]*Sheet1[[#This Row],[UnitPrice]]</f>
        <v>1567.62</v>
      </c>
    </row>
    <row r="970" spans="1:14" x14ac:dyDescent="0.3">
      <c r="A970" s="1">
        <v>45670</v>
      </c>
      <c r="B970" t="s">
        <v>387</v>
      </c>
      <c r="C970" t="s">
        <v>51</v>
      </c>
      <c r="D970" t="s">
        <v>47</v>
      </c>
      <c r="E970" t="s">
        <v>67</v>
      </c>
      <c r="F970">
        <v>4</v>
      </c>
      <c r="G970">
        <v>327.87</v>
      </c>
      <c r="H970" t="s">
        <v>36</v>
      </c>
      <c r="I970" t="s">
        <v>1590</v>
      </c>
      <c r="J970" t="s">
        <v>38</v>
      </c>
      <c r="K970" t="s">
        <v>45</v>
      </c>
      <c r="L970" t="s">
        <v>39</v>
      </c>
      <c r="M970" t="s">
        <v>49</v>
      </c>
      <c r="N970">
        <f>Sheet1[[#This Row],[Quantity]]*Sheet1[[#This Row],[UnitPrice]]</f>
        <v>1311.48</v>
      </c>
    </row>
    <row r="971" spans="1:14" x14ac:dyDescent="0.3">
      <c r="A971" s="1">
        <v>45730</v>
      </c>
      <c r="B971" t="s">
        <v>1591</v>
      </c>
      <c r="C971" t="s">
        <v>78</v>
      </c>
      <c r="D971" t="s">
        <v>47</v>
      </c>
      <c r="E971" t="s">
        <v>35</v>
      </c>
      <c r="F971">
        <v>3</v>
      </c>
      <c r="G971">
        <v>16.25</v>
      </c>
      <c r="H971" t="s">
        <v>68</v>
      </c>
      <c r="I971" t="s">
        <v>1592</v>
      </c>
      <c r="J971" t="s">
        <v>44</v>
      </c>
      <c r="K971" t="s">
        <v>21</v>
      </c>
      <c r="L971" t="s">
        <v>22</v>
      </c>
      <c r="M971" t="s">
        <v>40</v>
      </c>
      <c r="N971">
        <f>Sheet1[[#This Row],[Quantity]]*Sheet1[[#This Row],[UnitPrice]]</f>
        <v>48.75</v>
      </c>
    </row>
    <row r="972" spans="1:14" x14ac:dyDescent="0.3">
      <c r="A972" s="1">
        <v>45007</v>
      </c>
      <c r="B972" t="s">
        <v>397</v>
      </c>
      <c r="C972" t="s">
        <v>63</v>
      </c>
      <c r="D972" t="s">
        <v>47</v>
      </c>
      <c r="E972" t="s">
        <v>42</v>
      </c>
      <c r="F972">
        <v>10</v>
      </c>
      <c r="G972">
        <v>38.83</v>
      </c>
      <c r="H972" t="s">
        <v>53</v>
      </c>
      <c r="I972" t="s">
        <v>1593</v>
      </c>
      <c r="J972" t="s">
        <v>38</v>
      </c>
      <c r="K972" t="s">
        <v>21</v>
      </c>
      <c r="L972" t="s">
        <v>22</v>
      </c>
      <c r="M972" t="s">
        <v>76</v>
      </c>
      <c r="N972">
        <f>Sheet1[[#This Row],[Quantity]]*Sheet1[[#This Row],[UnitPrice]]</f>
        <v>388.29999999999995</v>
      </c>
    </row>
    <row r="973" spans="1:14" x14ac:dyDescent="0.3">
      <c r="A973" s="1">
        <v>45702</v>
      </c>
      <c r="B973" t="s">
        <v>644</v>
      </c>
      <c r="C973" t="s">
        <v>90</v>
      </c>
      <c r="D973" t="s">
        <v>26</v>
      </c>
      <c r="E973" t="s">
        <v>52</v>
      </c>
      <c r="F973">
        <v>8</v>
      </c>
      <c r="G973">
        <v>39.130000000000003</v>
      </c>
      <c r="H973" t="s">
        <v>28</v>
      </c>
      <c r="I973" t="s">
        <v>1594</v>
      </c>
      <c r="J973" t="s">
        <v>38</v>
      </c>
      <c r="K973" t="s">
        <v>45</v>
      </c>
      <c r="L973" t="s">
        <v>22</v>
      </c>
      <c r="M973" t="s">
        <v>40</v>
      </c>
      <c r="N973">
        <f>Sheet1[[#This Row],[Quantity]]*Sheet1[[#This Row],[UnitPrice]]</f>
        <v>313.04000000000002</v>
      </c>
    </row>
    <row r="974" spans="1:14" x14ac:dyDescent="0.3">
      <c r="A974" s="1">
        <v>45000</v>
      </c>
      <c r="B974" t="s">
        <v>1595</v>
      </c>
      <c r="C974" t="s">
        <v>34</v>
      </c>
      <c r="D974" t="s">
        <v>74</v>
      </c>
      <c r="E974" t="s">
        <v>35</v>
      </c>
      <c r="F974">
        <v>1</v>
      </c>
      <c r="G974">
        <v>230.26</v>
      </c>
      <c r="H974" t="s">
        <v>18</v>
      </c>
      <c r="I974" t="s">
        <v>1596</v>
      </c>
      <c r="J974" t="s">
        <v>58</v>
      </c>
      <c r="K974" t="s">
        <v>59</v>
      </c>
      <c r="L974" t="s">
        <v>60</v>
      </c>
      <c r="M974" t="s">
        <v>76</v>
      </c>
      <c r="N974">
        <f>Sheet1[[#This Row],[Quantity]]*Sheet1[[#This Row],[UnitPrice]]</f>
        <v>230.26</v>
      </c>
    </row>
    <row r="975" spans="1:14" x14ac:dyDescent="0.3">
      <c r="A975" s="1">
        <v>45223</v>
      </c>
      <c r="B975" t="s">
        <v>735</v>
      </c>
      <c r="C975" t="s">
        <v>101</v>
      </c>
      <c r="D975" t="s">
        <v>26</v>
      </c>
      <c r="E975" t="s">
        <v>52</v>
      </c>
      <c r="F975">
        <v>10</v>
      </c>
      <c r="G975">
        <v>362.13</v>
      </c>
      <c r="H975" t="s">
        <v>36</v>
      </c>
      <c r="I975" t="s">
        <v>1597</v>
      </c>
      <c r="J975" t="s">
        <v>20</v>
      </c>
      <c r="K975" t="s">
        <v>45</v>
      </c>
      <c r="L975" t="s">
        <v>22</v>
      </c>
      <c r="M975" t="s">
        <v>84</v>
      </c>
      <c r="N975">
        <f>Sheet1[[#This Row],[Quantity]]*Sheet1[[#This Row],[UnitPrice]]</f>
        <v>3621.3</v>
      </c>
    </row>
    <row r="976" spans="1:14" x14ac:dyDescent="0.3">
      <c r="A976" s="1">
        <v>45515</v>
      </c>
      <c r="B976" t="s">
        <v>1598</v>
      </c>
      <c r="C976" t="s">
        <v>90</v>
      </c>
      <c r="D976" t="s">
        <v>74</v>
      </c>
      <c r="E976" t="s">
        <v>42</v>
      </c>
      <c r="F976">
        <v>1</v>
      </c>
      <c r="G976">
        <v>171.54</v>
      </c>
      <c r="H976" t="s">
        <v>18</v>
      </c>
      <c r="I976" t="s">
        <v>1599</v>
      </c>
      <c r="J976" t="s">
        <v>38</v>
      </c>
      <c r="K976" t="s">
        <v>45</v>
      </c>
      <c r="L976" t="s">
        <v>60</v>
      </c>
      <c r="M976" t="s">
        <v>61</v>
      </c>
      <c r="N976">
        <f>Sheet1[[#This Row],[Quantity]]*Sheet1[[#This Row],[UnitPrice]]</f>
        <v>171.54</v>
      </c>
    </row>
    <row r="977" spans="1:14" x14ac:dyDescent="0.3">
      <c r="A977" s="1">
        <v>45537</v>
      </c>
      <c r="B977" t="s">
        <v>1600</v>
      </c>
      <c r="C977" t="s">
        <v>90</v>
      </c>
      <c r="D977" t="s">
        <v>74</v>
      </c>
      <c r="E977" t="s">
        <v>35</v>
      </c>
      <c r="F977">
        <v>10</v>
      </c>
      <c r="G977">
        <v>160.28</v>
      </c>
      <c r="H977" t="s">
        <v>68</v>
      </c>
      <c r="I977" t="s">
        <v>1601</v>
      </c>
      <c r="J977" t="s">
        <v>38</v>
      </c>
      <c r="K977" t="s">
        <v>45</v>
      </c>
      <c r="L977" t="s">
        <v>60</v>
      </c>
      <c r="M977" t="s">
        <v>49</v>
      </c>
      <c r="N977">
        <f>Sheet1[[#This Row],[Quantity]]*Sheet1[[#This Row],[UnitPrice]]</f>
        <v>1602.8</v>
      </c>
    </row>
    <row r="978" spans="1:14" x14ac:dyDescent="0.3">
      <c r="A978" s="1">
        <v>45787</v>
      </c>
      <c r="B978" t="s">
        <v>148</v>
      </c>
      <c r="C978" t="s">
        <v>90</v>
      </c>
      <c r="D978" t="s">
        <v>26</v>
      </c>
      <c r="E978" t="s">
        <v>42</v>
      </c>
      <c r="F978">
        <v>4</v>
      </c>
      <c r="G978">
        <v>217.17</v>
      </c>
      <c r="H978" t="s">
        <v>28</v>
      </c>
      <c r="I978" t="s">
        <v>1602</v>
      </c>
      <c r="J978" t="s">
        <v>20</v>
      </c>
      <c r="K978" t="s">
        <v>21</v>
      </c>
      <c r="L978" t="s">
        <v>39</v>
      </c>
      <c r="M978" t="s">
        <v>23</v>
      </c>
      <c r="N978">
        <f>Sheet1[[#This Row],[Quantity]]*Sheet1[[#This Row],[UnitPrice]]</f>
        <v>868.68</v>
      </c>
    </row>
    <row r="979" spans="1:14" x14ac:dyDescent="0.3">
      <c r="A979" s="1">
        <v>45269</v>
      </c>
      <c r="B979" t="s">
        <v>1603</v>
      </c>
      <c r="C979" t="s">
        <v>34</v>
      </c>
      <c r="D979" t="s">
        <v>26</v>
      </c>
      <c r="E979" t="s">
        <v>52</v>
      </c>
      <c r="F979">
        <v>3</v>
      </c>
      <c r="G979">
        <v>330.9</v>
      </c>
      <c r="H979" t="s">
        <v>36</v>
      </c>
      <c r="I979" t="s">
        <v>1604</v>
      </c>
      <c r="J979" t="s">
        <v>20</v>
      </c>
      <c r="K979" t="s">
        <v>31</v>
      </c>
      <c r="L979" t="s">
        <v>22</v>
      </c>
      <c r="M979" t="s">
        <v>23</v>
      </c>
      <c r="N979">
        <f>Sheet1[[#This Row],[Quantity]]*Sheet1[[#This Row],[UnitPrice]]</f>
        <v>992.69999999999993</v>
      </c>
    </row>
    <row r="980" spans="1:14" x14ac:dyDescent="0.3">
      <c r="A980" s="1">
        <v>45686</v>
      </c>
      <c r="B980" t="s">
        <v>1605</v>
      </c>
      <c r="C980" t="s">
        <v>101</v>
      </c>
      <c r="D980" t="s">
        <v>16</v>
      </c>
      <c r="E980" t="s">
        <v>52</v>
      </c>
      <c r="F980">
        <v>7</v>
      </c>
      <c r="G980">
        <v>258.57</v>
      </c>
      <c r="H980" t="s">
        <v>36</v>
      </c>
      <c r="I980" t="s">
        <v>1606</v>
      </c>
      <c r="J980" t="s">
        <v>38</v>
      </c>
      <c r="K980" t="s">
        <v>45</v>
      </c>
      <c r="L980" t="s">
        <v>39</v>
      </c>
      <c r="M980" t="s">
        <v>76</v>
      </c>
      <c r="N980">
        <f>Sheet1[[#This Row],[Quantity]]*Sheet1[[#This Row],[UnitPrice]]</f>
        <v>1809.99</v>
      </c>
    </row>
    <row r="981" spans="1:14" x14ac:dyDescent="0.3">
      <c r="A981" s="1">
        <v>45657</v>
      </c>
      <c r="B981" t="s">
        <v>1607</v>
      </c>
      <c r="C981" t="s">
        <v>101</v>
      </c>
      <c r="D981" t="s">
        <v>16</v>
      </c>
      <c r="E981" t="s">
        <v>64</v>
      </c>
      <c r="F981">
        <v>1</v>
      </c>
      <c r="G981">
        <v>106.8</v>
      </c>
      <c r="H981" t="s">
        <v>68</v>
      </c>
      <c r="I981" t="s">
        <v>1608</v>
      </c>
      <c r="J981" t="s">
        <v>58</v>
      </c>
      <c r="K981" t="s">
        <v>31</v>
      </c>
      <c r="L981" t="s">
        <v>60</v>
      </c>
      <c r="M981" t="s">
        <v>84</v>
      </c>
      <c r="N981">
        <f>Sheet1[[#This Row],[Quantity]]*Sheet1[[#This Row],[UnitPrice]]</f>
        <v>106.8</v>
      </c>
    </row>
    <row r="982" spans="1:14" x14ac:dyDescent="0.3">
      <c r="A982" s="1">
        <v>45436</v>
      </c>
      <c r="B982" t="s">
        <v>1554</v>
      </c>
      <c r="C982" t="s">
        <v>15</v>
      </c>
      <c r="D982" t="s">
        <v>26</v>
      </c>
      <c r="E982" t="s">
        <v>64</v>
      </c>
      <c r="F982">
        <v>8</v>
      </c>
      <c r="G982">
        <v>109.46</v>
      </c>
      <c r="H982" t="s">
        <v>68</v>
      </c>
      <c r="I982" t="s">
        <v>1609</v>
      </c>
      <c r="J982" t="s">
        <v>20</v>
      </c>
      <c r="K982" t="s">
        <v>21</v>
      </c>
      <c r="L982" t="s">
        <v>22</v>
      </c>
      <c r="M982" t="s">
        <v>40</v>
      </c>
      <c r="N982">
        <f>Sheet1[[#This Row],[Quantity]]*Sheet1[[#This Row],[UnitPrice]]</f>
        <v>875.68</v>
      </c>
    </row>
    <row r="983" spans="1:14" x14ac:dyDescent="0.3">
      <c r="A983" s="1">
        <v>45708</v>
      </c>
      <c r="B983" t="s">
        <v>1610</v>
      </c>
      <c r="C983" t="s">
        <v>51</v>
      </c>
      <c r="D983" t="s">
        <v>16</v>
      </c>
      <c r="E983" t="s">
        <v>52</v>
      </c>
      <c r="F983">
        <v>10</v>
      </c>
      <c r="G983">
        <v>133.34</v>
      </c>
      <c r="H983" t="s">
        <v>53</v>
      </c>
      <c r="I983" t="s">
        <v>1611</v>
      </c>
      <c r="J983" t="s">
        <v>30</v>
      </c>
      <c r="K983" t="s">
        <v>21</v>
      </c>
      <c r="L983" t="s">
        <v>60</v>
      </c>
      <c r="M983" t="s">
        <v>32</v>
      </c>
      <c r="N983">
        <f>Sheet1[[#This Row],[Quantity]]*Sheet1[[#This Row],[UnitPrice]]</f>
        <v>1333.4</v>
      </c>
    </row>
    <row r="984" spans="1:14" x14ac:dyDescent="0.3">
      <c r="A984" s="1">
        <v>45280</v>
      </c>
      <c r="B984" t="s">
        <v>773</v>
      </c>
      <c r="C984" t="s">
        <v>34</v>
      </c>
      <c r="D984" t="s">
        <v>47</v>
      </c>
      <c r="E984" t="s">
        <v>67</v>
      </c>
      <c r="F984">
        <v>3</v>
      </c>
      <c r="G984">
        <v>277.08</v>
      </c>
      <c r="H984" t="s">
        <v>53</v>
      </c>
      <c r="I984" t="s">
        <v>1612</v>
      </c>
      <c r="J984" t="s">
        <v>20</v>
      </c>
      <c r="K984" t="s">
        <v>45</v>
      </c>
      <c r="L984" t="s">
        <v>39</v>
      </c>
      <c r="M984" t="s">
        <v>76</v>
      </c>
      <c r="N984">
        <f>Sheet1[[#This Row],[Quantity]]*Sheet1[[#This Row],[UnitPrice]]</f>
        <v>831.24</v>
      </c>
    </row>
    <row r="985" spans="1:14" x14ac:dyDescent="0.3">
      <c r="A985" s="1">
        <v>45781</v>
      </c>
      <c r="B985" t="s">
        <v>1613</v>
      </c>
      <c r="C985" t="s">
        <v>34</v>
      </c>
      <c r="D985" t="s">
        <v>74</v>
      </c>
      <c r="E985" t="s">
        <v>42</v>
      </c>
      <c r="F985">
        <v>4</v>
      </c>
      <c r="G985">
        <v>337.24</v>
      </c>
      <c r="H985" t="s">
        <v>53</v>
      </c>
      <c r="I985" t="s">
        <v>1614</v>
      </c>
      <c r="J985" t="s">
        <v>30</v>
      </c>
      <c r="K985" t="s">
        <v>31</v>
      </c>
      <c r="L985" t="s">
        <v>22</v>
      </c>
      <c r="M985" t="s">
        <v>61</v>
      </c>
      <c r="N985">
        <f>Sheet1[[#This Row],[Quantity]]*Sheet1[[#This Row],[UnitPrice]]</f>
        <v>1348.96</v>
      </c>
    </row>
    <row r="986" spans="1:14" x14ac:dyDescent="0.3">
      <c r="A986" s="1">
        <v>45679</v>
      </c>
      <c r="B986" t="s">
        <v>308</v>
      </c>
      <c r="C986" t="s">
        <v>51</v>
      </c>
      <c r="D986" t="s">
        <v>16</v>
      </c>
      <c r="E986" t="s">
        <v>17</v>
      </c>
      <c r="F986">
        <v>1</v>
      </c>
      <c r="G986">
        <v>395.95</v>
      </c>
      <c r="H986" t="s">
        <v>18</v>
      </c>
      <c r="I986" t="s">
        <v>1615</v>
      </c>
      <c r="J986" t="s">
        <v>44</v>
      </c>
      <c r="K986" t="s">
        <v>59</v>
      </c>
      <c r="L986" t="s">
        <v>22</v>
      </c>
      <c r="M986" t="s">
        <v>76</v>
      </c>
      <c r="N986">
        <f>Sheet1[[#This Row],[Quantity]]*Sheet1[[#This Row],[UnitPrice]]</f>
        <v>395.95</v>
      </c>
    </row>
    <row r="987" spans="1:14" x14ac:dyDescent="0.3">
      <c r="A987" s="1">
        <v>45422</v>
      </c>
      <c r="B987" t="s">
        <v>1616</v>
      </c>
      <c r="C987" t="s">
        <v>34</v>
      </c>
      <c r="D987" t="s">
        <v>26</v>
      </c>
      <c r="E987" t="s">
        <v>42</v>
      </c>
      <c r="F987">
        <v>1</v>
      </c>
      <c r="G987">
        <v>174.29</v>
      </c>
      <c r="H987" t="s">
        <v>53</v>
      </c>
      <c r="I987" t="s">
        <v>1617</v>
      </c>
      <c r="J987" t="s">
        <v>58</v>
      </c>
      <c r="K987" t="s">
        <v>31</v>
      </c>
      <c r="L987" t="s">
        <v>60</v>
      </c>
      <c r="M987" t="s">
        <v>40</v>
      </c>
      <c r="N987">
        <f>Sheet1[[#This Row],[Quantity]]*Sheet1[[#This Row],[UnitPrice]]</f>
        <v>174.29</v>
      </c>
    </row>
    <row r="988" spans="1:14" x14ac:dyDescent="0.3">
      <c r="A988" s="1">
        <v>45175</v>
      </c>
      <c r="B988" t="s">
        <v>1618</v>
      </c>
      <c r="C988" t="s">
        <v>73</v>
      </c>
      <c r="D988" t="s">
        <v>16</v>
      </c>
      <c r="E988" t="s">
        <v>67</v>
      </c>
      <c r="F988">
        <v>9</v>
      </c>
      <c r="G988">
        <v>257.94</v>
      </c>
      <c r="H988" t="s">
        <v>68</v>
      </c>
      <c r="I988" t="s">
        <v>1619</v>
      </c>
      <c r="J988" t="s">
        <v>44</v>
      </c>
      <c r="K988" t="s">
        <v>21</v>
      </c>
      <c r="L988" t="s">
        <v>39</v>
      </c>
      <c r="M988" t="s">
        <v>76</v>
      </c>
      <c r="N988">
        <f>Sheet1[[#This Row],[Quantity]]*Sheet1[[#This Row],[UnitPrice]]</f>
        <v>2321.46</v>
      </c>
    </row>
    <row r="989" spans="1:14" x14ac:dyDescent="0.3">
      <c r="A989" s="1">
        <v>45666</v>
      </c>
      <c r="B989" t="s">
        <v>1620</v>
      </c>
      <c r="C989" t="s">
        <v>51</v>
      </c>
      <c r="D989" t="s">
        <v>16</v>
      </c>
      <c r="E989" t="s">
        <v>52</v>
      </c>
      <c r="F989">
        <v>2</v>
      </c>
      <c r="G989">
        <v>127.23</v>
      </c>
      <c r="H989" t="s">
        <v>28</v>
      </c>
      <c r="I989" t="s">
        <v>1621</v>
      </c>
      <c r="J989" t="s">
        <v>30</v>
      </c>
      <c r="K989" t="s">
        <v>31</v>
      </c>
      <c r="L989" t="s">
        <v>22</v>
      </c>
      <c r="M989" t="s">
        <v>32</v>
      </c>
      <c r="N989">
        <f>Sheet1[[#This Row],[Quantity]]*Sheet1[[#This Row],[UnitPrice]]</f>
        <v>254.46</v>
      </c>
    </row>
    <row r="990" spans="1:14" x14ac:dyDescent="0.3">
      <c r="A990" s="1">
        <v>45498</v>
      </c>
      <c r="B990" t="s">
        <v>614</v>
      </c>
      <c r="C990" t="s">
        <v>56</v>
      </c>
      <c r="D990" t="s">
        <v>74</v>
      </c>
      <c r="E990" t="s">
        <v>35</v>
      </c>
      <c r="F990">
        <v>10</v>
      </c>
      <c r="G990">
        <v>66.37</v>
      </c>
      <c r="H990" t="s">
        <v>53</v>
      </c>
      <c r="I990" t="s">
        <v>1622</v>
      </c>
      <c r="J990" t="s">
        <v>44</v>
      </c>
      <c r="K990" t="s">
        <v>45</v>
      </c>
      <c r="L990" t="s">
        <v>60</v>
      </c>
      <c r="M990" t="s">
        <v>32</v>
      </c>
      <c r="N990">
        <f>Sheet1[[#This Row],[Quantity]]*Sheet1[[#This Row],[UnitPrice]]</f>
        <v>663.7</v>
      </c>
    </row>
    <row r="991" spans="1:14" x14ac:dyDescent="0.3">
      <c r="A991" s="1">
        <v>45194</v>
      </c>
      <c r="B991" t="s">
        <v>182</v>
      </c>
      <c r="C991" t="s">
        <v>101</v>
      </c>
      <c r="D991" t="s">
        <v>16</v>
      </c>
      <c r="E991" t="s">
        <v>64</v>
      </c>
      <c r="F991">
        <v>10</v>
      </c>
      <c r="G991">
        <v>184.31</v>
      </c>
      <c r="H991" t="s">
        <v>53</v>
      </c>
      <c r="I991" t="s">
        <v>1623</v>
      </c>
      <c r="J991" t="s">
        <v>30</v>
      </c>
      <c r="K991" t="s">
        <v>21</v>
      </c>
      <c r="L991" t="s">
        <v>22</v>
      </c>
      <c r="M991" t="s">
        <v>49</v>
      </c>
      <c r="N991">
        <f>Sheet1[[#This Row],[Quantity]]*Sheet1[[#This Row],[UnitPrice]]</f>
        <v>1843.1</v>
      </c>
    </row>
    <row r="992" spans="1:14" x14ac:dyDescent="0.3">
      <c r="A992" s="1">
        <v>45424</v>
      </c>
      <c r="B992" t="s">
        <v>367</v>
      </c>
      <c r="C992" t="s">
        <v>34</v>
      </c>
      <c r="D992" t="s">
        <v>26</v>
      </c>
      <c r="E992" t="s">
        <v>27</v>
      </c>
      <c r="F992">
        <v>6</v>
      </c>
      <c r="G992">
        <v>257.91000000000003</v>
      </c>
      <c r="H992" t="s">
        <v>28</v>
      </c>
      <c r="I992" t="s">
        <v>1624</v>
      </c>
      <c r="J992" t="s">
        <v>30</v>
      </c>
      <c r="K992" t="s">
        <v>21</v>
      </c>
      <c r="L992" t="s">
        <v>60</v>
      </c>
      <c r="M992" t="s">
        <v>61</v>
      </c>
      <c r="N992">
        <f>Sheet1[[#This Row],[Quantity]]*Sheet1[[#This Row],[UnitPrice]]</f>
        <v>1547.46</v>
      </c>
    </row>
    <row r="993" spans="1:14" x14ac:dyDescent="0.3">
      <c r="A993" s="1">
        <v>45399</v>
      </c>
      <c r="B993" t="s">
        <v>1518</v>
      </c>
      <c r="C993" t="s">
        <v>56</v>
      </c>
      <c r="D993" t="s">
        <v>16</v>
      </c>
      <c r="E993" t="s">
        <v>27</v>
      </c>
      <c r="F993">
        <v>10</v>
      </c>
      <c r="G993">
        <v>42.03</v>
      </c>
      <c r="H993" t="s">
        <v>18</v>
      </c>
      <c r="I993" t="s">
        <v>1625</v>
      </c>
      <c r="J993" t="s">
        <v>20</v>
      </c>
      <c r="K993" t="s">
        <v>31</v>
      </c>
      <c r="L993" t="s">
        <v>39</v>
      </c>
      <c r="M993" t="s">
        <v>76</v>
      </c>
      <c r="N993">
        <f>Sheet1[[#This Row],[Quantity]]*Sheet1[[#This Row],[UnitPrice]]</f>
        <v>420.3</v>
      </c>
    </row>
    <row r="994" spans="1:14" x14ac:dyDescent="0.3">
      <c r="A994" s="1">
        <v>45596</v>
      </c>
      <c r="B994" t="s">
        <v>530</v>
      </c>
      <c r="C994" t="s">
        <v>56</v>
      </c>
      <c r="D994" t="s">
        <v>16</v>
      </c>
      <c r="E994" t="s">
        <v>17</v>
      </c>
      <c r="F994">
        <v>2</v>
      </c>
      <c r="G994">
        <v>110.13</v>
      </c>
      <c r="H994" t="s">
        <v>53</v>
      </c>
      <c r="I994" t="s">
        <v>1626</v>
      </c>
      <c r="J994" t="s">
        <v>58</v>
      </c>
      <c r="K994" t="s">
        <v>21</v>
      </c>
      <c r="L994" t="s">
        <v>22</v>
      </c>
      <c r="M994" t="s">
        <v>32</v>
      </c>
      <c r="N994">
        <f>Sheet1[[#This Row],[Quantity]]*Sheet1[[#This Row],[UnitPrice]]</f>
        <v>220.26</v>
      </c>
    </row>
    <row r="995" spans="1:14" x14ac:dyDescent="0.3">
      <c r="A995" s="1">
        <v>44965</v>
      </c>
      <c r="B995" t="s">
        <v>333</v>
      </c>
      <c r="C995" t="s">
        <v>25</v>
      </c>
      <c r="D995" t="s">
        <v>47</v>
      </c>
      <c r="E995" t="s">
        <v>42</v>
      </c>
      <c r="F995">
        <v>7</v>
      </c>
      <c r="G995">
        <v>389.71</v>
      </c>
      <c r="H995" t="s">
        <v>36</v>
      </c>
      <c r="I995" t="s">
        <v>1627</v>
      </c>
      <c r="J995" t="s">
        <v>44</v>
      </c>
      <c r="K995" t="s">
        <v>21</v>
      </c>
      <c r="L995" t="s">
        <v>39</v>
      </c>
      <c r="M995" t="s">
        <v>76</v>
      </c>
      <c r="N995">
        <f>Sheet1[[#This Row],[Quantity]]*Sheet1[[#This Row],[UnitPrice]]</f>
        <v>2727.97</v>
      </c>
    </row>
    <row r="996" spans="1:14" x14ac:dyDescent="0.3">
      <c r="A996" s="1">
        <v>45222</v>
      </c>
      <c r="B996" t="s">
        <v>46</v>
      </c>
      <c r="C996" t="s">
        <v>78</v>
      </c>
      <c r="D996" t="s">
        <v>26</v>
      </c>
      <c r="E996" t="s">
        <v>67</v>
      </c>
      <c r="F996">
        <v>2</v>
      </c>
      <c r="G996">
        <v>320.51</v>
      </c>
      <c r="H996" t="s">
        <v>53</v>
      </c>
      <c r="I996" t="s">
        <v>1628</v>
      </c>
      <c r="J996" t="s">
        <v>30</v>
      </c>
      <c r="K996" t="s">
        <v>21</v>
      </c>
      <c r="L996" t="s">
        <v>39</v>
      </c>
      <c r="M996" t="s">
        <v>49</v>
      </c>
      <c r="N996">
        <f>Sheet1[[#This Row],[Quantity]]*Sheet1[[#This Row],[UnitPrice]]</f>
        <v>641.02</v>
      </c>
    </row>
    <row r="997" spans="1:14" x14ac:dyDescent="0.3">
      <c r="A997" s="1">
        <v>45068</v>
      </c>
      <c r="B997" t="s">
        <v>1343</v>
      </c>
      <c r="C997" t="s">
        <v>25</v>
      </c>
      <c r="D997" t="s">
        <v>26</v>
      </c>
      <c r="E997" t="s">
        <v>64</v>
      </c>
      <c r="F997">
        <v>7</v>
      </c>
      <c r="G997">
        <v>371.04</v>
      </c>
      <c r="H997" t="s">
        <v>18</v>
      </c>
      <c r="I997" t="s">
        <v>1629</v>
      </c>
      <c r="J997" t="s">
        <v>58</v>
      </c>
      <c r="K997" t="s">
        <v>21</v>
      </c>
      <c r="L997" t="s">
        <v>22</v>
      </c>
      <c r="M997" t="s">
        <v>49</v>
      </c>
      <c r="N997">
        <f>Sheet1[[#This Row],[Quantity]]*Sheet1[[#This Row],[UnitPrice]]</f>
        <v>2597.2800000000002</v>
      </c>
    </row>
    <row r="998" spans="1:14" x14ac:dyDescent="0.3">
      <c r="A998" s="1">
        <v>45648</v>
      </c>
      <c r="B998" t="s">
        <v>206</v>
      </c>
      <c r="C998" t="s">
        <v>25</v>
      </c>
      <c r="D998" t="s">
        <v>47</v>
      </c>
      <c r="E998" t="s">
        <v>17</v>
      </c>
      <c r="F998">
        <v>5</v>
      </c>
      <c r="G998">
        <v>61.64</v>
      </c>
      <c r="H998" t="s">
        <v>28</v>
      </c>
      <c r="I998" t="s">
        <v>1630</v>
      </c>
      <c r="J998" t="s">
        <v>38</v>
      </c>
      <c r="K998" t="s">
        <v>21</v>
      </c>
      <c r="L998" t="s">
        <v>39</v>
      </c>
      <c r="M998" t="s">
        <v>61</v>
      </c>
      <c r="N998">
        <f>Sheet1[[#This Row],[Quantity]]*Sheet1[[#This Row],[UnitPrice]]</f>
        <v>308.2</v>
      </c>
    </row>
    <row r="999" spans="1:14" x14ac:dyDescent="0.3">
      <c r="A999" s="1">
        <v>45342</v>
      </c>
      <c r="B999" t="s">
        <v>1352</v>
      </c>
      <c r="C999" t="s">
        <v>56</v>
      </c>
      <c r="D999" t="s">
        <v>26</v>
      </c>
      <c r="E999" t="s">
        <v>42</v>
      </c>
      <c r="F999">
        <v>6</v>
      </c>
      <c r="G999">
        <v>121.9</v>
      </c>
      <c r="H999" t="s">
        <v>68</v>
      </c>
      <c r="I999" t="s">
        <v>1631</v>
      </c>
      <c r="J999" t="s">
        <v>30</v>
      </c>
      <c r="K999" t="s">
        <v>45</v>
      </c>
      <c r="L999" t="s">
        <v>39</v>
      </c>
      <c r="M999" t="s">
        <v>84</v>
      </c>
      <c r="N999">
        <f>Sheet1[[#This Row],[Quantity]]*Sheet1[[#This Row],[UnitPrice]]</f>
        <v>731.40000000000009</v>
      </c>
    </row>
    <row r="1000" spans="1:14" x14ac:dyDescent="0.3">
      <c r="A1000" s="1">
        <v>45165</v>
      </c>
      <c r="B1000" t="s">
        <v>511</v>
      </c>
      <c r="C1000" t="s">
        <v>56</v>
      </c>
      <c r="D1000" t="s">
        <v>16</v>
      </c>
      <c r="E1000" t="s">
        <v>42</v>
      </c>
      <c r="F1000">
        <v>6</v>
      </c>
      <c r="G1000">
        <v>356.85</v>
      </c>
      <c r="H1000" t="s">
        <v>53</v>
      </c>
      <c r="I1000" t="s">
        <v>1632</v>
      </c>
      <c r="J1000" t="s">
        <v>44</v>
      </c>
      <c r="K1000" t="s">
        <v>21</v>
      </c>
      <c r="L1000" t="s">
        <v>39</v>
      </c>
      <c r="M1000" t="s">
        <v>61</v>
      </c>
      <c r="N1000">
        <f>Sheet1[[#This Row],[Quantity]]*Sheet1[[#This Row],[UnitPrice]]</f>
        <v>2141.1000000000004</v>
      </c>
    </row>
    <row r="1001" spans="1:14" x14ac:dyDescent="0.3">
      <c r="A1001" s="1">
        <v>45179</v>
      </c>
      <c r="B1001" t="s">
        <v>1633</v>
      </c>
      <c r="C1001" t="s">
        <v>56</v>
      </c>
      <c r="D1001" t="s">
        <v>47</v>
      </c>
      <c r="E1001" t="s">
        <v>64</v>
      </c>
      <c r="F1001">
        <v>1</v>
      </c>
      <c r="G1001">
        <v>244.43</v>
      </c>
      <c r="H1001" t="s">
        <v>53</v>
      </c>
      <c r="I1001" t="s">
        <v>1634</v>
      </c>
      <c r="J1001" t="s">
        <v>38</v>
      </c>
      <c r="K1001" t="s">
        <v>59</v>
      </c>
      <c r="L1001" t="s">
        <v>39</v>
      </c>
      <c r="M1001" t="s">
        <v>61</v>
      </c>
      <c r="N1001">
        <f>Sheet1[[#This Row],[Quantity]]*Sheet1[[#This Row],[UnitPrice]]</f>
        <v>244.43</v>
      </c>
    </row>
    <row r="1002" spans="1:14" x14ac:dyDescent="0.3">
      <c r="A1002" s="1">
        <v>45745</v>
      </c>
      <c r="B1002" t="s">
        <v>393</v>
      </c>
      <c r="C1002" t="s">
        <v>90</v>
      </c>
      <c r="D1002" t="s">
        <v>74</v>
      </c>
      <c r="E1002" t="s">
        <v>67</v>
      </c>
      <c r="F1002">
        <v>7</v>
      </c>
      <c r="G1002">
        <v>153.68</v>
      </c>
      <c r="H1002" t="s">
        <v>68</v>
      </c>
      <c r="I1002" t="s">
        <v>1635</v>
      </c>
      <c r="J1002" t="s">
        <v>44</v>
      </c>
      <c r="K1002" t="s">
        <v>31</v>
      </c>
      <c r="L1002" t="s">
        <v>39</v>
      </c>
      <c r="M1002" t="s">
        <v>23</v>
      </c>
      <c r="N1002">
        <f>Sheet1[[#This Row],[Quantity]]*Sheet1[[#This Row],[UnitPrice]]</f>
        <v>1075.76</v>
      </c>
    </row>
    <row r="1003" spans="1:14" x14ac:dyDescent="0.3">
      <c r="A1003" s="1">
        <v>45718</v>
      </c>
      <c r="B1003" t="s">
        <v>608</v>
      </c>
      <c r="C1003" t="s">
        <v>78</v>
      </c>
      <c r="D1003" t="s">
        <v>74</v>
      </c>
      <c r="E1003" t="s">
        <v>27</v>
      </c>
      <c r="F1003">
        <v>8</v>
      </c>
      <c r="G1003">
        <v>240.82</v>
      </c>
      <c r="H1003" t="s">
        <v>36</v>
      </c>
      <c r="I1003" t="s">
        <v>1636</v>
      </c>
      <c r="J1003" t="s">
        <v>38</v>
      </c>
      <c r="K1003" t="s">
        <v>59</v>
      </c>
      <c r="L1003" t="s">
        <v>60</v>
      </c>
      <c r="M1003" t="s">
        <v>61</v>
      </c>
      <c r="N1003">
        <f>Sheet1[[#This Row],[Quantity]]*Sheet1[[#This Row],[UnitPrice]]</f>
        <v>1926.56</v>
      </c>
    </row>
    <row r="1004" spans="1:14" x14ac:dyDescent="0.3">
      <c r="A1004" s="1">
        <v>45540</v>
      </c>
      <c r="B1004" t="s">
        <v>1637</v>
      </c>
      <c r="C1004" t="s">
        <v>51</v>
      </c>
      <c r="D1004" t="s">
        <v>47</v>
      </c>
      <c r="E1004" t="s">
        <v>27</v>
      </c>
      <c r="F1004">
        <v>9</v>
      </c>
      <c r="G1004">
        <v>65.08</v>
      </c>
      <c r="H1004" t="s">
        <v>53</v>
      </c>
      <c r="I1004" t="s">
        <v>1638</v>
      </c>
      <c r="J1004" t="s">
        <v>44</v>
      </c>
      <c r="K1004" t="s">
        <v>21</v>
      </c>
      <c r="L1004" t="s">
        <v>22</v>
      </c>
      <c r="M1004" t="s">
        <v>32</v>
      </c>
      <c r="N1004">
        <f>Sheet1[[#This Row],[Quantity]]*Sheet1[[#This Row],[UnitPrice]]</f>
        <v>585.72</v>
      </c>
    </row>
    <row r="1005" spans="1:14" x14ac:dyDescent="0.3">
      <c r="A1005" s="1">
        <v>45249</v>
      </c>
      <c r="B1005" t="s">
        <v>1639</v>
      </c>
      <c r="C1005" t="s">
        <v>90</v>
      </c>
      <c r="D1005" t="s">
        <v>26</v>
      </c>
      <c r="E1005" t="s">
        <v>27</v>
      </c>
      <c r="F1005">
        <v>2</v>
      </c>
      <c r="G1005">
        <v>93.8</v>
      </c>
      <c r="H1005" t="s">
        <v>53</v>
      </c>
      <c r="I1005" t="s">
        <v>1640</v>
      </c>
      <c r="J1005" t="s">
        <v>20</v>
      </c>
      <c r="K1005" t="s">
        <v>31</v>
      </c>
      <c r="L1005" t="s">
        <v>22</v>
      </c>
      <c r="M1005" t="s">
        <v>61</v>
      </c>
      <c r="N1005">
        <f>Sheet1[[#This Row],[Quantity]]*Sheet1[[#This Row],[UnitPrice]]</f>
        <v>187.6</v>
      </c>
    </row>
    <row r="1006" spans="1:14" x14ac:dyDescent="0.3">
      <c r="A1006" s="1">
        <v>45500</v>
      </c>
      <c r="B1006" t="s">
        <v>721</v>
      </c>
      <c r="C1006" t="s">
        <v>25</v>
      </c>
      <c r="D1006" t="s">
        <v>74</v>
      </c>
      <c r="E1006" t="s">
        <v>35</v>
      </c>
      <c r="F1006">
        <v>4</v>
      </c>
      <c r="G1006">
        <v>138.49</v>
      </c>
      <c r="H1006" t="s">
        <v>68</v>
      </c>
      <c r="I1006" t="s">
        <v>1641</v>
      </c>
      <c r="J1006" t="s">
        <v>44</v>
      </c>
      <c r="K1006" t="s">
        <v>31</v>
      </c>
      <c r="L1006" t="s">
        <v>39</v>
      </c>
      <c r="M1006" t="s">
        <v>23</v>
      </c>
      <c r="N1006">
        <f>Sheet1[[#This Row],[Quantity]]*Sheet1[[#This Row],[UnitPrice]]</f>
        <v>553.96</v>
      </c>
    </row>
    <row r="1007" spans="1:14" x14ac:dyDescent="0.3">
      <c r="A1007" s="1">
        <v>45472</v>
      </c>
      <c r="B1007" t="s">
        <v>1642</v>
      </c>
      <c r="C1007" t="s">
        <v>90</v>
      </c>
      <c r="D1007" t="s">
        <v>26</v>
      </c>
      <c r="E1007" t="s">
        <v>52</v>
      </c>
      <c r="F1007">
        <v>2</v>
      </c>
      <c r="G1007">
        <v>75.8</v>
      </c>
      <c r="H1007" t="s">
        <v>36</v>
      </c>
      <c r="I1007" t="s">
        <v>1643</v>
      </c>
      <c r="J1007" t="s">
        <v>58</v>
      </c>
      <c r="K1007" t="s">
        <v>59</v>
      </c>
      <c r="L1007" t="s">
        <v>22</v>
      </c>
      <c r="M1007" t="s">
        <v>23</v>
      </c>
      <c r="N1007">
        <f>Sheet1[[#This Row],[Quantity]]*Sheet1[[#This Row],[UnitPrice]]</f>
        <v>151.6</v>
      </c>
    </row>
    <row r="1008" spans="1:14" x14ac:dyDescent="0.3">
      <c r="A1008" s="1">
        <v>45330</v>
      </c>
      <c r="B1008" t="s">
        <v>1135</v>
      </c>
      <c r="C1008" t="s">
        <v>78</v>
      </c>
      <c r="D1008" t="s">
        <v>26</v>
      </c>
      <c r="E1008" t="s">
        <v>17</v>
      </c>
      <c r="F1008">
        <v>8</v>
      </c>
      <c r="G1008">
        <v>89.24</v>
      </c>
      <c r="H1008" t="s">
        <v>68</v>
      </c>
      <c r="I1008" t="s">
        <v>1644</v>
      </c>
      <c r="J1008" t="s">
        <v>30</v>
      </c>
      <c r="K1008" t="s">
        <v>45</v>
      </c>
      <c r="L1008" t="s">
        <v>22</v>
      </c>
      <c r="M1008" t="s">
        <v>32</v>
      </c>
      <c r="N1008">
        <f>Sheet1[[#This Row],[Quantity]]*Sheet1[[#This Row],[UnitPrice]]</f>
        <v>713.92</v>
      </c>
    </row>
    <row r="1009" spans="1:14" x14ac:dyDescent="0.3">
      <c r="A1009" s="1">
        <v>45800</v>
      </c>
      <c r="B1009" t="s">
        <v>1645</v>
      </c>
      <c r="C1009" t="s">
        <v>73</v>
      </c>
      <c r="D1009" t="s">
        <v>26</v>
      </c>
      <c r="E1009" t="s">
        <v>27</v>
      </c>
      <c r="F1009">
        <v>2</v>
      </c>
      <c r="G1009">
        <v>386.54</v>
      </c>
      <c r="H1009" t="s">
        <v>36</v>
      </c>
      <c r="I1009" t="s">
        <v>1646</v>
      </c>
      <c r="J1009" t="s">
        <v>30</v>
      </c>
      <c r="K1009" t="s">
        <v>59</v>
      </c>
      <c r="L1009" t="s">
        <v>22</v>
      </c>
      <c r="M1009" t="s">
        <v>40</v>
      </c>
      <c r="N1009">
        <f>Sheet1[[#This Row],[Quantity]]*Sheet1[[#This Row],[UnitPrice]]</f>
        <v>773.08</v>
      </c>
    </row>
    <row r="1010" spans="1:14" x14ac:dyDescent="0.3">
      <c r="A1010" s="1">
        <v>45612</v>
      </c>
      <c r="B1010" t="s">
        <v>589</v>
      </c>
      <c r="C1010" t="s">
        <v>34</v>
      </c>
      <c r="D1010" t="s">
        <v>74</v>
      </c>
      <c r="E1010" t="s">
        <v>67</v>
      </c>
      <c r="F1010">
        <v>5</v>
      </c>
      <c r="G1010">
        <v>343.92</v>
      </c>
      <c r="H1010" t="s">
        <v>18</v>
      </c>
      <c r="I1010" t="s">
        <v>1647</v>
      </c>
      <c r="J1010" t="s">
        <v>20</v>
      </c>
      <c r="K1010" t="s">
        <v>31</v>
      </c>
      <c r="L1010" t="s">
        <v>60</v>
      </c>
      <c r="M1010" t="s">
        <v>23</v>
      </c>
      <c r="N1010">
        <f>Sheet1[[#This Row],[Quantity]]*Sheet1[[#This Row],[UnitPrice]]</f>
        <v>1719.6000000000001</v>
      </c>
    </row>
    <row r="1011" spans="1:14" x14ac:dyDescent="0.3">
      <c r="A1011" s="1">
        <v>45139</v>
      </c>
      <c r="B1011" t="s">
        <v>340</v>
      </c>
      <c r="C1011" t="s">
        <v>90</v>
      </c>
      <c r="D1011" t="s">
        <v>47</v>
      </c>
      <c r="E1011" t="s">
        <v>17</v>
      </c>
      <c r="F1011">
        <v>3</v>
      </c>
      <c r="G1011">
        <v>362.73</v>
      </c>
      <c r="H1011" t="s">
        <v>68</v>
      </c>
      <c r="I1011" t="s">
        <v>1648</v>
      </c>
      <c r="J1011" t="s">
        <v>58</v>
      </c>
      <c r="K1011" t="s">
        <v>59</v>
      </c>
      <c r="L1011" t="s">
        <v>60</v>
      </c>
      <c r="M1011" t="s">
        <v>84</v>
      </c>
      <c r="N1011">
        <f>Sheet1[[#This Row],[Quantity]]*Sheet1[[#This Row],[UnitPrice]]</f>
        <v>1088.19</v>
      </c>
    </row>
    <row r="1012" spans="1:14" x14ac:dyDescent="0.3">
      <c r="A1012" s="1">
        <v>45383</v>
      </c>
      <c r="B1012" t="s">
        <v>1426</v>
      </c>
      <c r="C1012" t="s">
        <v>63</v>
      </c>
      <c r="D1012" t="s">
        <v>74</v>
      </c>
      <c r="E1012" t="s">
        <v>27</v>
      </c>
      <c r="F1012">
        <v>7</v>
      </c>
      <c r="G1012">
        <v>355.17</v>
      </c>
      <c r="H1012" t="s">
        <v>68</v>
      </c>
      <c r="I1012" t="s">
        <v>1649</v>
      </c>
      <c r="J1012" t="s">
        <v>38</v>
      </c>
      <c r="K1012" t="s">
        <v>59</v>
      </c>
      <c r="L1012" t="s">
        <v>39</v>
      </c>
      <c r="M1012" t="s">
        <v>49</v>
      </c>
      <c r="N1012">
        <f>Sheet1[[#This Row],[Quantity]]*Sheet1[[#This Row],[UnitPrice]]</f>
        <v>2486.19</v>
      </c>
    </row>
    <row r="1013" spans="1:14" x14ac:dyDescent="0.3">
      <c r="A1013" s="1">
        <v>45247</v>
      </c>
      <c r="B1013" t="s">
        <v>1650</v>
      </c>
      <c r="C1013" t="s">
        <v>63</v>
      </c>
      <c r="D1013" t="s">
        <v>47</v>
      </c>
      <c r="E1013" t="s">
        <v>17</v>
      </c>
      <c r="F1013">
        <v>10</v>
      </c>
      <c r="G1013">
        <v>147.16</v>
      </c>
      <c r="H1013" t="s">
        <v>36</v>
      </c>
      <c r="I1013" t="s">
        <v>1651</v>
      </c>
      <c r="J1013" t="s">
        <v>30</v>
      </c>
      <c r="K1013" t="s">
        <v>45</v>
      </c>
      <c r="L1013" t="s">
        <v>39</v>
      </c>
      <c r="M1013" t="s">
        <v>40</v>
      </c>
      <c r="N1013">
        <f>Sheet1[[#This Row],[Quantity]]*Sheet1[[#This Row],[UnitPrice]]</f>
        <v>1471.6</v>
      </c>
    </row>
    <row r="1014" spans="1:14" x14ac:dyDescent="0.3">
      <c r="A1014" s="1">
        <v>45156</v>
      </c>
      <c r="B1014" t="s">
        <v>769</v>
      </c>
      <c r="C1014" t="s">
        <v>63</v>
      </c>
      <c r="D1014" t="s">
        <v>74</v>
      </c>
      <c r="E1014" t="s">
        <v>52</v>
      </c>
      <c r="F1014">
        <v>1</v>
      </c>
      <c r="G1014">
        <v>195.82</v>
      </c>
      <c r="H1014" t="s">
        <v>36</v>
      </c>
      <c r="I1014" t="s">
        <v>1652</v>
      </c>
      <c r="J1014" t="s">
        <v>44</v>
      </c>
      <c r="K1014" t="s">
        <v>59</v>
      </c>
      <c r="L1014" t="s">
        <v>22</v>
      </c>
      <c r="M1014" t="s">
        <v>40</v>
      </c>
      <c r="N1014">
        <f>Sheet1[[#This Row],[Quantity]]*Sheet1[[#This Row],[UnitPrice]]</f>
        <v>195.82</v>
      </c>
    </row>
    <row r="1015" spans="1:14" x14ac:dyDescent="0.3">
      <c r="A1015" s="1">
        <v>45674</v>
      </c>
      <c r="B1015" t="s">
        <v>1653</v>
      </c>
      <c r="C1015" t="s">
        <v>73</v>
      </c>
      <c r="D1015" t="s">
        <v>47</v>
      </c>
      <c r="E1015" t="s">
        <v>17</v>
      </c>
      <c r="F1015">
        <v>9</v>
      </c>
      <c r="G1015">
        <v>118.67</v>
      </c>
      <c r="H1015" t="s">
        <v>68</v>
      </c>
      <c r="I1015" t="s">
        <v>1654</v>
      </c>
      <c r="J1015" t="s">
        <v>58</v>
      </c>
      <c r="K1015" t="s">
        <v>21</v>
      </c>
      <c r="L1015" t="s">
        <v>22</v>
      </c>
      <c r="M1015" t="s">
        <v>40</v>
      </c>
      <c r="N1015">
        <f>Sheet1[[#This Row],[Quantity]]*Sheet1[[#This Row],[UnitPrice]]</f>
        <v>1068.03</v>
      </c>
    </row>
    <row r="1016" spans="1:14" x14ac:dyDescent="0.3">
      <c r="A1016" s="1">
        <v>45101</v>
      </c>
      <c r="B1016" t="s">
        <v>80</v>
      </c>
      <c r="C1016" t="s">
        <v>78</v>
      </c>
      <c r="D1016" t="s">
        <v>47</v>
      </c>
      <c r="E1016" t="s">
        <v>42</v>
      </c>
      <c r="F1016">
        <v>10</v>
      </c>
      <c r="G1016">
        <v>315.98</v>
      </c>
      <c r="H1016" t="s">
        <v>28</v>
      </c>
      <c r="I1016" t="s">
        <v>1655</v>
      </c>
      <c r="J1016" t="s">
        <v>58</v>
      </c>
      <c r="K1016" t="s">
        <v>59</v>
      </c>
      <c r="L1016" t="s">
        <v>39</v>
      </c>
      <c r="M1016" t="s">
        <v>23</v>
      </c>
      <c r="N1016">
        <f>Sheet1[[#This Row],[Quantity]]*Sheet1[[#This Row],[UnitPrice]]</f>
        <v>3159.8</v>
      </c>
    </row>
    <row r="1017" spans="1:14" x14ac:dyDescent="0.3">
      <c r="A1017" s="1">
        <v>44964</v>
      </c>
      <c r="B1017" t="s">
        <v>491</v>
      </c>
      <c r="C1017" t="s">
        <v>73</v>
      </c>
      <c r="D1017" t="s">
        <v>16</v>
      </c>
      <c r="E1017" t="s">
        <v>27</v>
      </c>
      <c r="F1017">
        <v>10</v>
      </c>
      <c r="G1017">
        <v>169.05</v>
      </c>
      <c r="H1017" t="s">
        <v>28</v>
      </c>
      <c r="I1017" t="s">
        <v>1656</v>
      </c>
      <c r="J1017" t="s">
        <v>58</v>
      </c>
      <c r="K1017" t="s">
        <v>59</v>
      </c>
      <c r="L1017" t="s">
        <v>60</v>
      </c>
      <c r="M1017" t="s">
        <v>84</v>
      </c>
      <c r="N1017">
        <f>Sheet1[[#This Row],[Quantity]]*Sheet1[[#This Row],[UnitPrice]]</f>
        <v>1690.5</v>
      </c>
    </row>
    <row r="1018" spans="1:14" x14ac:dyDescent="0.3">
      <c r="A1018" s="1">
        <v>45161</v>
      </c>
      <c r="B1018" t="s">
        <v>610</v>
      </c>
      <c r="C1018" t="s">
        <v>56</v>
      </c>
      <c r="D1018" t="s">
        <v>16</v>
      </c>
      <c r="E1018" t="s">
        <v>17</v>
      </c>
      <c r="F1018">
        <v>4</v>
      </c>
      <c r="G1018">
        <v>131.56</v>
      </c>
      <c r="H1018" t="s">
        <v>53</v>
      </c>
      <c r="I1018" t="s">
        <v>1657</v>
      </c>
      <c r="J1018" t="s">
        <v>58</v>
      </c>
      <c r="K1018" t="s">
        <v>59</v>
      </c>
      <c r="L1018" t="s">
        <v>60</v>
      </c>
      <c r="M1018" t="s">
        <v>76</v>
      </c>
      <c r="N1018">
        <f>Sheet1[[#This Row],[Quantity]]*Sheet1[[#This Row],[UnitPrice]]</f>
        <v>526.24</v>
      </c>
    </row>
    <row r="1019" spans="1:14" x14ac:dyDescent="0.3">
      <c r="A1019" s="1">
        <v>45313</v>
      </c>
      <c r="B1019" t="s">
        <v>344</v>
      </c>
      <c r="C1019" t="s">
        <v>15</v>
      </c>
      <c r="D1019" t="s">
        <v>26</v>
      </c>
      <c r="E1019" t="s">
        <v>64</v>
      </c>
      <c r="F1019">
        <v>6</v>
      </c>
      <c r="G1019">
        <v>129.19999999999999</v>
      </c>
      <c r="H1019" t="s">
        <v>53</v>
      </c>
      <c r="I1019" t="s">
        <v>1658</v>
      </c>
      <c r="J1019" t="s">
        <v>30</v>
      </c>
      <c r="K1019" t="s">
        <v>45</v>
      </c>
      <c r="L1019" t="s">
        <v>39</v>
      </c>
      <c r="M1019" t="s">
        <v>49</v>
      </c>
      <c r="N1019">
        <f>Sheet1[[#This Row],[Quantity]]*Sheet1[[#This Row],[UnitPrice]]</f>
        <v>775.19999999999993</v>
      </c>
    </row>
    <row r="1020" spans="1:14" x14ac:dyDescent="0.3">
      <c r="A1020" s="1">
        <v>45460</v>
      </c>
      <c r="B1020" t="s">
        <v>1659</v>
      </c>
      <c r="C1020" t="s">
        <v>73</v>
      </c>
      <c r="D1020" t="s">
        <v>74</v>
      </c>
      <c r="E1020" t="s">
        <v>35</v>
      </c>
      <c r="F1020">
        <v>8</v>
      </c>
      <c r="G1020">
        <v>214.09</v>
      </c>
      <c r="H1020" t="s">
        <v>68</v>
      </c>
      <c r="I1020" t="s">
        <v>1660</v>
      </c>
      <c r="J1020" t="s">
        <v>58</v>
      </c>
      <c r="K1020" t="s">
        <v>59</v>
      </c>
      <c r="L1020" t="s">
        <v>39</v>
      </c>
      <c r="M1020" t="s">
        <v>49</v>
      </c>
      <c r="N1020">
        <f>Sheet1[[#This Row],[Quantity]]*Sheet1[[#This Row],[UnitPrice]]</f>
        <v>1712.72</v>
      </c>
    </row>
    <row r="1021" spans="1:14" x14ac:dyDescent="0.3">
      <c r="A1021" s="1">
        <v>45036</v>
      </c>
      <c r="B1021" t="s">
        <v>436</v>
      </c>
      <c r="C1021" t="s">
        <v>101</v>
      </c>
      <c r="D1021" t="s">
        <v>47</v>
      </c>
      <c r="E1021" t="s">
        <v>27</v>
      </c>
      <c r="F1021">
        <v>10</v>
      </c>
      <c r="G1021">
        <v>396.16</v>
      </c>
      <c r="H1021" t="s">
        <v>18</v>
      </c>
      <c r="I1021" t="s">
        <v>1661</v>
      </c>
      <c r="J1021" t="s">
        <v>20</v>
      </c>
      <c r="K1021" t="s">
        <v>21</v>
      </c>
      <c r="L1021" t="s">
        <v>39</v>
      </c>
      <c r="M1021" t="s">
        <v>32</v>
      </c>
      <c r="N1021">
        <f>Sheet1[[#This Row],[Quantity]]*Sheet1[[#This Row],[UnitPrice]]</f>
        <v>3961.6000000000004</v>
      </c>
    </row>
    <row r="1022" spans="1:14" x14ac:dyDescent="0.3">
      <c r="A1022" s="1">
        <v>45029</v>
      </c>
      <c r="B1022" t="s">
        <v>1194</v>
      </c>
      <c r="C1022" t="s">
        <v>63</v>
      </c>
      <c r="D1022" t="s">
        <v>16</v>
      </c>
      <c r="E1022" t="s">
        <v>35</v>
      </c>
      <c r="F1022">
        <v>5</v>
      </c>
      <c r="G1022">
        <v>153.28</v>
      </c>
      <c r="H1022" t="s">
        <v>18</v>
      </c>
      <c r="I1022" t="s">
        <v>1662</v>
      </c>
      <c r="J1022" t="s">
        <v>58</v>
      </c>
      <c r="K1022" t="s">
        <v>31</v>
      </c>
      <c r="L1022" t="s">
        <v>39</v>
      </c>
      <c r="M1022" t="s">
        <v>32</v>
      </c>
      <c r="N1022">
        <f>Sheet1[[#This Row],[Quantity]]*Sheet1[[#This Row],[UnitPrice]]</f>
        <v>766.4</v>
      </c>
    </row>
    <row r="1023" spans="1:14" x14ac:dyDescent="0.3">
      <c r="A1023" s="1">
        <v>45466</v>
      </c>
      <c r="B1023" t="s">
        <v>642</v>
      </c>
      <c r="C1023" t="s">
        <v>78</v>
      </c>
      <c r="D1023" t="s">
        <v>16</v>
      </c>
      <c r="E1023" t="s">
        <v>35</v>
      </c>
      <c r="F1023">
        <v>6</v>
      </c>
      <c r="G1023">
        <v>348.35</v>
      </c>
      <c r="H1023" t="s">
        <v>36</v>
      </c>
      <c r="I1023" t="s">
        <v>1663</v>
      </c>
      <c r="J1023" t="s">
        <v>44</v>
      </c>
      <c r="K1023" t="s">
        <v>45</v>
      </c>
      <c r="L1023" t="s">
        <v>60</v>
      </c>
      <c r="M1023" t="s">
        <v>61</v>
      </c>
      <c r="N1023">
        <f>Sheet1[[#This Row],[Quantity]]*Sheet1[[#This Row],[UnitPrice]]</f>
        <v>2090.1000000000004</v>
      </c>
    </row>
    <row r="1024" spans="1:14" x14ac:dyDescent="0.3">
      <c r="A1024" s="1">
        <v>45666</v>
      </c>
      <c r="B1024" t="s">
        <v>383</v>
      </c>
      <c r="C1024" t="s">
        <v>73</v>
      </c>
      <c r="D1024" t="s">
        <v>16</v>
      </c>
      <c r="E1024" t="s">
        <v>42</v>
      </c>
      <c r="F1024">
        <v>8</v>
      </c>
      <c r="G1024">
        <v>74.959999999999994</v>
      </c>
      <c r="H1024" t="s">
        <v>68</v>
      </c>
      <c r="I1024" t="s">
        <v>1664</v>
      </c>
      <c r="J1024" t="s">
        <v>38</v>
      </c>
      <c r="K1024" t="s">
        <v>31</v>
      </c>
      <c r="L1024" t="s">
        <v>22</v>
      </c>
      <c r="M1024" t="s">
        <v>32</v>
      </c>
      <c r="N1024">
        <f>Sheet1[[#This Row],[Quantity]]*Sheet1[[#This Row],[UnitPrice]]</f>
        <v>599.67999999999995</v>
      </c>
    </row>
    <row r="1025" spans="1:14" x14ac:dyDescent="0.3">
      <c r="A1025" s="1">
        <v>45552</v>
      </c>
      <c r="B1025" t="s">
        <v>242</v>
      </c>
      <c r="C1025" t="s">
        <v>101</v>
      </c>
      <c r="D1025" t="s">
        <v>16</v>
      </c>
      <c r="E1025" t="s">
        <v>52</v>
      </c>
      <c r="F1025">
        <v>10</v>
      </c>
      <c r="G1025">
        <v>117.03</v>
      </c>
      <c r="H1025" t="s">
        <v>28</v>
      </c>
      <c r="I1025" t="s">
        <v>1665</v>
      </c>
      <c r="J1025" t="s">
        <v>20</v>
      </c>
      <c r="K1025" t="s">
        <v>21</v>
      </c>
      <c r="L1025" t="s">
        <v>39</v>
      </c>
      <c r="M1025" t="s">
        <v>84</v>
      </c>
      <c r="N1025">
        <f>Sheet1[[#This Row],[Quantity]]*Sheet1[[#This Row],[UnitPrice]]</f>
        <v>1170.3</v>
      </c>
    </row>
    <row r="1026" spans="1:14" x14ac:dyDescent="0.3">
      <c r="A1026" s="1">
        <v>45543</v>
      </c>
      <c r="B1026" t="s">
        <v>991</v>
      </c>
      <c r="C1026" t="s">
        <v>34</v>
      </c>
      <c r="D1026" t="s">
        <v>74</v>
      </c>
      <c r="E1026" t="s">
        <v>42</v>
      </c>
      <c r="F1026">
        <v>6</v>
      </c>
      <c r="G1026">
        <v>78.34</v>
      </c>
      <c r="H1026" t="s">
        <v>53</v>
      </c>
      <c r="I1026" t="s">
        <v>1666</v>
      </c>
      <c r="J1026" t="s">
        <v>58</v>
      </c>
      <c r="K1026" t="s">
        <v>31</v>
      </c>
      <c r="L1026" t="s">
        <v>39</v>
      </c>
      <c r="M1026" t="s">
        <v>61</v>
      </c>
      <c r="N1026">
        <f>Sheet1[[#This Row],[Quantity]]*Sheet1[[#This Row],[UnitPrice]]</f>
        <v>470.04</v>
      </c>
    </row>
    <row r="1027" spans="1:14" x14ac:dyDescent="0.3">
      <c r="A1027" s="1">
        <v>45455</v>
      </c>
      <c r="B1027" t="s">
        <v>1667</v>
      </c>
      <c r="C1027" t="s">
        <v>56</v>
      </c>
      <c r="D1027" t="s">
        <v>26</v>
      </c>
      <c r="E1027" t="s">
        <v>52</v>
      </c>
      <c r="F1027">
        <v>6</v>
      </c>
      <c r="G1027">
        <v>43.01</v>
      </c>
      <c r="H1027" t="s">
        <v>68</v>
      </c>
      <c r="I1027" t="s">
        <v>1668</v>
      </c>
      <c r="J1027" t="s">
        <v>30</v>
      </c>
      <c r="K1027" t="s">
        <v>45</v>
      </c>
      <c r="L1027" t="s">
        <v>39</v>
      </c>
      <c r="M1027" t="s">
        <v>76</v>
      </c>
      <c r="N1027">
        <f>Sheet1[[#This Row],[Quantity]]*Sheet1[[#This Row],[UnitPrice]]</f>
        <v>258.06</v>
      </c>
    </row>
    <row r="1028" spans="1:14" x14ac:dyDescent="0.3">
      <c r="A1028" s="1">
        <v>45159</v>
      </c>
      <c r="B1028" t="s">
        <v>934</v>
      </c>
      <c r="C1028" t="s">
        <v>15</v>
      </c>
      <c r="D1028" t="s">
        <v>16</v>
      </c>
      <c r="E1028" t="s">
        <v>64</v>
      </c>
      <c r="F1028">
        <v>8</v>
      </c>
      <c r="G1028">
        <v>182.52</v>
      </c>
      <c r="H1028" t="s">
        <v>18</v>
      </c>
      <c r="I1028" t="s">
        <v>1669</v>
      </c>
      <c r="J1028" t="s">
        <v>30</v>
      </c>
      <c r="K1028" t="s">
        <v>45</v>
      </c>
      <c r="L1028" t="s">
        <v>39</v>
      </c>
      <c r="M1028" t="s">
        <v>49</v>
      </c>
      <c r="N1028">
        <f>Sheet1[[#This Row],[Quantity]]*Sheet1[[#This Row],[UnitPrice]]</f>
        <v>1460.16</v>
      </c>
    </row>
    <row r="1029" spans="1:14" x14ac:dyDescent="0.3">
      <c r="A1029" s="1">
        <v>45758</v>
      </c>
      <c r="B1029" t="s">
        <v>182</v>
      </c>
      <c r="C1029" t="s">
        <v>63</v>
      </c>
      <c r="D1029" t="s">
        <v>26</v>
      </c>
      <c r="E1029" t="s">
        <v>64</v>
      </c>
      <c r="F1029">
        <v>2</v>
      </c>
      <c r="G1029">
        <v>21.91</v>
      </c>
      <c r="H1029" t="s">
        <v>53</v>
      </c>
      <c r="I1029" t="s">
        <v>1670</v>
      </c>
      <c r="J1029" t="s">
        <v>30</v>
      </c>
      <c r="K1029" t="s">
        <v>31</v>
      </c>
      <c r="L1029" t="s">
        <v>22</v>
      </c>
      <c r="M1029" t="s">
        <v>40</v>
      </c>
      <c r="N1029">
        <f>Sheet1[[#This Row],[Quantity]]*Sheet1[[#This Row],[UnitPrice]]</f>
        <v>43.82</v>
      </c>
    </row>
    <row r="1030" spans="1:14" x14ac:dyDescent="0.3">
      <c r="A1030" s="1">
        <v>44939</v>
      </c>
      <c r="B1030" t="s">
        <v>683</v>
      </c>
      <c r="C1030" t="s">
        <v>25</v>
      </c>
      <c r="D1030" t="s">
        <v>26</v>
      </c>
      <c r="E1030" t="s">
        <v>42</v>
      </c>
      <c r="F1030">
        <v>5</v>
      </c>
      <c r="G1030">
        <v>117.73</v>
      </c>
      <c r="H1030" t="s">
        <v>68</v>
      </c>
      <c r="I1030" t="s">
        <v>1671</v>
      </c>
      <c r="J1030" t="s">
        <v>38</v>
      </c>
      <c r="K1030" t="s">
        <v>21</v>
      </c>
      <c r="L1030" t="s">
        <v>39</v>
      </c>
      <c r="M1030" t="s">
        <v>40</v>
      </c>
      <c r="N1030">
        <f>Sheet1[[#This Row],[Quantity]]*Sheet1[[#This Row],[UnitPrice]]</f>
        <v>588.65</v>
      </c>
    </row>
    <row r="1031" spans="1:14" x14ac:dyDescent="0.3">
      <c r="A1031" s="1">
        <v>45667</v>
      </c>
      <c r="B1031" t="s">
        <v>568</v>
      </c>
      <c r="C1031" t="s">
        <v>73</v>
      </c>
      <c r="D1031" t="s">
        <v>74</v>
      </c>
      <c r="E1031" t="s">
        <v>17</v>
      </c>
      <c r="F1031">
        <v>5</v>
      </c>
      <c r="G1031">
        <v>23.2</v>
      </c>
      <c r="H1031" t="s">
        <v>36</v>
      </c>
      <c r="I1031" t="s">
        <v>1672</v>
      </c>
      <c r="J1031" t="s">
        <v>38</v>
      </c>
      <c r="K1031" t="s">
        <v>21</v>
      </c>
      <c r="L1031" t="s">
        <v>60</v>
      </c>
      <c r="M1031" t="s">
        <v>40</v>
      </c>
      <c r="N1031">
        <f>Sheet1[[#This Row],[Quantity]]*Sheet1[[#This Row],[UnitPrice]]</f>
        <v>116</v>
      </c>
    </row>
    <row r="1032" spans="1:14" x14ac:dyDescent="0.3">
      <c r="A1032" s="1">
        <v>45312</v>
      </c>
      <c r="B1032" t="s">
        <v>491</v>
      </c>
      <c r="C1032" t="s">
        <v>15</v>
      </c>
      <c r="D1032" t="s">
        <v>47</v>
      </c>
      <c r="E1032" t="s">
        <v>67</v>
      </c>
      <c r="F1032">
        <v>3</v>
      </c>
      <c r="G1032">
        <v>95.43</v>
      </c>
      <c r="H1032" t="s">
        <v>68</v>
      </c>
      <c r="I1032" t="s">
        <v>1673</v>
      </c>
      <c r="J1032" t="s">
        <v>58</v>
      </c>
      <c r="K1032" t="s">
        <v>59</v>
      </c>
      <c r="L1032" t="s">
        <v>60</v>
      </c>
      <c r="M1032" t="s">
        <v>61</v>
      </c>
      <c r="N1032">
        <f>Sheet1[[#This Row],[Quantity]]*Sheet1[[#This Row],[UnitPrice]]</f>
        <v>286.29000000000002</v>
      </c>
    </row>
    <row r="1033" spans="1:14" x14ac:dyDescent="0.3">
      <c r="A1033" s="1">
        <v>45726</v>
      </c>
      <c r="B1033" t="s">
        <v>107</v>
      </c>
      <c r="C1033" t="s">
        <v>90</v>
      </c>
      <c r="D1033" t="s">
        <v>16</v>
      </c>
      <c r="E1033" t="s">
        <v>67</v>
      </c>
      <c r="F1033">
        <v>3</v>
      </c>
      <c r="G1033">
        <v>48.91</v>
      </c>
      <c r="H1033" t="s">
        <v>36</v>
      </c>
      <c r="I1033" t="s">
        <v>1674</v>
      </c>
      <c r="J1033" t="s">
        <v>30</v>
      </c>
      <c r="K1033" t="s">
        <v>31</v>
      </c>
      <c r="L1033" t="s">
        <v>60</v>
      </c>
      <c r="M1033" t="s">
        <v>49</v>
      </c>
      <c r="N1033">
        <f>Sheet1[[#This Row],[Quantity]]*Sheet1[[#This Row],[UnitPrice]]</f>
        <v>146.72999999999999</v>
      </c>
    </row>
    <row r="1034" spans="1:14" x14ac:dyDescent="0.3">
      <c r="A1034" s="1">
        <v>45298</v>
      </c>
      <c r="B1034" t="s">
        <v>1065</v>
      </c>
      <c r="C1034" t="s">
        <v>63</v>
      </c>
      <c r="D1034" t="s">
        <v>74</v>
      </c>
      <c r="E1034" t="s">
        <v>35</v>
      </c>
      <c r="F1034">
        <v>6</v>
      </c>
      <c r="G1034">
        <v>123.15</v>
      </c>
      <c r="H1034" t="s">
        <v>68</v>
      </c>
      <c r="I1034" t="s">
        <v>1675</v>
      </c>
      <c r="J1034" t="s">
        <v>44</v>
      </c>
      <c r="K1034" t="s">
        <v>21</v>
      </c>
      <c r="L1034" t="s">
        <v>39</v>
      </c>
      <c r="M1034" t="s">
        <v>61</v>
      </c>
      <c r="N1034">
        <f>Sheet1[[#This Row],[Quantity]]*Sheet1[[#This Row],[UnitPrice]]</f>
        <v>738.90000000000009</v>
      </c>
    </row>
    <row r="1035" spans="1:14" x14ac:dyDescent="0.3">
      <c r="A1035" s="1">
        <v>45231</v>
      </c>
      <c r="B1035" t="s">
        <v>277</v>
      </c>
      <c r="C1035" t="s">
        <v>101</v>
      </c>
      <c r="D1035" t="s">
        <v>74</v>
      </c>
      <c r="E1035" t="s">
        <v>52</v>
      </c>
      <c r="F1035">
        <v>10</v>
      </c>
      <c r="G1035">
        <v>59.88</v>
      </c>
      <c r="H1035" t="s">
        <v>18</v>
      </c>
      <c r="I1035" t="s">
        <v>1676</v>
      </c>
      <c r="J1035" t="s">
        <v>20</v>
      </c>
      <c r="K1035" t="s">
        <v>31</v>
      </c>
      <c r="L1035" t="s">
        <v>60</v>
      </c>
      <c r="M1035" t="s">
        <v>76</v>
      </c>
      <c r="N1035">
        <f>Sheet1[[#This Row],[Quantity]]*Sheet1[[#This Row],[UnitPrice]]</f>
        <v>598.80000000000007</v>
      </c>
    </row>
    <row r="1036" spans="1:14" x14ac:dyDescent="0.3">
      <c r="A1036" s="1">
        <v>45338</v>
      </c>
      <c r="B1036" t="s">
        <v>596</v>
      </c>
      <c r="C1036" t="s">
        <v>56</v>
      </c>
      <c r="D1036" t="s">
        <v>26</v>
      </c>
      <c r="E1036" t="s">
        <v>52</v>
      </c>
      <c r="F1036">
        <v>1</v>
      </c>
      <c r="G1036">
        <v>309.32</v>
      </c>
      <c r="H1036" t="s">
        <v>36</v>
      </c>
      <c r="I1036" t="s">
        <v>1677</v>
      </c>
      <c r="J1036" t="s">
        <v>58</v>
      </c>
      <c r="K1036" t="s">
        <v>31</v>
      </c>
      <c r="L1036" t="s">
        <v>60</v>
      </c>
      <c r="M1036" t="s">
        <v>40</v>
      </c>
      <c r="N1036">
        <f>Sheet1[[#This Row],[Quantity]]*Sheet1[[#This Row],[UnitPrice]]</f>
        <v>309.32</v>
      </c>
    </row>
    <row r="1037" spans="1:14" x14ac:dyDescent="0.3">
      <c r="A1037" s="1">
        <v>45138</v>
      </c>
      <c r="B1037" t="s">
        <v>190</v>
      </c>
      <c r="C1037" t="s">
        <v>63</v>
      </c>
      <c r="D1037" t="s">
        <v>47</v>
      </c>
      <c r="E1037" t="s">
        <v>27</v>
      </c>
      <c r="F1037">
        <v>1</v>
      </c>
      <c r="G1037">
        <v>181.86</v>
      </c>
      <c r="H1037" t="s">
        <v>36</v>
      </c>
      <c r="I1037" t="s">
        <v>1678</v>
      </c>
      <c r="J1037" t="s">
        <v>44</v>
      </c>
      <c r="K1037" t="s">
        <v>31</v>
      </c>
      <c r="L1037" t="s">
        <v>39</v>
      </c>
      <c r="M1037" t="s">
        <v>49</v>
      </c>
      <c r="N1037">
        <f>Sheet1[[#This Row],[Quantity]]*Sheet1[[#This Row],[UnitPrice]]</f>
        <v>181.86</v>
      </c>
    </row>
    <row r="1038" spans="1:14" x14ac:dyDescent="0.3">
      <c r="A1038" s="1">
        <v>45739</v>
      </c>
      <c r="B1038" t="s">
        <v>796</v>
      </c>
      <c r="C1038" t="s">
        <v>25</v>
      </c>
      <c r="D1038" t="s">
        <v>74</v>
      </c>
      <c r="E1038" t="s">
        <v>35</v>
      </c>
      <c r="F1038">
        <v>10</v>
      </c>
      <c r="G1038">
        <v>125.01</v>
      </c>
      <c r="H1038" t="s">
        <v>68</v>
      </c>
      <c r="I1038" t="s">
        <v>1679</v>
      </c>
      <c r="J1038" t="s">
        <v>44</v>
      </c>
      <c r="K1038" t="s">
        <v>59</v>
      </c>
      <c r="L1038" t="s">
        <v>22</v>
      </c>
      <c r="M1038" t="s">
        <v>61</v>
      </c>
      <c r="N1038">
        <f>Sheet1[[#This Row],[Quantity]]*Sheet1[[#This Row],[UnitPrice]]</f>
        <v>1250.1000000000001</v>
      </c>
    </row>
    <row r="1039" spans="1:14" x14ac:dyDescent="0.3">
      <c r="A1039" s="1">
        <v>45396</v>
      </c>
      <c r="B1039" t="s">
        <v>1680</v>
      </c>
      <c r="C1039" t="s">
        <v>34</v>
      </c>
      <c r="D1039" t="s">
        <v>47</v>
      </c>
      <c r="E1039" t="s">
        <v>35</v>
      </c>
      <c r="F1039">
        <v>6</v>
      </c>
      <c r="G1039">
        <v>187.23</v>
      </c>
      <c r="H1039" t="s">
        <v>53</v>
      </c>
      <c r="I1039" t="s">
        <v>1681</v>
      </c>
      <c r="J1039" t="s">
        <v>30</v>
      </c>
      <c r="K1039" t="s">
        <v>21</v>
      </c>
      <c r="L1039" t="s">
        <v>39</v>
      </c>
      <c r="M1039" t="s">
        <v>61</v>
      </c>
      <c r="N1039">
        <f>Sheet1[[#This Row],[Quantity]]*Sheet1[[#This Row],[UnitPrice]]</f>
        <v>1123.3799999999999</v>
      </c>
    </row>
    <row r="1040" spans="1:14" x14ac:dyDescent="0.3">
      <c r="A1040" s="1">
        <v>45104</v>
      </c>
      <c r="B1040" t="s">
        <v>1286</v>
      </c>
      <c r="C1040" t="s">
        <v>63</v>
      </c>
      <c r="D1040" t="s">
        <v>74</v>
      </c>
      <c r="E1040" t="s">
        <v>27</v>
      </c>
      <c r="F1040">
        <v>4</v>
      </c>
      <c r="G1040">
        <v>232.92</v>
      </c>
      <c r="H1040" t="s">
        <v>28</v>
      </c>
      <c r="I1040" t="s">
        <v>1682</v>
      </c>
      <c r="J1040" t="s">
        <v>20</v>
      </c>
      <c r="K1040" t="s">
        <v>45</v>
      </c>
      <c r="L1040" t="s">
        <v>22</v>
      </c>
      <c r="M1040" t="s">
        <v>84</v>
      </c>
      <c r="N1040">
        <f>Sheet1[[#This Row],[Quantity]]*Sheet1[[#This Row],[UnitPrice]]</f>
        <v>931.68</v>
      </c>
    </row>
    <row r="1041" spans="1:14" x14ac:dyDescent="0.3">
      <c r="A1041" s="1">
        <v>45285</v>
      </c>
      <c r="B1041" t="s">
        <v>105</v>
      </c>
      <c r="C1041" t="s">
        <v>78</v>
      </c>
      <c r="D1041" t="s">
        <v>47</v>
      </c>
      <c r="E1041" t="s">
        <v>52</v>
      </c>
      <c r="F1041">
        <v>8</v>
      </c>
      <c r="G1041">
        <v>89.85</v>
      </c>
      <c r="H1041" t="s">
        <v>18</v>
      </c>
      <c r="I1041" t="s">
        <v>1683</v>
      </c>
      <c r="J1041" t="s">
        <v>20</v>
      </c>
      <c r="K1041" t="s">
        <v>21</v>
      </c>
      <c r="L1041" t="s">
        <v>39</v>
      </c>
      <c r="M1041" t="s">
        <v>49</v>
      </c>
      <c r="N1041">
        <f>Sheet1[[#This Row],[Quantity]]*Sheet1[[#This Row],[UnitPrice]]</f>
        <v>718.8</v>
      </c>
    </row>
    <row r="1042" spans="1:14" x14ac:dyDescent="0.3">
      <c r="A1042" s="1">
        <v>45510</v>
      </c>
      <c r="B1042" t="s">
        <v>1684</v>
      </c>
      <c r="C1042" t="s">
        <v>51</v>
      </c>
      <c r="D1042" t="s">
        <v>16</v>
      </c>
      <c r="E1042" t="s">
        <v>35</v>
      </c>
      <c r="F1042">
        <v>10</v>
      </c>
      <c r="G1042">
        <v>85.85</v>
      </c>
      <c r="H1042" t="s">
        <v>68</v>
      </c>
      <c r="I1042" t="s">
        <v>1685</v>
      </c>
      <c r="J1042" t="s">
        <v>38</v>
      </c>
      <c r="K1042" t="s">
        <v>59</v>
      </c>
      <c r="L1042" t="s">
        <v>39</v>
      </c>
      <c r="M1042" t="s">
        <v>84</v>
      </c>
      <c r="N1042">
        <f>Sheet1[[#This Row],[Quantity]]*Sheet1[[#This Row],[UnitPrice]]</f>
        <v>858.5</v>
      </c>
    </row>
    <row r="1043" spans="1:14" x14ac:dyDescent="0.3">
      <c r="A1043" s="1">
        <v>45312</v>
      </c>
      <c r="B1043" t="s">
        <v>999</v>
      </c>
      <c r="C1043" t="s">
        <v>15</v>
      </c>
      <c r="D1043" t="s">
        <v>74</v>
      </c>
      <c r="E1043" t="s">
        <v>52</v>
      </c>
      <c r="F1043">
        <v>9</v>
      </c>
      <c r="G1043">
        <v>235.54</v>
      </c>
      <c r="H1043" t="s">
        <v>53</v>
      </c>
      <c r="I1043" t="s">
        <v>1686</v>
      </c>
      <c r="J1043" t="s">
        <v>58</v>
      </c>
      <c r="K1043" t="s">
        <v>59</v>
      </c>
      <c r="L1043" t="s">
        <v>60</v>
      </c>
      <c r="M1043" t="s">
        <v>61</v>
      </c>
      <c r="N1043">
        <f>Sheet1[[#This Row],[Quantity]]*Sheet1[[#This Row],[UnitPrice]]</f>
        <v>2119.86</v>
      </c>
    </row>
    <row r="1044" spans="1:14" x14ac:dyDescent="0.3">
      <c r="A1044" s="1">
        <v>45638</v>
      </c>
      <c r="B1044" t="s">
        <v>1687</v>
      </c>
      <c r="C1044" t="s">
        <v>73</v>
      </c>
      <c r="D1044" t="s">
        <v>47</v>
      </c>
      <c r="E1044" t="s">
        <v>27</v>
      </c>
      <c r="F1044">
        <v>6</v>
      </c>
      <c r="G1044">
        <v>133.12</v>
      </c>
      <c r="H1044" t="s">
        <v>18</v>
      </c>
      <c r="I1044" t="s">
        <v>1688</v>
      </c>
      <c r="J1044" t="s">
        <v>30</v>
      </c>
      <c r="K1044" t="s">
        <v>31</v>
      </c>
      <c r="L1044" t="s">
        <v>22</v>
      </c>
      <c r="M1044" t="s">
        <v>32</v>
      </c>
      <c r="N1044">
        <f>Sheet1[[#This Row],[Quantity]]*Sheet1[[#This Row],[UnitPrice]]</f>
        <v>798.72</v>
      </c>
    </row>
    <row r="1045" spans="1:14" x14ac:dyDescent="0.3">
      <c r="A1045" s="1">
        <v>45349</v>
      </c>
      <c r="B1045" t="s">
        <v>1383</v>
      </c>
      <c r="C1045" t="s">
        <v>101</v>
      </c>
      <c r="D1045" t="s">
        <v>74</v>
      </c>
      <c r="E1045" t="s">
        <v>27</v>
      </c>
      <c r="F1045">
        <v>5</v>
      </c>
      <c r="G1045">
        <v>311.8</v>
      </c>
      <c r="H1045" t="s">
        <v>68</v>
      </c>
      <c r="I1045" t="s">
        <v>1689</v>
      </c>
      <c r="J1045" t="s">
        <v>44</v>
      </c>
      <c r="K1045" t="s">
        <v>21</v>
      </c>
      <c r="L1045" t="s">
        <v>39</v>
      </c>
      <c r="M1045" t="s">
        <v>84</v>
      </c>
      <c r="N1045">
        <f>Sheet1[[#This Row],[Quantity]]*Sheet1[[#This Row],[UnitPrice]]</f>
        <v>1559</v>
      </c>
    </row>
    <row r="1046" spans="1:14" x14ac:dyDescent="0.3">
      <c r="A1046" s="1">
        <v>45542</v>
      </c>
      <c r="B1046" t="s">
        <v>1690</v>
      </c>
      <c r="C1046" t="s">
        <v>78</v>
      </c>
      <c r="D1046" t="s">
        <v>74</v>
      </c>
      <c r="E1046" t="s">
        <v>64</v>
      </c>
      <c r="F1046">
        <v>5</v>
      </c>
      <c r="G1046">
        <v>179.97</v>
      </c>
      <c r="H1046" t="s">
        <v>18</v>
      </c>
      <c r="I1046" t="s">
        <v>1691</v>
      </c>
      <c r="J1046" t="s">
        <v>38</v>
      </c>
      <c r="K1046" t="s">
        <v>21</v>
      </c>
      <c r="L1046" t="s">
        <v>39</v>
      </c>
      <c r="M1046" t="s">
        <v>23</v>
      </c>
      <c r="N1046">
        <f>Sheet1[[#This Row],[Quantity]]*Sheet1[[#This Row],[UnitPrice]]</f>
        <v>899.85</v>
      </c>
    </row>
    <row r="1047" spans="1:14" x14ac:dyDescent="0.3">
      <c r="A1047" s="1">
        <v>45299</v>
      </c>
      <c r="B1047" t="s">
        <v>1692</v>
      </c>
      <c r="C1047" t="s">
        <v>51</v>
      </c>
      <c r="D1047" t="s">
        <v>74</v>
      </c>
      <c r="E1047" t="s">
        <v>35</v>
      </c>
      <c r="F1047">
        <v>4</v>
      </c>
      <c r="G1047">
        <v>195.82</v>
      </c>
      <c r="H1047" t="s">
        <v>36</v>
      </c>
      <c r="I1047" t="s">
        <v>1693</v>
      </c>
      <c r="J1047" t="s">
        <v>30</v>
      </c>
      <c r="K1047" t="s">
        <v>45</v>
      </c>
      <c r="L1047" t="s">
        <v>60</v>
      </c>
      <c r="M1047" t="s">
        <v>49</v>
      </c>
      <c r="N1047">
        <f>Sheet1[[#This Row],[Quantity]]*Sheet1[[#This Row],[UnitPrice]]</f>
        <v>783.28</v>
      </c>
    </row>
    <row r="1048" spans="1:14" x14ac:dyDescent="0.3">
      <c r="A1048" s="1">
        <v>45089</v>
      </c>
      <c r="B1048" t="s">
        <v>438</v>
      </c>
      <c r="C1048" t="s">
        <v>78</v>
      </c>
      <c r="D1048" t="s">
        <v>74</v>
      </c>
      <c r="E1048" t="s">
        <v>52</v>
      </c>
      <c r="F1048">
        <v>6</v>
      </c>
      <c r="G1048">
        <v>80.69</v>
      </c>
      <c r="H1048" t="s">
        <v>36</v>
      </c>
      <c r="I1048" t="s">
        <v>1694</v>
      </c>
      <c r="J1048" t="s">
        <v>38</v>
      </c>
      <c r="K1048" t="s">
        <v>31</v>
      </c>
      <c r="L1048" t="s">
        <v>39</v>
      </c>
      <c r="M1048" t="s">
        <v>49</v>
      </c>
      <c r="N1048">
        <f>Sheet1[[#This Row],[Quantity]]*Sheet1[[#This Row],[UnitPrice]]</f>
        <v>484.14</v>
      </c>
    </row>
    <row r="1049" spans="1:14" x14ac:dyDescent="0.3">
      <c r="A1049" s="1">
        <v>45531</v>
      </c>
      <c r="B1049" t="s">
        <v>381</v>
      </c>
      <c r="C1049" t="s">
        <v>56</v>
      </c>
      <c r="D1049" t="s">
        <v>16</v>
      </c>
      <c r="E1049" t="s">
        <v>17</v>
      </c>
      <c r="F1049">
        <v>8</v>
      </c>
      <c r="G1049">
        <v>271.51</v>
      </c>
      <c r="H1049" t="s">
        <v>68</v>
      </c>
      <c r="I1049" t="s">
        <v>1695</v>
      </c>
      <c r="J1049" t="s">
        <v>20</v>
      </c>
      <c r="K1049" t="s">
        <v>21</v>
      </c>
      <c r="L1049" t="s">
        <v>39</v>
      </c>
      <c r="M1049" t="s">
        <v>84</v>
      </c>
      <c r="N1049">
        <f>Sheet1[[#This Row],[Quantity]]*Sheet1[[#This Row],[UnitPrice]]</f>
        <v>2172.08</v>
      </c>
    </row>
    <row r="1050" spans="1:14" x14ac:dyDescent="0.3">
      <c r="A1050" s="1">
        <v>45702</v>
      </c>
      <c r="B1050" t="s">
        <v>1610</v>
      </c>
      <c r="C1050" t="s">
        <v>73</v>
      </c>
      <c r="D1050" t="s">
        <v>74</v>
      </c>
      <c r="E1050" t="s">
        <v>42</v>
      </c>
      <c r="F1050">
        <v>1</v>
      </c>
      <c r="G1050">
        <v>294.61</v>
      </c>
      <c r="H1050" t="s">
        <v>18</v>
      </c>
      <c r="I1050" t="s">
        <v>1696</v>
      </c>
      <c r="J1050" t="s">
        <v>38</v>
      </c>
      <c r="K1050" t="s">
        <v>45</v>
      </c>
      <c r="L1050" t="s">
        <v>60</v>
      </c>
      <c r="M1050" t="s">
        <v>40</v>
      </c>
      <c r="N1050">
        <f>Sheet1[[#This Row],[Quantity]]*Sheet1[[#This Row],[UnitPrice]]</f>
        <v>294.61</v>
      </c>
    </row>
    <row r="1051" spans="1:14" x14ac:dyDescent="0.3">
      <c r="A1051" s="1">
        <v>45513</v>
      </c>
      <c r="B1051" t="s">
        <v>802</v>
      </c>
      <c r="C1051" t="s">
        <v>56</v>
      </c>
      <c r="D1051" t="s">
        <v>74</v>
      </c>
      <c r="E1051" t="s">
        <v>42</v>
      </c>
      <c r="F1051">
        <v>4</v>
      </c>
      <c r="G1051">
        <v>204.59</v>
      </c>
      <c r="H1051" t="s">
        <v>28</v>
      </c>
      <c r="I1051" t="s">
        <v>1697</v>
      </c>
      <c r="J1051" t="s">
        <v>44</v>
      </c>
      <c r="K1051" t="s">
        <v>59</v>
      </c>
      <c r="L1051" t="s">
        <v>22</v>
      </c>
      <c r="M1051" t="s">
        <v>40</v>
      </c>
      <c r="N1051">
        <f>Sheet1[[#This Row],[Quantity]]*Sheet1[[#This Row],[UnitPrice]]</f>
        <v>818.36</v>
      </c>
    </row>
    <row r="1052" spans="1:14" x14ac:dyDescent="0.3">
      <c r="A1052" s="1">
        <v>45792</v>
      </c>
      <c r="B1052" t="s">
        <v>610</v>
      </c>
      <c r="C1052" t="s">
        <v>56</v>
      </c>
      <c r="D1052" t="s">
        <v>47</v>
      </c>
      <c r="E1052" t="s">
        <v>42</v>
      </c>
      <c r="F1052">
        <v>10</v>
      </c>
      <c r="G1052">
        <v>189.33</v>
      </c>
      <c r="H1052" t="s">
        <v>36</v>
      </c>
      <c r="I1052" t="s">
        <v>1698</v>
      </c>
      <c r="J1052" t="s">
        <v>58</v>
      </c>
      <c r="K1052" t="s">
        <v>31</v>
      </c>
      <c r="L1052" t="s">
        <v>60</v>
      </c>
      <c r="M1052" t="s">
        <v>32</v>
      </c>
      <c r="N1052">
        <f>Sheet1[[#This Row],[Quantity]]*Sheet1[[#This Row],[UnitPrice]]</f>
        <v>1893.3000000000002</v>
      </c>
    </row>
    <row r="1053" spans="1:14" x14ac:dyDescent="0.3">
      <c r="A1053" s="1">
        <v>45030</v>
      </c>
      <c r="B1053" t="s">
        <v>1177</v>
      </c>
      <c r="C1053" t="s">
        <v>56</v>
      </c>
      <c r="D1053" t="s">
        <v>74</v>
      </c>
      <c r="E1053" t="s">
        <v>64</v>
      </c>
      <c r="F1053">
        <v>6</v>
      </c>
      <c r="G1053">
        <v>177.5</v>
      </c>
      <c r="H1053" t="s">
        <v>36</v>
      </c>
      <c r="I1053" t="s">
        <v>1699</v>
      </c>
      <c r="J1053" t="s">
        <v>58</v>
      </c>
      <c r="K1053" t="s">
        <v>59</v>
      </c>
      <c r="L1053" t="s">
        <v>39</v>
      </c>
      <c r="M1053" t="s">
        <v>40</v>
      </c>
      <c r="N1053">
        <f>Sheet1[[#This Row],[Quantity]]*Sheet1[[#This Row],[UnitPrice]]</f>
        <v>1065</v>
      </c>
    </row>
    <row r="1054" spans="1:14" x14ac:dyDescent="0.3">
      <c r="A1054" s="1">
        <v>44959</v>
      </c>
      <c r="B1054" t="s">
        <v>1223</v>
      </c>
      <c r="C1054" t="s">
        <v>73</v>
      </c>
      <c r="D1054" t="s">
        <v>16</v>
      </c>
      <c r="E1054" t="s">
        <v>35</v>
      </c>
      <c r="F1054">
        <v>6</v>
      </c>
      <c r="G1054">
        <v>9.1199999999999992</v>
      </c>
      <c r="H1054" t="s">
        <v>36</v>
      </c>
      <c r="I1054" t="s">
        <v>1700</v>
      </c>
      <c r="J1054" t="s">
        <v>30</v>
      </c>
      <c r="K1054" t="s">
        <v>31</v>
      </c>
      <c r="L1054" t="s">
        <v>60</v>
      </c>
      <c r="M1054" t="s">
        <v>32</v>
      </c>
      <c r="N1054">
        <f>Sheet1[[#This Row],[Quantity]]*Sheet1[[#This Row],[UnitPrice]]</f>
        <v>54.72</v>
      </c>
    </row>
    <row r="1055" spans="1:14" x14ac:dyDescent="0.3">
      <c r="A1055" s="1">
        <v>45441</v>
      </c>
      <c r="B1055" t="s">
        <v>754</v>
      </c>
      <c r="C1055" t="s">
        <v>63</v>
      </c>
      <c r="D1055" t="s">
        <v>74</v>
      </c>
      <c r="E1055" t="s">
        <v>27</v>
      </c>
      <c r="F1055">
        <v>3</v>
      </c>
      <c r="G1055">
        <v>84.26</v>
      </c>
      <c r="H1055" t="s">
        <v>28</v>
      </c>
      <c r="I1055" t="s">
        <v>1701</v>
      </c>
      <c r="J1055" t="s">
        <v>30</v>
      </c>
      <c r="K1055" t="s">
        <v>21</v>
      </c>
      <c r="L1055" t="s">
        <v>39</v>
      </c>
      <c r="M1055" t="s">
        <v>76</v>
      </c>
      <c r="N1055">
        <f>Sheet1[[#This Row],[Quantity]]*Sheet1[[#This Row],[UnitPrice]]</f>
        <v>252.78000000000003</v>
      </c>
    </row>
    <row r="1056" spans="1:14" x14ac:dyDescent="0.3">
      <c r="A1056" s="1">
        <v>45356</v>
      </c>
      <c r="B1056" t="s">
        <v>383</v>
      </c>
      <c r="C1056" t="s">
        <v>101</v>
      </c>
      <c r="D1056" t="s">
        <v>74</v>
      </c>
      <c r="E1056" t="s">
        <v>67</v>
      </c>
      <c r="F1056">
        <v>5</v>
      </c>
      <c r="G1056">
        <v>66.75</v>
      </c>
      <c r="H1056" t="s">
        <v>36</v>
      </c>
      <c r="I1056" t="s">
        <v>1702</v>
      </c>
      <c r="J1056" t="s">
        <v>44</v>
      </c>
      <c r="K1056" t="s">
        <v>31</v>
      </c>
      <c r="L1056" t="s">
        <v>22</v>
      </c>
      <c r="M1056" t="s">
        <v>84</v>
      </c>
      <c r="N1056">
        <f>Sheet1[[#This Row],[Quantity]]*Sheet1[[#This Row],[UnitPrice]]</f>
        <v>333.75</v>
      </c>
    </row>
    <row r="1057" spans="1:14" x14ac:dyDescent="0.3">
      <c r="A1057" s="1">
        <v>45073</v>
      </c>
      <c r="B1057" t="s">
        <v>829</v>
      </c>
      <c r="C1057" t="s">
        <v>34</v>
      </c>
      <c r="D1057" t="s">
        <v>47</v>
      </c>
      <c r="E1057" t="s">
        <v>35</v>
      </c>
      <c r="F1057">
        <v>2</v>
      </c>
      <c r="G1057">
        <v>388.63</v>
      </c>
      <c r="H1057" t="s">
        <v>36</v>
      </c>
      <c r="I1057" t="s">
        <v>1703</v>
      </c>
      <c r="J1057" t="s">
        <v>38</v>
      </c>
      <c r="K1057" t="s">
        <v>45</v>
      </c>
      <c r="L1057" t="s">
        <v>39</v>
      </c>
      <c r="M1057" t="s">
        <v>23</v>
      </c>
      <c r="N1057">
        <f>Sheet1[[#This Row],[Quantity]]*Sheet1[[#This Row],[UnitPrice]]</f>
        <v>777.26</v>
      </c>
    </row>
    <row r="1058" spans="1:14" x14ac:dyDescent="0.3">
      <c r="A1058" s="1">
        <v>45352</v>
      </c>
      <c r="B1058" t="s">
        <v>589</v>
      </c>
      <c r="C1058" t="s">
        <v>78</v>
      </c>
      <c r="D1058" t="s">
        <v>26</v>
      </c>
      <c r="E1058" t="s">
        <v>35</v>
      </c>
      <c r="F1058">
        <v>1</v>
      </c>
      <c r="G1058">
        <v>59.73</v>
      </c>
      <c r="H1058" t="s">
        <v>28</v>
      </c>
      <c r="I1058" t="s">
        <v>1704</v>
      </c>
      <c r="J1058" t="s">
        <v>44</v>
      </c>
      <c r="K1058" t="s">
        <v>31</v>
      </c>
      <c r="L1058" t="s">
        <v>60</v>
      </c>
      <c r="M1058" t="s">
        <v>40</v>
      </c>
      <c r="N1058">
        <f>Sheet1[[#This Row],[Quantity]]*Sheet1[[#This Row],[UnitPrice]]</f>
        <v>59.73</v>
      </c>
    </row>
    <row r="1059" spans="1:14" x14ac:dyDescent="0.3">
      <c r="A1059" s="1">
        <v>45140</v>
      </c>
      <c r="B1059" t="s">
        <v>1705</v>
      </c>
      <c r="C1059" t="s">
        <v>78</v>
      </c>
      <c r="D1059" t="s">
        <v>47</v>
      </c>
      <c r="E1059" t="s">
        <v>52</v>
      </c>
      <c r="F1059">
        <v>6</v>
      </c>
      <c r="G1059">
        <v>60.67</v>
      </c>
      <c r="H1059" t="s">
        <v>68</v>
      </c>
      <c r="I1059" t="s">
        <v>1706</v>
      </c>
      <c r="J1059" t="s">
        <v>58</v>
      </c>
      <c r="K1059" t="s">
        <v>45</v>
      </c>
      <c r="L1059" t="s">
        <v>39</v>
      </c>
      <c r="M1059" t="s">
        <v>76</v>
      </c>
      <c r="N1059">
        <f>Sheet1[[#This Row],[Quantity]]*Sheet1[[#This Row],[UnitPrice]]</f>
        <v>364.02</v>
      </c>
    </row>
    <row r="1060" spans="1:14" x14ac:dyDescent="0.3">
      <c r="A1060" s="1">
        <v>45661</v>
      </c>
      <c r="B1060" t="s">
        <v>896</v>
      </c>
      <c r="C1060" t="s">
        <v>56</v>
      </c>
      <c r="D1060" t="s">
        <v>74</v>
      </c>
      <c r="E1060" t="s">
        <v>67</v>
      </c>
      <c r="F1060">
        <v>9</v>
      </c>
      <c r="G1060">
        <v>98.31</v>
      </c>
      <c r="H1060" t="s">
        <v>53</v>
      </c>
      <c r="I1060" t="s">
        <v>1707</v>
      </c>
      <c r="J1060" t="s">
        <v>30</v>
      </c>
      <c r="K1060" t="s">
        <v>31</v>
      </c>
      <c r="L1060" t="s">
        <v>22</v>
      </c>
      <c r="M1060" t="s">
        <v>23</v>
      </c>
      <c r="N1060">
        <f>Sheet1[[#This Row],[Quantity]]*Sheet1[[#This Row],[UnitPrice]]</f>
        <v>884.79</v>
      </c>
    </row>
    <row r="1061" spans="1:14" x14ac:dyDescent="0.3">
      <c r="A1061" s="1">
        <v>44956</v>
      </c>
      <c r="B1061" t="s">
        <v>292</v>
      </c>
      <c r="C1061" t="s">
        <v>101</v>
      </c>
      <c r="D1061" t="s">
        <v>74</v>
      </c>
      <c r="E1061" t="s">
        <v>27</v>
      </c>
      <c r="F1061">
        <v>2</v>
      </c>
      <c r="G1061">
        <v>197.88</v>
      </c>
      <c r="H1061" t="s">
        <v>28</v>
      </c>
      <c r="I1061" t="s">
        <v>1708</v>
      </c>
      <c r="J1061" t="s">
        <v>20</v>
      </c>
      <c r="K1061" t="s">
        <v>59</v>
      </c>
      <c r="L1061" t="s">
        <v>60</v>
      </c>
      <c r="M1061" t="s">
        <v>49</v>
      </c>
      <c r="N1061">
        <f>Sheet1[[#This Row],[Quantity]]*Sheet1[[#This Row],[UnitPrice]]</f>
        <v>395.76</v>
      </c>
    </row>
    <row r="1062" spans="1:14" x14ac:dyDescent="0.3">
      <c r="A1062" s="1">
        <v>45147</v>
      </c>
      <c r="B1062" t="s">
        <v>730</v>
      </c>
      <c r="C1062" t="s">
        <v>15</v>
      </c>
      <c r="D1062" t="s">
        <v>16</v>
      </c>
      <c r="E1062" t="s">
        <v>67</v>
      </c>
      <c r="F1062">
        <v>8</v>
      </c>
      <c r="G1062">
        <v>32.6</v>
      </c>
      <c r="H1062" t="s">
        <v>18</v>
      </c>
      <c r="I1062" t="s">
        <v>1709</v>
      </c>
      <c r="J1062" t="s">
        <v>20</v>
      </c>
      <c r="K1062" t="s">
        <v>45</v>
      </c>
      <c r="L1062" t="s">
        <v>22</v>
      </c>
      <c r="M1062" t="s">
        <v>76</v>
      </c>
      <c r="N1062">
        <f>Sheet1[[#This Row],[Quantity]]*Sheet1[[#This Row],[UnitPrice]]</f>
        <v>260.8</v>
      </c>
    </row>
    <row r="1063" spans="1:14" x14ac:dyDescent="0.3">
      <c r="A1063" s="1">
        <v>45191</v>
      </c>
      <c r="B1063" t="s">
        <v>1710</v>
      </c>
      <c r="C1063" t="s">
        <v>73</v>
      </c>
      <c r="D1063" t="s">
        <v>74</v>
      </c>
      <c r="E1063" t="s">
        <v>17</v>
      </c>
      <c r="F1063">
        <v>5</v>
      </c>
      <c r="G1063">
        <v>210.45</v>
      </c>
      <c r="H1063" t="s">
        <v>28</v>
      </c>
      <c r="I1063" t="s">
        <v>1711</v>
      </c>
      <c r="J1063" t="s">
        <v>30</v>
      </c>
      <c r="K1063" t="s">
        <v>21</v>
      </c>
      <c r="L1063" t="s">
        <v>39</v>
      </c>
      <c r="M1063" t="s">
        <v>40</v>
      </c>
      <c r="N1063">
        <f>Sheet1[[#This Row],[Quantity]]*Sheet1[[#This Row],[UnitPrice]]</f>
        <v>1052.25</v>
      </c>
    </row>
    <row r="1064" spans="1:14" x14ac:dyDescent="0.3">
      <c r="A1064" s="1">
        <v>45015</v>
      </c>
      <c r="B1064" t="s">
        <v>822</v>
      </c>
      <c r="C1064" t="s">
        <v>63</v>
      </c>
      <c r="D1064" t="s">
        <v>74</v>
      </c>
      <c r="E1064" t="s">
        <v>52</v>
      </c>
      <c r="F1064">
        <v>1</v>
      </c>
      <c r="G1064">
        <v>370.98</v>
      </c>
      <c r="H1064" t="s">
        <v>68</v>
      </c>
      <c r="I1064" t="s">
        <v>1712</v>
      </c>
      <c r="J1064" t="s">
        <v>30</v>
      </c>
      <c r="K1064" t="s">
        <v>31</v>
      </c>
      <c r="L1064" t="s">
        <v>22</v>
      </c>
      <c r="M1064" t="s">
        <v>32</v>
      </c>
      <c r="N1064">
        <f>Sheet1[[#This Row],[Quantity]]*Sheet1[[#This Row],[UnitPrice]]</f>
        <v>370.98</v>
      </c>
    </row>
    <row r="1065" spans="1:14" x14ac:dyDescent="0.3">
      <c r="A1065" s="1">
        <v>45290</v>
      </c>
      <c r="B1065" t="s">
        <v>1713</v>
      </c>
      <c r="C1065" t="s">
        <v>78</v>
      </c>
      <c r="D1065" t="s">
        <v>47</v>
      </c>
      <c r="E1065" t="s">
        <v>35</v>
      </c>
      <c r="F1065">
        <v>8</v>
      </c>
      <c r="G1065">
        <v>163.76</v>
      </c>
      <c r="H1065" t="s">
        <v>68</v>
      </c>
      <c r="I1065" t="s">
        <v>1714</v>
      </c>
      <c r="J1065" t="s">
        <v>44</v>
      </c>
      <c r="K1065" t="s">
        <v>59</v>
      </c>
      <c r="L1065" t="s">
        <v>39</v>
      </c>
      <c r="M1065" t="s">
        <v>23</v>
      </c>
      <c r="N1065">
        <f>Sheet1[[#This Row],[Quantity]]*Sheet1[[#This Row],[UnitPrice]]</f>
        <v>1310.08</v>
      </c>
    </row>
    <row r="1066" spans="1:14" x14ac:dyDescent="0.3">
      <c r="A1066" s="1">
        <v>45271</v>
      </c>
      <c r="B1066" t="s">
        <v>1715</v>
      </c>
      <c r="C1066" t="s">
        <v>90</v>
      </c>
      <c r="D1066" t="s">
        <v>26</v>
      </c>
      <c r="E1066" t="s">
        <v>27</v>
      </c>
      <c r="F1066">
        <v>8</v>
      </c>
      <c r="G1066">
        <v>44.13</v>
      </c>
      <c r="H1066" t="s">
        <v>53</v>
      </c>
      <c r="I1066" t="s">
        <v>1716</v>
      </c>
      <c r="J1066" t="s">
        <v>58</v>
      </c>
      <c r="K1066" t="s">
        <v>31</v>
      </c>
      <c r="L1066" t="s">
        <v>22</v>
      </c>
      <c r="M1066" t="s">
        <v>49</v>
      </c>
      <c r="N1066">
        <f>Sheet1[[#This Row],[Quantity]]*Sheet1[[#This Row],[UnitPrice]]</f>
        <v>353.04</v>
      </c>
    </row>
    <row r="1067" spans="1:14" x14ac:dyDescent="0.3">
      <c r="A1067" s="1">
        <v>45086</v>
      </c>
      <c r="B1067" t="s">
        <v>1717</v>
      </c>
      <c r="C1067" t="s">
        <v>56</v>
      </c>
      <c r="D1067" t="s">
        <v>47</v>
      </c>
      <c r="E1067" t="s">
        <v>17</v>
      </c>
      <c r="F1067">
        <v>3</v>
      </c>
      <c r="G1067">
        <v>302.68</v>
      </c>
      <c r="H1067" t="s">
        <v>68</v>
      </c>
      <c r="I1067" t="s">
        <v>1718</v>
      </c>
      <c r="J1067" t="s">
        <v>30</v>
      </c>
      <c r="K1067" t="s">
        <v>59</v>
      </c>
      <c r="L1067" t="s">
        <v>60</v>
      </c>
      <c r="M1067" t="s">
        <v>40</v>
      </c>
      <c r="N1067">
        <f>Sheet1[[#This Row],[Quantity]]*Sheet1[[#This Row],[UnitPrice]]</f>
        <v>908.04</v>
      </c>
    </row>
    <row r="1068" spans="1:14" x14ac:dyDescent="0.3">
      <c r="A1068" s="1">
        <v>45284</v>
      </c>
      <c r="B1068" t="s">
        <v>1081</v>
      </c>
      <c r="C1068" t="s">
        <v>78</v>
      </c>
      <c r="D1068" t="s">
        <v>74</v>
      </c>
      <c r="E1068" t="s">
        <v>42</v>
      </c>
      <c r="F1068">
        <v>9</v>
      </c>
      <c r="G1068">
        <v>272.79000000000002</v>
      </c>
      <c r="H1068" t="s">
        <v>36</v>
      </c>
      <c r="I1068" t="s">
        <v>1719</v>
      </c>
      <c r="J1068" t="s">
        <v>20</v>
      </c>
      <c r="K1068" t="s">
        <v>45</v>
      </c>
      <c r="L1068" t="s">
        <v>22</v>
      </c>
      <c r="M1068" t="s">
        <v>61</v>
      </c>
      <c r="N1068">
        <f>Sheet1[[#This Row],[Quantity]]*Sheet1[[#This Row],[UnitPrice]]</f>
        <v>2455.11</v>
      </c>
    </row>
    <row r="1069" spans="1:14" x14ac:dyDescent="0.3">
      <c r="A1069" s="1">
        <v>45120</v>
      </c>
      <c r="B1069" t="s">
        <v>1238</v>
      </c>
      <c r="C1069" t="s">
        <v>51</v>
      </c>
      <c r="D1069" t="s">
        <v>26</v>
      </c>
      <c r="E1069" t="s">
        <v>42</v>
      </c>
      <c r="F1069">
        <v>9</v>
      </c>
      <c r="G1069">
        <v>222.17</v>
      </c>
      <c r="H1069" t="s">
        <v>36</v>
      </c>
      <c r="I1069" t="s">
        <v>1720</v>
      </c>
      <c r="J1069" t="s">
        <v>38</v>
      </c>
      <c r="K1069" t="s">
        <v>31</v>
      </c>
      <c r="L1069" t="s">
        <v>22</v>
      </c>
      <c r="M1069" t="s">
        <v>32</v>
      </c>
      <c r="N1069">
        <f>Sheet1[[#This Row],[Quantity]]*Sheet1[[#This Row],[UnitPrice]]</f>
        <v>1999.53</v>
      </c>
    </row>
    <row r="1070" spans="1:14" x14ac:dyDescent="0.3">
      <c r="A1070" s="1">
        <v>45433</v>
      </c>
      <c r="B1070" t="s">
        <v>1547</v>
      </c>
      <c r="C1070" t="s">
        <v>101</v>
      </c>
      <c r="D1070" t="s">
        <v>16</v>
      </c>
      <c r="E1070" t="s">
        <v>64</v>
      </c>
      <c r="F1070">
        <v>6</v>
      </c>
      <c r="G1070">
        <v>208.2</v>
      </c>
      <c r="H1070" t="s">
        <v>36</v>
      </c>
      <c r="I1070" t="s">
        <v>1721</v>
      </c>
      <c r="J1070" t="s">
        <v>20</v>
      </c>
      <c r="K1070" t="s">
        <v>59</v>
      </c>
      <c r="L1070" t="s">
        <v>22</v>
      </c>
      <c r="M1070" t="s">
        <v>84</v>
      </c>
      <c r="N1070">
        <f>Sheet1[[#This Row],[Quantity]]*Sheet1[[#This Row],[UnitPrice]]</f>
        <v>1249.1999999999998</v>
      </c>
    </row>
    <row r="1071" spans="1:14" x14ac:dyDescent="0.3">
      <c r="A1071" s="1">
        <v>45301</v>
      </c>
      <c r="B1071" t="s">
        <v>886</v>
      </c>
      <c r="C1071" t="s">
        <v>101</v>
      </c>
      <c r="D1071" t="s">
        <v>26</v>
      </c>
      <c r="E1071" t="s">
        <v>52</v>
      </c>
      <c r="F1071">
        <v>1</v>
      </c>
      <c r="G1071">
        <v>378.72</v>
      </c>
      <c r="H1071" t="s">
        <v>28</v>
      </c>
      <c r="I1071" t="s">
        <v>1722</v>
      </c>
      <c r="J1071" t="s">
        <v>58</v>
      </c>
      <c r="K1071" t="s">
        <v>21</v>
      </c>
      <c r="L1071" t="s">
        <v>22</v>
      </c>
      <c r="M1071" t="s">
        <v>76</v>
      </c>
      <c r="N1071">
        <f>Sheet1[[#This Row],[Quantity]]*Sheet1[[#This Row],[UnitPrice]]</f>
        <v>378.72</v>
      </c>
    </row>
    <row r="1072" spans="1:14" x14ac:dyDescent="0.3">
      <c r="A1072" s="1">
        <v>45386</v>
      </c>
      <c r="B1072" t="s">
        <v>237</v>
      </c>
      <c r="C1072" t="s">
        <v>25</v>
      </c>
      <c r="D1072" t="s">
        <v>47</v>
      </c>
      <c r="E1072" t="s">
        <v>42</v>
      </c>
      <c r="F1072">
        <v>8</v>
      </c>
      <c r="G1072">
        <v>174.44</v>
      </c>
      <c r="H1072" t="s">
        <v>36</v>
      </c>
      <c r="I1072" t="s">
        <v>1723</v>
      </c>
      <c r="J1072" t="s">
        <v>44</v>
      </c>
      <c r="K1072" t="s">
        <v>21</v>
      </c>
      <c r="L1072" t="s">
        <v>22</v>
      </c>
      <c r="M1072" t="s">
        <v>32</v>
      </c>
      <c r="N1072">
        <f>Sheet1[[#This Row],[Quantity]]*Sheet1[[#This Row],[UnitPrice]]</f>
        <v>1395.52</v>
      </c>
    </row>
    <row r="1073" spans="1:14" x14ac:dyDescent="0.3">
      <c r="A1073" s="1">
        <v>45019</v>
      </c>
      <c r="B1073" t="s">
        <v>463</v>
      </c>
      <c r="C1073" t="s">
        <v>90</v>
      </c>
      <c r="D1073" t="s">
        <v>26</v>
      </c>
      <c r="E1073" t="s">
        <v>52</v>
      </c>
      <c r="F1073">
        <v>9</v>
      </c>
      <c r="G1073">
        <v>152.36000000000001</v>
      </c>
      <c r="H1073" t="s">
        <v>36</v>
      </c>
      <c r="I1073" t="s">
        <v>1724</v>
      </c>
      <c r="J1073" t="s">
        <v>20</v>
      </c>
      <c r="K1073" t="s">
        <v>21</v>
      </c>
      <c r="L1073" t="s">
        <v>22</v>
      </c>
      <c r="M1073" t="s">
        <v>49</v>
      </c>
      <c r="N1073">
        <f>Sheet1[[#This Row],[Quantity]]*Sheet1[[#This Row],[UnitPrice]]</f>
        <v>1371.2400000000002</v>
      </c>
    </row>
    <row r="1074" spans="1:14" x14ac:dyDescent="0.3">
      <c r="A1074" s="1">
        <v>45331</v>
      </c>
      <c r="B1074" t="s">
        <v>1290</v>
      </c>
      <c r="C1074" t="s">
        <v>15</v>
      </c>
      <c r="D1074" t="s">
        <v>16</v>
      </c>
      <c r="E1074" t="s">
        <v>52</v>
      </c>
      <c r="F1074">
        <v>10</v>
      </c>
      <c r="G1074">
        <v>110.98</v>
      </c>
      <c r="H1074" t="s">
        <v>36</v>
      </c>
      <c r="I1074" t="s">
        <v>1725</v>
      </c>
      <c r="J1074" t="s">
        <v>44</v>
      </c>
      <c r="K1074" t="s">
        <v>21</v>
      </c>
      <c r="L1074" t="s">
        <v>60</v>
      </c>
      <c r="M1074" t="s">
        <v>40</v>
      </c>
      <c r="N1074">
        <f>Sheet1[[#This Row],[Quantity]]*Sheet1[[#This Row],[UnitPrice]]</f>
        <v>1109.8</v>
      </c>
    </row>
    <row r="1075" spans="1:14" x14ac:dyDescent="0.3">
      <c r="A1075" s="1">
        <v>45527</v>
      </c>
      <c r="B1075" t="s">
        <v>702</v>
      </c>
      <c r="C1075" t="s">
        <v>63</v>
      </c>
      <c r="D1075" t="s">
        <v>74</v>
      </c>
      <c r="E1075" t="s">
        <v>67</v>
      </c>
      <c r="F1075">
        <v>1</v>
      </c>
      <c r="G1075">
        <v>36.93</v>
      </c>
      <c r="H1075" t="s">
        <v>36</v>
      </c>
      <c r="I1075" t="s">
        <v>1726</v>
      </c>
      <c r="J1075" t="s">
        <v>58</v>
      </c>
      <c r="K1075" t="s">
        <v>45</v>
      </c>
      <c r="L1075" t="s">
        <v>39</v>
      </c>
      <c r="M1075" t="s">
        <v>40</v>
      </c>
      <c r="N1075">
        <f>Sheet1[[#This Row],[Quantity]]*Sheet1[[#This Row],[UnitPrice]]</f>
        <v>36.93</v>
      </c>
    </row>
    <row r="1076" spans="1:14" x14ac:dyDescent="0.3">
      <c r="A1076" s="1">
        <v>45371</v>
      </c>
      <c r="B1076" t="s">
        <v>603</v>
      </c>
      <c r="C1076" t="s">
        <v>78</v>
      </c>
      <c r="D1076" t="s">
        <v>16</v>
      </c>
      <c r="E1076" t="s">
        <v>64</v>
      </c>
      <c r="F1076">
        <v>8</v>
      </c>
      <c r="G1076">
        <v>154</v>
      </c>
      <c r="H1076" t="s">
        <v>36</v>
      </c>
      <c r="I1076" t="s">
        <v>1727</v>
      </c>
      <c r="J1076" t="s">
        <v>44</v>
      </c>
      <c r="K1076" t="s">
        <v>59</v>
      </c>
      <c r="L1076" t="s">
        <v>39</v>
      </c>
      <c r="M1076" t="s">
        <v>76</v>
      </c>
      <c r="N1076">
        <f>Sheet1[[#This Row],[Quantity]]*Sheet1[[#This Row],[UnitPrice]]</f>
        <v>1232</v>
      </c>
    </row>
    <row r="1077" spans="1:14" x14ac:dyDescent="0.3">
      <c r="A1077" s="1">
        <v>45517</v>
      </c>
      <c r="B1077" t="s">
        <v>342</v>
      </c>
      <c r="C1077" t="s">
        <v>34</v>
      </c>
      <c r="D1077" t="s">
        <v>26</v>
      </c>
      <c r="E1077" t="s">
        <v>42</v>
      </c>
      <c r="F1077">
        <v>6</v>
      </c>
      <c r="G1077">
        <v>10.07</v>
      </c>
      <c r="H1077" t="s">
        <v>28</v>
      </c>
      <c r="I1077" t="s">
        <v>1728</v>
      </c>
      <c r="J1077" t="s">
        <v>38</v>
      </c>
      <c r="K1077" t="s">
        <v>45</v>
      </c>
      <c r="L1077" t="s">
        <v>22</v>
      </c>
      <c r="M1077" t="s">
        <v>84</v>
      </c>
      <c r="N1077">
        <f>Sheet1[[#This Row],[Quantity]]*Sheet1[[#This Row],[UnitPrice]]</f>
        <v>60.42</v>
      </c>
    </row>
    <row r="1078" spans="1:14" x14ac:dyDescent="0.3">
      <c r="A1078" s="1">
        <v>45143</v>
      </c>
      <c r="B1078" t="s">
        <v>1729</v>
      </c>
      <c r="C1078" t="s">
        <v>63</v>
      </c>
      <c r="D1078" t="s">
        <v>16</v>
      </c>
      <c r="E1078" t="s">
        <v>67</v>
      </c>
      <c r="F1078">
        <v>2</v>
      </c>
      <c r="G1078">
        <v>60.84</v>
      </c>
      <c r="H1078" t="s">
        <v>18</v>
      </c>
      <c r="I1078" t="s">
        <v>1730</v>
      </c>
      <c r="J1078" t="s">
        <v>30</v>
      </c>
      <c r="K1078" t="s">
        <v>45</v>
      </c>
      <c r="L1078" t="s">
        <v>22</v>
      </c>
      <c r="M1078" t="s">
        <v>23</v>
      </c>
      <c r="N1078">
        <f>Sheet1[[#This Row],[Quantity]]*Sheet1[[#This Row],[UnitPrice]]</f>
        <v>121.68</v>
      </c>
    </row>
    <row r="1079" spans="1:14" x14ac:dyDescent="0.3">
      <c r="A1079" s="1">
        <v>45543</v>
      </c>
      <c r="B1079" t="s">
        <v>1731</v>
      </c>
      <c r="C1079" t="s">
        <v>15</v>
      </c>
      <c r="D1079" t="s">
        <v>47</v>
      </c>
      <c r="E1079" t="s">
        <v>27</v>
      </c>
      <c r="F1079">
        <v>10</v>
      </c>
      <c r="G1079">
        <v>165.44</v>
      </c>
      <c r="H1079" t="s">
        <v>36</v>
      </c>
      <c r="I1079" t="s">
        <v>1732</v>
      </c>
      <c r="J1079" t="s">
        <v>30</v>
      </c>
      <c r="K1079" t="s">
        <v>31</v>
      </c>
      <c r="L1079" t="s">
        <v>60</v>
      </c>
      <c r="M1079" t="s">
        <v>61</v>
      </c>
      <c r="N1079">
        <f>Sheet1[[#This Row],[Quantity]]*Sheet1[[#This Row],[UnitPrice]]</f>
        <v>1654.4</v>
      </c>
    </row>
    <row r="1080" spans="1:14" x14ac:dyDescent="0.3">
      <c r="A1080" s="1">
        <v>44946</v>
      </c>
      <c r="B1080" t="s">
        <v>461</v>
      </c>
      <c r="C1080" t="s">
        <v>90</v>
      </c>
      <c r="D1080" t="s">
        <v>74</v>
      </c>
      <c r="E1080" t="s">
        <v>52</v>
      </c>
      <c r="F1080">
        <v>4</v>
      </c>
      <c r="G1080">
        <v>329.69</v>
      </c>
      <c r="H1080" t="s">
        <v>36</v>
      </c>
      <c r="I1080" t="s">
        <v>1733</v>
      </c>
      <c r="J1080" t="s">
        <v>44</v>
      </c>
      <c r="K1080" t="s">
        <v>59</v>
      </c>
      <c r="L1080" t="s">
        <v>60</v>
      </c>
      <c r="M1080" t="s">
        <v>40</v>
      </c>
      <c r="N1080">
        <f>Sheet1[[#This Row],[Quantity]]*Sheet1[[#This Row],[UnitPrice]]</f>
        <v>1318.76</v>
      </c>
    </row>
    <row r="1081" spans="1:14" x14ac:dyDescent="0.3">
      <c r="A1081" s="1">
        <v>45497</v>
      </c>
      <c r="B1081" t="s">
        <v>1199</v>
      </c>
      <c r="C1081" t="s">
        <v>63</v>
      </c>
      <c r="D1081" t="s">
        <v>16</v>
      </c>
      <c r="E1081" t="s">
        <v>67</v>
      </c>
      <c r="F1081">
        <v>8</v>
      </c>
      <c r="G1081">
        <v>124.58</v>
      </c>
      <c r="H1081" t="s">
        <v>68</v>
      </c>
      <c r="I1081" t="s">
        <v>1734</v>
      </c>
      <c r="J1081" t="s">
        <v>30</v>
      </c>
      <c r="K1081" t="s">
        <v>59</v>
      </c>
      <c r="L1081" t="s">
        <v>22</v>
      </c>
      <c r="M1081" t="s">
        <v>76</v>
      </c>
      <c r="N1081">
        <f>Sheet1[[#This Row],[Quantity]]*Sheet1[[#This Row],[UnitPrice]]</f>
        <v>996.64</v>
      </c>
    </row>
    <row r="1082" spans="1:14" x14ac:dyDescent="0.3">
      <c r="A1082" s="1">
        <v>45105</v>
      </c>
      <c r="B1082" t="s">
        <v>1616</v>
      </c>
      <c r="C1082" t="s">
        <v>51</v>
      </c>
      <c r="D1082" t="s">
        <v>26</v>
      </c>
      <c r="E1082" t="s">
        <v>27</v>
      </c>
      <c r="F1082">
        <v>3</v>
      </c>
      <c r="G1082">
        <v>186.86</v>
      </c>
      <c r="H1082" t="s">
        <v>18</v>
      </c>
      <c r="I1082" t="s">
        <v>1735</v>
      </c>
      <c r="J1082" t="s">
        <v>30</v>
      </c>
      <c r="K1082" t="s">
        <v>21</v>
      </c>
      <c r="L1082" t="s">
        <v>60</v>
      </c>
      <c r="M1082" t="s">
        <v>76</v>
      </c>
      <c r="N1082">
        <f>Sheet1[[#This Row],[Quantity]]*Sheet1[[#This Row],[UnitPrice]]</f>
        <v>560.58000000000004</v>
      </c>
    </row>
    <row r="1083" spans="1:14" x14ac:dyDescent="0.3">
      <c r="A1083" s="1">
        <v>45629</v>
      </c>
      <c r="B1083" t="s">
        <v>1322</v>
      </c>
      <c r="C1083" t="s">
        <v>90</v>
      </c>
      <c r="D1083" t="s">
        <v>16</v>
      </c>
      <c r="E1083" t="s">
        <v>64</v>
      </c>
      <c r="F1083">
        <v>1</v>
      </c>
      <c r="G1083">
        <v>52.19</v>
      </c>
      <c r="H1083" t="s">
        <v>36</v>
      </c>
      <c r="I1083" t="s">
        <v>1736</v>
      </c>
      <c r="J1083" t="s">
        <v>44</v>
      </c>
      <c r="K1083" t="s">
        <v>59</v>
      </c>
      <c r="L1083" t="s">
        <v>39</v>
      </c>
      <c r="M1083" t="s">
        <v>84</v>
      </c>
      <c r="N1083">
        <f>Sheet1[[#This Row],[Quantity]]*Sheet1[[#This Row],[UnitPrice]]</f>
        <v>52.19</v>
      </c>
    </row>
    <row r="1084" spans="1:14" x14ac:dyDescent="0.3">
      <c r="A1084" s="1">
        <v>45631</v>
      </c>
      <c r="B1084" t="s">
        <v>92</v>
      </c>
      <c r="C1084" t="s">
        <v>15</v>
      </c>
      <c r="D1084" t="s">
        <v>26</v>
      </c>
      <c r="E1084" t="s">
        <v>67</v>
      </c>
      <c r="F1084">
        <v>7</v>
      </c>
      <c r="G1084">
        <v>330.98</v>
      </c>
      <c r="H1084" t="s">
        <v>53</v>
      </c>
      <c r="I1084" t="s">
        <v>1737</v>
      </c>
      <c r="J1084" t="s">
        <v>30</v>
      </c>
      <c r="K1084" t="s">
        <v>21</v>
      </c>
      <c r="L1084" t="s">
        <v>39</v>
      </c>
      <c r="M1084" t="s">
        <v>32</v>
      </c>
      <c r="N1084">
        <f>Sheet1[[#This Row],[Quantity]]*Sheet1[[#This Row],[UnitPrice]]</f>
        <v>2316.86</v>
      </c>
    </row>
    <row r="1085" spans="1:14" x14ac:dyDescent="0.3">
      <c r="A1085" s="1">
        <v>45736</v>
      </c>
      <c r="B1085" t="s">
        <v>748</v>
      </c>
      <c r="C1085" t="s">
        <v>73</v>
      </c>
      <c r="D1085" t="s">
        <v>26</v>
      </c>
      <c r="E1085" t="s">
        <v>35</v>
      </c>
      <c r="F1085">
        <v>8</v>
      </c>
      <c r="G1085">
        <v>385.72</v>
      </c>
      <c r="H1085" t="s">
        <v>36</v>
      </c>
      <c r="I1085" t="s">
        <v>1738</v>
      </c>
      <c r="J1085" t="s">
        <v>58</v>
      </c>
      <c r="K1085" t="s">
        <v>59</v>
      </c>
      <c r="L1085" t="s">
        <v>22</v>
      </c>
      <c r="M1085" t="s">
        <v>32</v>
      </c>
      <c r="N1085">
        <f>Sheet1[[#This Row],[Quantity]]*Sheet1[[#This Row],[UnitPrice]]</f>
        <v>3085.76</v>
      </c>
    </row>
    <row r="1086" spans="1:14" x14ac:dyDescent="0.3">
      <c r="A1086" s="1">
        <v>45628</v>
      </c>
      <c r="B1086" t="s">
        <v>861</v>
      </c>
      <c r="C1086" t="s">
        <v>34</v>
      </c>
      <c r="D1086" t="s">
        <v>47</v>
      </c>
      <c r="E1086" t="s">
        <v>27</v>
      </c>
      <c r="F1086">
        <v>9</v>
      </c>
      <c r="G1086">
        <v>52.64</v>
      </c>
      <c r="H1086" t="s">
        <v>18</v>
      </c>
      <c r="I1086" t="s">
        <v>1739</v>
      </c>
      <c r="J1086" t="s">
        <v>30</v>
      </c>
      <c r="K1086" t="s">
        <v>21</v>
      </c>
      <c r="L1086" t="s">
        <v>22</v>
      </c>
      <c r="M1086" t="s">
        <v>49</v>
      </c>
      <c r="N1086">
        <f>Sheet1[[#This Row],[Quantity]]*Sheet1[[#This Row],[UnitPrice]]</f>
        <v>473.76</v>
      </c>
    </row>
    <row r="1087" spans="1:14" x14ac:dyDescent="0.3">
      <c r="A1087" s="1">
        <v>45000</v>
      </c>
      <c r="B1087" t="s">
        <v>1690</v>
      </c>
      <c r="C1087" t="s">
        <v>51</v>
      </c>
      <c r="D1087" t="s">
        <v>26</v>
      </c>
      <c r="E1087" t="s">
        <v>67</v>
      </c>
      <c r="F1087">
        <v>8</v>
      </c>
      <c r="G1087">
        <v>92.08</v>
      </c>
      <c r="H1087" t="s">
        <v>36</v>
      </c>
      <c r="I1087" t="s">
        <v>1740</v>
      </c>
      <c r="J1087" t="s">
        <v>30</v>
      </c>
      <c r="K1087" t="s">
        <v>59</v>
      </c>
      <c r="L1087" t="s">
        <v>39</v>
      </c>
      <c r="M1087" t="s">
        <v>76</v>
      </c>
      <c r="N1087">
        <f>Sheet1[[#This Row],[Quantity]]*Sheet1[[#This Row],[UnitPrice]]</f>
        <v>736.64</v>
      </c>
    </row>
    <row r="1088" spans="1:14" x14ac:dyDescent="0.3">
      <c r="A1088" s="1">
        <v>45622</v>
      </c>
      <c r="B1088" t="s">
        <v>581</v>
      </c>
      <c r="C1088" t="s">
        <v>63</v>
      </c>
      <c r="D1088" t="s">
        <v>74</v>
      </c>
      <c r="E1088" t="s">
        <v>35</v>
      </c>
      <c r="F1088">
        <v>5</v>
      </c>
      <c r="G1088">
        <v>363.76</v>
      </c>
      <c r="H1088" t="s">
        <v>68</v>
      </c>
      <c r="I1088" t="s">
        <v>1741</v>
      </c>
      <c r="J1088" t="s">
        <v>58</v>
      </c>
      <c r="K1088" t="s">
        <v>45</v>
      </c>
      <c r="L1088" t="s">
        <v>60</v>
      </c>
      <c r="M1088" t="s">
        <v>84</v>
      </c>
      <c r="N1088">
        <f>Sheet1[[#This Row],[Quantity]]*Sheet1[[#This Row],[UnitPrice]]</f>
        <v>1818.8</v>
      </c>
    </row>
    <row r="1089" spans="1:14" x14ac:dyDescent="0.3">
      <c r="A1089" s="1">
        <v>45837</v>
      </c>
      <c r="B1089" t="s">
        <v>1742</v>
      </c>
      <c r="C1089" t="s">
        <v>73</v>
      </c>
      <c r="D1089" t="s">
        <v>26</v>
      </c>
      <c r="E1089" t="s">
        <v>17</v>
      </c>
      <c r="F1089">
        <v>3</v>
      </c>
      <c r="G1089">
        <v>323.04000000000002</v>
      </c>
      <c r="H1089" t="s">
        <v>28</v>
      </c>
      <c r="I1089" t="s">
        <v>1743</v>
      </c>
      <c r="J1089" t="s">
        <v>30</v>
      </c>
      <c r="K1089" t="s">
        <v>21</v>
      </c>
      <c r="L1089" t="s">
        <v>22</v>
      </c>
      <c r="M1089" t="s">
        <v>61</v>
      </c>
      <c r="N1089">
        <f>Sheet1[[#This Row],[Quantity]]*Sheet1[[#This Row],[UnitPrice]]</f>
        <v>969.12000000000012</v>
      </c>
    </row>
    <row r="1090" spans="1:14" x14ac:dyDescent="0.3">
      <c r="A1090" s="1">
        <v>45198</v>
      </c>
      <c r="B1090" t="s">
        <v>401</v>
      </c>
      <c r="C1090" t="s">
        <v>25</v>
      </c>
      <c r="D1090" t="s">
        <v>26</v>
      </c>
      <c r="E1090" t="s">
        <v>67</v>
      </c>
      <c r="F1090">
        <v>10</v>
      </c>
      <c r="G1090">
        <v>147.65</v>
      </c>
      <c r="H1090" t="s">
        <v>28</v>
      </c>
      <c r="I1090" t="s">
        <v>1744</v>
      </c>
      <c r="J1090" t="s">
        <v>38</v>
      </c>
      <c r="K1090" t="s">
        <v>59</v>
      </c>
      <c r="L1090" t="s">
        <v>22</v>
      </c>
      <c r="M1090" t="s">
        <v>40</v>
      </c>
      <c r="N1090">
        <f>Sheet1[[#This Row],[Quantity]]*Sheet1[[#This Row],[UnitPrice]]</f>
        <v>1476.5</v>
      </c>
    </row>
    <row r="1091" spans="1:14" x14ac:dyDescent="0.3">
      <c r="A1091" s="1">
        <v>45385</v>
      </c>
      <c r="B1091" t="s">
        <v>1502</v>
      </c>
      <c r="C1091" t="s">
        <v>15</v>
      </c>
      <c r="D1091" t="s">
        <v>26</v>
      </c>
      <c r="E1091" t="s">
        <v>64</v>
      </c>
      <c r="F1091">
        <v>5</v>
      </c>
      <c r="G1091">
        <v>178.54</v>
      </c>
      <c r="H1091" t="s">
        <v>68</v>
      </c>
      <c r="I1091" t="s">
        <v>1745</v>
      </c>
      <c r="J1091" t="s">
        <v>20</v>
      </c>
      <c r="K1091" t="s">
        <v>45</v>
      </c>
      <c r="L1091" t="s">
        <v>39</v>
      </c>
      <c r="M1091" t="s">
        <v>76</v>
      </c>
      <c r="N1091">
        <f>Sheet1[[#This Row],[Quantity]]*Sheet1[[#This Row],[UnitPrice]]</f>
        <v>892.69999999999993</v>
      </c>
    </row>
    <row r="1092" spans="1:14" x14ac:dyDescent="0.3">
      <c r="A1092" s="1">
        <v>45437</v>
      </c>
      <c r="B1092" t="s">
        <v>1210</v>
      </c>
      <c r="C1092" t="s">
        <v>51</v>
      </c>
      <c r="D1092" t="s">
        <v>47</v>
      </c>
      <c r="E1092" t="s">
        <v>17</v>
      </c>
      <c r="F1092">
        <v>4</v>
      </c>
      <c r="G1092">
        <v>155.69</v>
      </c>
      <c r="H1092" t="s">
        <v>36</v>
      </c>
      <c r="I1092" t="s">
        <v>1746</v>
      </c>
      <c r="J1092" t="s">
        <v>44</v>
      </c>
      <c r="K1092" t="s">
        <v>59</v>
      </c>
      <c r="L1092" t="s">
        <v>22</v>
      </c>
      <c r="M1092" t="s">
        <v>23</v>
      </c>
      <c r="N1092">
        <f>Sheet1[[#This Row],[Quantity]]*Sheet1[[#This Row],[UnitPrice]]</f>
        <v>622.76</v>
      </c>
    </row>
    <row r="1093" spans="1:14" x14ac:dyDescent="0.3">
      <c r="A1093" s="1">
        <v>45438</v>
      </c>
      <c r="B1093" t="s">
        <v>1642</v>
      </c>
      <c r="C1093" t="s">
        <v>51</v>
      </c>
      <c r="D1093" t="s">
        <v>26</v>
      </c>
      <c r="E1093" t="s">
        <v>64</v>
      </c>
      <c r="F1093">
        <v>5</v>
      </c>
      <c r="G1093">
        <v>154.36000000000001</v>
      </c>
      <c r="H1093" t="s">
        <v>28</v>
      </c>
      <c r="I1093" t="s">
        <v>1747</v>
      </c>
      <c r="J1093" t="s">
        <v>58</v>
      </c>
      <c r="K1093" t="s">
        <v>21</v>
      </c>
      <c r="L1093" t="s">
        <v>22</v>
      </c>
      <c r="M1093" t="s">
        <v>61</v>
      </c>
      <c r="N1093">
        <f>Sheet1[[#This Row],[Quantity]]*Sheet1[[#This Row],[UnitPrice]]</f>
        <v>771.80000000000007</v>
      </c>
    </row>
    <row r="1094" spans="1:14" x14ac:dyDescent="0.3">
      <c r="A1094" s="1">
        <v>45286</v>
      </c>
      <c r="B1094" t="s">
        <v>820</v>
      </c>
      <c r="C1094" t="s">
        <v>15</v>
      </c>
      <c r="D1094" t="s">
        <v>26</v>
      </c>
      <c r="E1094" t="s">
        <v>64</v>
      </c>
      <c r="F1094">
        <v>1</v>
      </c>
      <c r="G1094">
        <v>202.41</v>
      </c>
      <c r="H1094" t="s">
        <v>28</v>
      </c>
      <c r="I1094" t="s">
        <v>1748</v>
      </c>
      <c r="J1094" t="s">
        <v>58</v>
      </c>
      <c r="K1094" t="s">
        <v>31</v>
      </c>
      <c r="L1094" t="s">
        <v>22</v>
      </c>
      <c r="M1094" t="s">
        <v>84</v>
      </c>
      <c r="N1094">
        <f>Sheet1[[#This Row],[Quantity]]*Sheet1[[#This Row],[UnitPrice]]</f>
        <v>202.41</v>
      </c>
    </row>
    <row r="1095" spans="1:14" x14ac:dyDescent="0.3">
      <c r="A1095" s="1">
        <v>45375</v>
      </c>
      <c r="B1095" t="s">
        <v>1540</v>
      </c>
      <c r="C1095" t="s">
        <v>63</v>
      </c>
      <c r="D1095" t="s">
        <v>74</v>
      </c>
      <c r="E1095" t="s">
        <v>35</v>
      </c>
      <c r="F1095">
        <v>10</v>
      </c>
      <c r="G1095">
        <v>205.57</v>
      </c>
      <c r="H1095" t="s">
        <v>68</v>
      </c>
      <c r="I1095" t="s">
        <v>1749</v>
      </c>
      <c r="J1095" t="s">
        <v>38</v>
      </c>
      <c r="K1095" t="s">
        <v>45</v>
      </c>
      <c r="L1095" t="s">
        <v>39</v>
      </c>
      <c r="M1095" t="s">
        <v>61</v>
      </c>
      <c r="N1095">
        <f>Sheet1[[#This Row],[Quantity]]*Sheet1[[#This Row],[UnitPrice]]</f>
        <v>2055.6999999999998</v>
      </c>
    </row>
    <row r="1096" spans="1:14" x14ac:dyDescent="0.3">
      <c r="A1096" s="1">
        <v>45041</v>
      </c>
      <c r="B1096" t="s">
        <v>561</v>
      </c>
      <c r="C1096" t="s">
        <v>78</v>
      </c>
      <c r="D1096" t="s">
        <v>74</v>
      </c>
      <c r="E1096" t="s">
        <v>52</v>
      </c>
      <c r="F1096">
        <v>6</v>
      </c>
      <c r="G1096">
        <v>105.89</v>
      </c>
      <c r="H1096" t="s">
        <v>18</v>
      </c>
      <c r="I1096" t="s">
        <v>1750</v>
      </c>
      <c r="J1096" t="s">
        <v>38</v>
      </c>
      <c r="K1096" t="s">
        <v>45</v>
      </c>
      <c r="L1096" t="s">
        <v>22</v>
      </c>
      <c r="M1096" t="s">
        <v>84</v>
      </c>
      <c r="N1096">
        <f>Sheet1[[#This Row],[Quantity]]*Sheet1[[#This Row],[UnitPrice]]</f>
        <v>635.34</v>
      </c>
    </row>
    <row r="1097" spans="1:14" x14ac:dyDescent="0.3">
      <c r="A1097" s="1">
        <v>45207</v>
      </c>
      <c r="B1097" t="s">
        <v>172</v>
      </c>
      <c r="C1097" t="s">
        <v>34</v>
      </c>
      <c r="D1097" t="s">
        <v>26</v>
      </c>
      <c r="E1097" t="s">
        <v>52</v>
      </c>
      <c r="F1097">
        <v>9</v>
      </c>
      <c r="G1097">
        <v>308.83999999999997</v>
      </c>
      <c r="H1097" t="s">
        <v>68</v>
      </c>
      <c r="I1097" t="s">
        <v>1751</v>
      </c>
      <c r="J1097" t="s">
        <v>38</v>
      </c>
      <c r="K1097" t="s">
        <v>31</v>
      </c>
      <c r="L1097" t="s">
        <v>39</v>
      </c>
      <c r="M1097" t="s">
        <v>61</v>
      </c>
      <c r="N1097">
        <f>Sheet1[[#This Row],[Quantity]]*Sheet1[[#This Row],[UnitPrice]]</f>
        <v>2779.56</v>
      </c>
    </row>
    <row r="1098" spans="1:14" x14ac:dyDescent="0.3">
      <c r="A1098" s="1">
        <v>45331</v>
      </c>
      <c r="B1098" t="s">
        <v>109</v>
      </c>
      <c r="C1098" t="s">
        <v>51</v>
      </c>
      <c r="D1098" t="s">
        <v>16</v>
      </c>
      <c r="E1098" t="s">
        <v>42</v>
      </c>
      <c r="F1098">
        <v>4</v>
      </c>
      <c r="G1098">
        <v>233.77</v>
      </c>
      <c r="H1098" t="s">
        <v>68</v>
      </c>
      <c r="I1098" t="s">
        <v>1752</v>
      </c>
      <c r="J1098" t="s">
        <v>30</v>
      </c>
      <c r="K1098" t="s">
        <v>21</v>
      </c>
      <c r="L1098" t="s">
        <v>39</v>
      </c>
      <c r="M1098" t="s">
        <v>40</v>
      </c>
      <c r="N1098">
        <f>Sheet1[[#This Row],[Quantity]]*Sheet1[[#This Row],[UnitPrice]]</f>
        <v>935.08</v>
      </c>
    </row>
    <row r="1099" spans="1:14" x14ac:dyDescent="0.3">
      <c r="A1099" s="1">
        <v>45053</v>
      </c>
      <c r="B1099" t="s">
        <v>180</v>
      </c>
      <c r="C1099" t="s">
        <v>63</v>
      </c>
      <c r="D1099" t="s">
        <v>47</v>
      </c>
      <c r="E1099" t="s">
        <v>67</v>
      </c>
      <c r="F1099">
        <v>8</v>
      </c>
      <c r="G1099">
        <v>224.58</v>
      </c>
      <c r="H1099" t="s">
        <v>53</v>
      </c>
      <c r="I1099" t="s">
        <v>1753</v>
      </c>
      <c r="J1099" t="s">
        <v>30</v>
      </c>
      <c r="K1099" t="s">
        <v>21</v>
      </c>
      <c r="L1099" t="s">
        <v>39</v>
      </c>
      <c r="M1099" t="s">
        <v>61</v>
      </c>
      <c r="N1099">
        <f>Sheet1[[#This Row],[Quantity]]*Sheet1[[#This Row],[UnitPrice]]</f>
        <v>1796.64</v>
      </c>
    </row>
    <row r="1100" spans="1:14" x14ac:dyDescent="0.3">
      <c r="A1100" s="1">
        <v>45805</v>
      </c>
      <c r="B1100" t="s">
        <v>1754</v>
      </c>
      <c r="C1100" t="s">
        <v>101</v>
      </c>
      <c r="D1100" t="s">
        <v>74</v>
      </c>
      <c r="E1100" t="s">
        <v>42</v>
      </c>
      <c r="F1100">
        <v>6</v>
      </c>
      <c r="G1100">
        <v>364.61</v>
      </c>
      <c r="H1100" t="s">
        <v>28</v>
      </c>
      <c r="I1100" t="s">
        <v>1755</v>
      </c>
      <c r="J1100" t="s">
        <v>44</v>
      </c>
      <c r="K1100" t="s">
        <v>59</v>
      </c>
      <c r="L1100" t="s">
        <v>22</v>
      </c>
      <c r="M1100" t="s">
        <v>76</v>
      </c>
      <c r="N1100">
        <f>Sheet1[[#This Row],[Quantity]]*Sheet1[[#This Row],[UnitPrice]]</f>
        <v>2187.66</v>
      </c>
    </row>
    <row r="1101" spans="1:14" x14ac:dyDescent="0.3">
      <c r="A1101" s="1">
        <v>45727</v>
      </c>
      <c r="B1101" t="s">
        <v>1756</v>
      </c>
      <c r="C1101" t="s">
        <v>73</v>
      </c>
      <c r="D1101" t="s">
        <v>26</v>
      </c>
      <c r="E1101" t="s">
        <v>52</v>
      </c>
      <c r="F1101">
        <v>5</v>
      </c>
      <c r="G1101">
        <v>386.77</v>
      </c>
      <c r="H1101" t="s">
        <v>36</v>
      </c>
      <c r="I1101" t="s">
        <v>1757</v>
      </c>
      <c r="J1101" t="s">
        <v>38</v>
      </c>
      <c r="K1101" t="s">
        <v>45</v>
      </c>
      <c r="L1101" t="s">
        <v>22</v>
      </c>
      <c r="M1101" t="s">
        <v>84</v>
      </c>
      <c r="N1101">
        <f>Sheet1[[#This Row],[Quantity]]*Sheet1[[#This Row],[UnitPrice]]</f>
        <v>1933.85</v>
      </c>
    </row>
    <row r="1102" spans="1:14" x14ac:dyDescent="0.3">
      <c r="A1102" s="1">
        <v>45122</v>
      </c>
      <c r="B1102" t="s">
        <v>717</v>
      </c>
      <c r="C1102" t="s">
        <v>15</v>
      </c>
      <c r="D1102" t="s">
        <v>26</v>
      </c>
      <c r="E1102" t="s">
        <v>27</v>
      </c>
      <c r="F1102">
        <v>8</v>
      </c>
      <c r="G1102">
        <v>154.78</v>
      </c>
      <c r="H1102" t="s">
        <v>18</v>
      </c>
      <c r="I1102" t="s">
        <v>1758</v>
      </c>
      <c r="J1102" t="s">
        <v>44</v>
      </c>
      <c r="K1102" t="s">
        <v>45</v>
      </c>
      <c r="L1102" t="s">
        <v>39</v>
      </c>
      <c r="M1102" t="s">
        <v>23</v>
      </c>
      <c r="N1102">
        <f>Sheet1[[#This Row],[Quantity]]*Sheet1[[#This Row],[UnitPrice]]</f>
        <v>1238.24</v>
      </c>
    </row>
    <row r="1103" spans="1:14" x14ac:dyDescent="0.3">
      <c r="A1103" s="1">
        <v>45134</v>
      </c>
      <c r="B1103" t="s">
        <v>1387</v>
      </c>
      <c r="C1103" t="s">
        <v>34</v>
      </c>
      <c r="D1103" t="s">
        <v>26</v>
      </c>
      <c r="E1103" t="s">
        <v>64</v>
      </c>
      <c r="F1103">
        <v>8</v>
      </c>
      <c r="G1103">
        <v>147.77000000000001</v>
      </c>
      <c r="H1103" t="s">
        <v>36</v>
      </c>
      <c r="I1103" t="s">
        <v>1759</v>
      </c>
      <c r="J1103" t="s">
        <v>44</v>
      </c>
      <c r="K1103" t="s">
        <v>21</v>
      </c>
      <c r="L1103" t="s">
        <v>60</v>
      </c>
      <c r="M1103" t="s">
        <v>32</v>
      </c>
      <c r="N1103">
        <f>Sheet1[[#This Row],[Quantity]]*Sheet1[[#This Row],[UnitPrice]]</f>
        <v>1182.1600000000001</v>
      </c>
    </row>
    <row r="1104" spans="1:14" x14ac:dyDescent="0.3">
      <c r="A1104" s="1">
        <v>45644</v>
      </c>
      <c r="B1104" t="s">
        <v>456</v>
      </c>
      <c r="C1104" t="s">
        <v>101</v>
      </c>
      <c r="D1104" t="s">
        <v>16</v>
      </c>
      <c r="E1104" t="s">
        <v>27</v>
      </c>
      <c r="F1104">
        <v>5</v>
      </c>
      <c r="G1104">
        <v>38.200000000000003</v>
      </c>
      <c r="H1104" t="s">
        <v>36</v>
      </c>
      <c r="I1104" t="s">
        <v>1760</v>
      </c>
      <c r="J1104" t="s">
        <v>20</v>
      </c>
      <c r="K1104" t="s">
        <v>59</v>
      </c>
      <c r="L1104" t="s">
        <v>39</v>
      </c>
      <c r="M1104" t="s">
        <v>76</v>
      </c>
      <c r="N1104">
        <f>Sheet1[[#This Row],[Quantity]]*Sheet1[[#This Row],[UnitPrice]]</f>
        <v>191</v>
      </c>
    </row>
    <row r="1105" spans="1:14" x14ac:dyDescent="0.3">
      <c r="A1105" s="1">
        <v>45419</v>
      </c>
      <c r="B1105" t="s">
        <v>892</v>
      </c>
      <c r="C1105" t="s">
        <v>90</v>
      </c>
      <c r="D1105" t="s">
        <v>74</v>
      </c>
      <c r="E1105" t="s">
        <v>64</v>
      </c>
      <c r="F1105">
        <v>5</v>
      </c>
      <c r="G1105">
        <v>300.81</v>
      </c>
      <c r="H1105" t="s">
        <v>53</v>
      </c>
      <c r="I1105" t="s">
        <v>1761</v>
      </c>
      <c r="J1105" t="s">
        <v>58</v>
      </c>
      <c r="K1105" t="s">
        <v>21</v>
      </c>
      <c r="L1105" t="s">
        <v>39</v>
      </c>
      <c r="M1105" t="s">
        <v>84</v>
      </c>
      <c r="N1105">
        <f>Sheet1[[#This Row],[Quantity]]*Sheet1[[#This Row],[UnitPrice]]</f>
        <v>1504.05</v>
      </c>
    </row>
    <row r="1106" spans="1:14" x14ac:dyDescent="0.3">
      <c r="A1106" s="1">
        <v>45303</v>
      </c>
      <c r="B1106" t="s">
        <v>105</v>
      </c>
      <c r="C1106" t="s">
        <v>15</v>
      </c>
      <c r="D1106" t="s">
        <v>47</v>
      </c>
      <c r="E1106" t="s">
        <v>35</v>
      </c>
      <c r="F1106">
        <v>3</v>
      </c>
      <c r="G1106">
        <v>226.82</v>
      </c>
      <c r="H1106" t="s">
        <v>68</v>
      </c>
      <c r="I1106" t="s">
        <v>1762</v>
      </c>
      <c r="J1106" t="s">
        <v>58</v>
      </c>
      <c r="K1106" t="s">
        <v>59</v>
      </c>
      <c r="L1106" t="s">
        <v>39</v>
      </c>
      <c r="M1106" t="s">
        <v>40</v>
      </c>
      <c r="N1106">
        <f>Sheet1[[#This Row],[Quantity]]*Sheet1[[#This Row],[UnitPrice]]</f>
        <v>680.46</v>
      </c>
    </row>
    <row r="1107" spans="1:14" x14ac:dyDescent="0.3">
      <c r="A1107" s="1">
        <v>44991</v>
      </c>
      <c r="B1107" t="s">
        <v>850</v>
      </c>
      <c r="C1107" t="s">
        <v>78</v>
      </c>
      <c r="D1107" t="s">
        <v>74</v>
      </c>
      <c r="E1107" t="s">
        <v>52</v>
      </c>
      <c r="F1107">
        <v>3</v>
      </c>
      <c r="G1107">
        <v>337.16</v>
      </c>
      <c r="H1107" t="s">
        <v>28</v>
      </c>
      <c r="I1107" t="s">
        <v>1763</v>
      </c>
      <c r="J1107" t="s">
        <v>30</v>
      </c>
      <c r="K1107" t="s">
        <v>31</v>
      </c>
      <c r="L1107" t="s">
        <v>22</v>
      </c>
      <c r="M1107" t="s">
        <v>49</v>
      </c>
      <c r="N1107">
        <f>Sheet1[[#This Row],[Quantity]]*Sheet1[[#This Row],[UnitPrice]]</f>
        <v>1011.48</v>
      </c>
    </row>
    <row r="1108" spans="1:14" x14ac:dyDescent="0.3">
      <c r="A1108" s="1">
        <v>45231</v>
      </c>
      <c r="B1108" t="s">
        <v>107</v>
      </c>
      <c r="C1108" t="s">
        <v>78</v>
      </c>
      <c r="D1108" t="s">
        <v>26</v>
      </c>
      <c r="E1108" t="s">
        <v>64</v>
      </c>
      <c r="F1108">
        <v>6</v>
      </c>
      <c r="G1108">
        <v>371.52</v>
      </c>
      <c r="H1108" t="s">
        <v>18</v>
      </c>
      <c r="I1108" t="s">
        <v>1764</v>
      </c>
      <c r="J1108" t="s">
        <v>30</v>
      </c>
      <c r="K1108" t="s">
        <v>45</v>
      </c>
      <c r="L1108" t="s">
        <v>60</v>
      </c>
      <c r="M1108" t="s">
        <v>76</v>
      </c>
      <c r="N1108">
        <f>Sheet1[[#This Row],[Quantity]]*Sheet1[[#This Row],[UnitPrice]]</f>
        <v>2229.12</v>
      </c>
    </row>
    <row r="1109" spans="1:14" x14ac:dyDescent="0.3">
      <c r="A1109" s="1">
        <v>45658</v>
      </c>
      <c r="B1109" t="s">
        <v>1765</v>
      </c>
      <c r="C1109" t="s">
        <v>56</v>
      </c>
      <c r="D1109" t="s">
        <v>26</v>
      </c>
      <c r="E1109" t="s">
        <v>27</v>
      </c>
      <c r="F1109">
        <v>2</v>
      </c>
      <c r="G1109">
        <v>39.909999999999997</v>
      </c>
      <c r="H1109" t="s">
        <v>53</v>
      </c>
      <c r="I1109" t="s">
        <v>1766</v>
      </c>
      <c r="J1109" t="s">
        <v>20</v>
      </c>
      <c r="K1109" t="s">
        <v>31</v>
      </c>
      <c r="L1109" t="s">
        <v>22</v>
      </c>
      <c r="M1109" t="s">
        <v>76</v>
      </c>
      <c r="N1109">
        <f>Sheet1[[#This Row],[Quantity]]*Sheet1[[#This Row],[UnitPrice]]</f>
        <v>79.819999999999993</v>
      </c>
    </row>
    <row r="1110" spans="1:14" x14ac:dyDescent="0.3">
      <c r="A1110" s="1">
        <v>45009</v>
      </c>
      <c r="B1110" t="s">
        <v>162</v>
      </c>
      <c r="C1110" t="s">
        <v>101</v>
      </c>
      <c r="D1110" t="s">
        <v>47</v>
      </c>
      <c r="E1110" t="s">
        <v>27</v>
      </c>
      <c r="F1110">
        <v>10</v>
      </c>
      <c r="G1110">
        <v>386.21</v>
      </c>
      <c r="H1110" t="s">
        <v>28</v>
      </c>
      <c r="I1110" t="s">
        <v>1767</v>
      </c>
      <c r="J1110" t="s">
        <v>20</v>
      </c>
      <c r="K1110" t="s">
        <v>21</v>
      </c>
      <c r="L1110" t="s">
        <v>22</v>
      </c>
      <c r="M1110" t="s">
        <v>40</v>
      </c>
      <c r="N1110">
        <f>Sheet1[[#This Row],[Quantity]]*Sheet1[[#This Row],[UnitPrice]]</f>
        <v>3862.1</v>
      </c>
    </row>
    <row r="1111" spans="1:14" x14ac:dyDescent="0.3">
      <c r="A1111" s="1">
        <v>45554</v>
      </c>
      <c r="B1111" t="s">
        <v>208</v>
      </c>
      <c r="C1111" t="s">
        <v>56</v>
      </c>
      <c r="D1111" t="s">
        <v>74</v>
      </c>
      <c r="E1111" t="s">
        <v>27</v>
      </c>
      <c r="F1111">
        <v>4</v>
      </c>
      <c r="G1111">
        <v>279.83999999999997</v>
      </c>
      <c r="H1111" t="s">
        <v>28</v>
      </c>
      <c r="I1111" t="s">
        <v>1768</v>
      </c>
      <c r="J1111" t="s">
        <v>30</v>
      </c>
      <c r="K1111" t="s">
        <v>45</v>
      </c>
      <c r="L1111" t="s">
        <v>60</v>
      </c>
      <c r="M1111" t="s">
        <v>32</v>
      </c>
      <c r="N1111">
        <f>Sheet1[[#This Row],[Quantity]]*Sheet1[[#This Row],[UnitPrice]]</f>
        <v>1119.3599999999999</v>
      </c>
    </row>
    <row r="1112" spans="1:14" x14ac:dyDescent="0.3">
      <c r="A1112" s="1">
        <v>45792</v>
      </c>
      <c r="B1112" t="s">
        <v>896</v>
      </c>
      <c r="C1112" t="s">
        <v>73</v>
      </c>
      <c r="D1112" t="s">
        <v>16</v>
      </c>
      <c r="E1112" t="s">
        <v>17</v>
      </c>
      <c r="F1112">
        <v>2</v>
      </c>
      <c r="G1112">
        <v>156.52000000000001</v>
      </c>
      <c r="H1112" t="s">
        <v>18</v>
      </c>
      <c r="I1112" t="s">
        <v>1769</v>
      </c>
      <c r="J1112" t="s">
        <v>44</v>
      </c>
      <c r="K1112" t="s">
        <v>59</v>
      </c>
      <c r="L1112" t="s">
        <v>22</v>
      </c>
      <c r="M1112" t="s">
        <v>32</v>
      </c>
      <c r="N1112">
        <f>Sheet1[[#This Row],[Quantity]]*Sheet1[[#This Row],[UnitPrice]]</f>
        <v>313.04000000000002</v>
      </c>
    </row>
    <row r="1113" spans="1:14" x14ac:dyDescent="0.3">
      <c r="A1113" s="1">
        <v>45450</v>
      </c>
      <c r="B1113" t="s">
        <v>577</v>
      </c>
      <c r="C1113" t="s">
        <v>78</v>
      </c>
      <c r="D1113" t="s">
        <v>16</v>
      </c>
      <c r="E1113" t="s">
        <v>35</v>
      </c>
      <c r="F1113">
        <v>8</v>
      </c>
      <c r="G1113">
        <v>367.19</v>
      </c>
      <c r="H1113" t="s">
        <v>18</v>
      </c>
      <c r="I1113" t="s">
        <v>1770</v>
      </c>
      <c r="J1113" t="s">
        <v>44</v>
      </c>
      <c r="K1113" t="s">
        <v>59</v>
      </c>
      <c r="L1113" t="s">
        <v>39</v>
      </c>
      <c r="M1113" t="s">
        <v>40</v>
      </c>
      <c r="N1113">
        <f>Sheet1[[#This Row],[Quantity]]*Sheet1[[#This Row],[UnitPrice]]</f>
        <v>2937.52</v>
      </c>
    </row>
    <row r="1114" spans="1:14" x14ac:dyDescent="0.3">
      <c r="A1114" s="1">
        <v>45039</v>
      </c>
      <c r="B1114" t="s">
        <v>1234</v>
      </c>
      <c r="C1114" t="s">
        <v>101</v>
      </c>
      <c r="D1114" t="s">
        <v>26</v>
      </c>
      <c r="E1114" t="s">
        <v>35</v>
      </c>
      <c r="F1114">
        <v>6</v>
      </c>
      <c r="G1114">
        <v>161.79</v>
      </c>
      <c r="H1114" t="s">
        <v>28</v>
      </c>
      <c r="I1114" t="s">
        <v>1771</v>
      </c>
      <c r="J1114" t="s">
        <v>38</v>
      </c>
      <c r="K1114" t="s">
        <v>31</v>
      </c>
      <c r="L1114" t="s">
        <v>22</v>
      </c>
      <c r="M1114" t="s">
        <v>61</v>
      </c>
      <c r="N1114">
        <f>Sheet1[[#This Row],[Quantity]]*Sheet1[[#This Row],[UnitPrice]]</f>
        <v>970.74</v>
      </c>
    </row>
    <row r="1115" spans="1:14" x14ac:dyDescent="0.3">
      <c r="A1115" s="1">
        <v>45304</v>
      </c>
      <c r="B1115" t="s">
        <v>1772</v>
      </c>
      <c r="C1115" t="s">
        <v>63</v>
      </c>
      <c r="D1115" t="s">
        <v>74</v>
      </c>
      <c r="E1115" t="s">
        <v>52</v>
      </c>
      <c r="F1115">
        <v>4</v>
      </c>
      <c r="G1115">
        <v>129.85</v>
      </c>
      <c r="H1115" t="s">
        <v>18</v>
      </c>
      <c r="I1115" t="s">
        <v>1773</v>
      </c>
      <c r="J1115" t="s">
        <v>44</v>
      </c>
      <c r="K1115" t="s">
        <v>59</v>
      </c>
      <c r="L1115" t="s">
        <v>22</v>
      </c>
      <c r="M1115" t="s">
        <v>23</v>
      </c>
      <c r="N1115">
        <f>Sheet1[[#This Row],[Quantity]]*Sheet1[[#This Row],[UnitPrice]]</f>
        <v>519.4</v>
      </c>
    </row>
    <row r="1116" spans="1:14" x14ac:dyDescent="0.3">
      <c r="A1116" s="1">
        <v>45115</v>
      </c>
      <c r="B1116" t="s">
        <v>1774</v>
      </c>
      <c r="C1116" t="s">
        <v>51</v>
      </c>
      <c r="D1116" t="s">
        <v>26</v>
      </c>
      <c r="E1116" t="s">
        <v>67</v>
      </c>
      <c r="F1116">
        <v>8</v>
      </c>
      <c r="G1116">
        <v>37.979999999999997</v>
      </c>
      <c r="H1116" t="s">
        <v>36</v>
      </c>
      <c r="I1116" t="s">
        <v>1775</v>
      </c>
      <c r="J1116" t="s">
        <v>44</v>
      </c>
      <c r="K1116" t="s">
        <v>21</v>
      </c>
      <c r="L1116" t="s">
        <v>39</v>
      </c>
      <c r="M1116" t="s">
        <v>23</v>
      </c>
      <c r="N1116">
        <f>Sheet1[[#This Row],[Quantity]]*Sheet1[[#This Row],[UnitPrice]]</f>
        <v>303.83999999999997</v>
      </c>
    </row>
    <row r="1117" spans="1:14" x14ac:dyDescent="0.3">
      <c r="A1117" s="1">
        <v>45775</v>
      </c>
      <c r="B1117" t="s">
        <v>393</v>
      </c>
      <c r="C1117" t="s">
        <v>90</v>
      </c>
      <c r="D1117" t="s">
        <v>74</v>
      </c>
      <c r="E1117" t="s">
        <v>67</v>
      </c>
      <c r="F1117">
        <v>10</v>
      </c>
      <c r="G1117">
        <v>142.35</v>
      </c>
      <c r="H1117" t="s">
        <v>53</v>
      </c>
      <c r="I1117" t="s">
        <v>1776</v>
      </c>
      <c r="J1117" t="s">
        <v>30</v>
      </c>
      <c r="K1117" t="s">
        <v>21</v>
      </c>
      <c r="L1117" t="s">
        <v>39</v>
      </c>
      <c r="M1117" t="s">
        <v>49</v>
      </c>
      <c r="N1117">
        <f>Sheet1[[#This Row],[Quantity]]*Sheet1[[#This Row],[UnitPrice]]</f>
        <v>1423.5</v>
      </c>
    </row>
    <row r="1118" spans="1:14" x14ac:dyDescent="0.3">
      <c r="A1118" s="1">
        <v>45584</v>
      </c>
      <c r="B1118" t="s">
        <v>1777</v>
      </c>
      <c r="C1118" t="s">
        <v>51</v>
      </c>
      <c r="D1118" t="s">
        <v>16</v>
      </c>
      <c r="E1118" t="s">
        <v>27</v>
      </c>
      <c r="F1118">
        <v>8</v>
      </c>
      <c r="G1118">
        <v>310.39999999999998</v>
      </c>
      <c r="H1118" t="s">
        <v>28</v>
      </c>
      <c r="I1118" t="s">
        <v>1778</v>
      </c>
      <c r="J1118" t="s">
        <v>58</v>
      </c>
      <c r="K1118" t="s">
        <v>59</v>
      </c>
      <c r="L1118" t="s">
        <v>60</v>
      </c>
      <c r="M1118" t="s">
        <v>23</v>
      </c>
      <c r="N1118">
        <f>Sheet1[[#This Row],[Quantity]]*Sheet1[[#This Row],[UnitPrice]]</f>
        <v>2483.1999999999998</v>
      </c>
    </row>
    <row r="1119" spans="1:14" x14ac:dyDescent="0.3">
      <c r="A1119" s="1">
        <v>45196</v>
      </c>
      <c r="B1119" t="s">
        <v>1309</v>
      </c>
      <c r="C1119" t="s">
        <v>78</v>
      </c>
      <c r="D1119" t="s">
        <v>74</v>
      </c>
      <c r="E1119" t="s">
        <v>35</v>
      </c>
      <c r="F1119">
        <v>1</v>
      </c>
      <c r="G1119">
        <v>7.37</v>
      </c>
      <c r="H1119" t="s">
        <v>36</v>
      </c>
      <c r="I1119" t="s">
        <v>1779</v>
      </c>
      <c r="J1119" t="s">
        <v>30</v>
      </c>
      <c r="K1119" t="s">
        <v>59</v>
      </c>
      <c r="L1119" t="s">
        <v>39</v>
      </c>
      <c r="M1119" t="s">
        <v>76</v>
      </c>
      <c r="N1119">
        <f>Sheet1[[#This Row],[Quantity]]*Sheet1[[#This Row],[UnitPrice]]</f>
        <v>7.37</v>
      </c>
    </row>
    <row r="1120" spans="1:14" x14ac:dyDescent="0.3">
      <c r="A1120" s="1">
        <v>45476</v>
      </c>
      <c r="B1120" t="s">
        <v>1396</v>
      </c>
      <c r="C1120" t="s">
        <v>101</v>
      </c>
      <c r="D1120" t="s">
        <v>26</v>
      </c>
      <c r="E1120" t="s">
        <v>17</v>
      </c>
      <c r="F1120">
        <v>2</v>
      </c>
      <c r="G1120">
        <v>391.88</v>
      </c>
      <c r="H1120" t="s">
        <v>68</v>
      </c>
      <c r="I1120" t="s">
        <v>1780</v>
      </c>
      <c r="J1120" t="s">
        <v>30</v>
      </c>
      <c r="K1120" t="s">
        <v>59</v>
      </c>
      <c r="L1120" t="s">
        <v>39</v>
      </c>
      <c r="M1120" t="s">
        <v>76</v>
      </c>
      <c r="N1120">
        <f>Sheet1[[#This Row],[Quantity]]*Sheet1[[#This Row],[UnitPrice]]</f>
        <v>783.76</v>
      </c>
    </row>
    <row r="1121" spans="1:14" x14ac:dyDescent="0.3">
      <c r="A1121" s="1">
        <v>45427</v>
      </c>
      <c r="B1121" t="s">
        <v>292</v>
      </c>
      <c r="C1121" t="s">
        <v>78</v>
      </c>
      <c r="D1121" t="s">
        <v>16</v>
      </c>
      <c r="E1121" t="s">
        <v>27</v>
      </c>
      <c r="F1121">
        <v>6</v>
      </c>
      <c r="G1121">
        <v>374.4</v>
      </c>
      <c r="H1121" t="s">
        <v>18</v>
      </c>
      <c r="I1121" t="s">
        <v>1781</v>
      </c>
      <c r="J1121" t="s">
        <v>44</v>
      </c>
      <c r="K1121" t="s">
        <v>31</v>
      </c>
      <c r="L1121" t="s">
        <v>60</v>
      </c>
      <c r="M1121" t="s">
        <v>76</v>
      </c>
      <c r="N1121">
        <f>Sheet1[[#This Row],[Quantity]]*Sheet1[[#This Row],[UnitPrice]]</f>
        <v>2246.3999999999996</v>
      </c>
    </row>
    <row r="1122" spans="1:14" x14ac:dyDescent="0.3">
      <c r="A1122" s="1">
        <v>45577</v>
      </c>
      <c r="B1122" t="s">
        <v>111</v>
      </c>
      <c r="C1122" t="s">
        <v>34</v>
      </c>
      <c r="D1122" t="s">
        <v>74</v>
      </c>
      <c r="E1122" t="s">
        <v>64</v>
      </c>
      <c r="F1122">
        <v>3</v>
      </c>
      <c r="G1122">
        <v>67.73</v>
      </c>
      <c r="H1122" t="s">
        <v>28</v>
      </c>
      <c r="I1122" t="s">
        <v>1782</v>
      </c>
      <c r="J1122" t="s">
        <v>44</v>
      </c>
      <c r="K1122" t="s">
        <v>31</v>
      </c>
      <c r="L1122" t="s">
        <v>39</v>
      </c>
      <c r="M1122" t="s">
        <v>23</v>
      </c>
      <c r="N1122">
        <f>Sheet1[[#This Row],[Quantity]]*Sheet1[[#This Row],[UnitPrice]]</f>
        <v>203.19</v>
      </c>
    </row>
    <row r="1123" spans="1:14" x14ac:dyDescent="0.3">
      <c r="A1123" s="1">
        <v>45051</v>
      </c>
      <c r="B1123" t="s">
        <v>1367</v>
      </c>
      <c r="C1123" t="s">
        <v>90</v>
      </c>
      <c r="D1123" t="s">
        <v>74</v>
      </c>
      <c r="E1123" t="s">
        <v>17</v>
      </c>
      <c r="F1123">
        <v>9</v>
      </c>
      <c r="G1123">
        <v>360.7</v>
      </c>
      <c r="H1123" t="s">
        <v>28</v>
      </c>
      <c r="I1123" t="s">
        <v>1783</v>
      </c>
      <c r="J1123" t="s">
        <v>30</v>
      </c>
      <c r="K1123" t="s">
        <v>59</v>
      </c>
      <c r="L1123" t="s">
        <v>60</v>
      </c>
      <c r="M1123" t="s">
        <v>40</v>
      </c>
      <c r="N1123">
        <f>Sheet1[[#This Row],[Quantity]]*Sheet1[[#This Row],[UnitPrice]]</f>
        <v>3246.2999999999997</v>
      </c>
    </row>
    <row r="1124" spans="1:14" x14ac:dyDescent="0.3">
      <c r="A1124" s="1">
        <v>45291</v>
      </c>
      <c r="B1124" t="s">
        <v>315</v>
      </c>
      <c r="C1124" t="s">
        <v>25</v>
      </c>
      <c r="D1124" t="s">
        <v>26</v>
      </c>
      <c r="E1124" t="s">
        <v>64</v>
      </c>
      <c r="F1124">
        <v>5</v>
      </c>
      <c r="G1124">
        <v>353.08</v>
      </c>
      <c r="H1124" t="s">
        <v>28</v>
      </c>
      <c r="I1124" t="s">
        <v>1784</v>
      </c>
      <c r="J1124" t="s">
        <v>38</v>
      </c>
      <c r="K1124" t="s">
        <v>45</v>
      </c>
      <c r="L1124" t="s">
        <v>22</v>
      </c>
      <c r="M1124" t="s">
        <v>61</v>
      </c>
      <c r="N1124">
        <f>Sheet1[[#This Row],[Quantity]]*Sheet1[[#This Row],[UnitPrice]]</f>
        <v>1765.3999999999999</v>
      </c>
    </row>
    <row r="1125" spans="1:14" x14ac:dyDescent="0.3">
      <c r="A1125" s="1">
        <v>45600</v>
      </c>
      <c r="B1125" t="s">
        <v>1785</v>
      </c>
      <c r="C1125" t="s">
        <v>63</v>
      </c>
      <c r="D1125" t="s">
        <v>74</v>
      </c>
      <c r="E1125" t="s">
        <v>17</v>
      </c>
      <c r="F1125">
        <v>1</v>
      </c>
      <c r="G1125">
        <v>280.33999999999997</v>
      </c>
      <c r="H1125" t="s">
        <v>68</v>
      </c>
      <c r="I1125" t="s">
        <v>1786</v>
      </c>
      <c r="J1125" t="s">
        <v>44</v>
      </c>
      <c r="K1125" t="s">
        <v>31</v>
      </c>
      <c r="L1125" t="s">
        <v>60</v>
      </c>
      <c r="M1125" t="s">
        <v>49</v>
      </c>
      <c r="N1125">
        <f>Sheet1[[#This Row],[Quantity]]*Sheet1[[#This Row],[UnitPrice]]</f>
        <v>280.33999999999997</v>
      </c>
    </row>
    <row r="1126" spans="1:14" x14ac:dyDescent="0.3">
      <c r="A1126" s="1">
        <v>45414</v>
      </c>
      <c r="B1126" t="s">
        <v>1334</v>
      </c>
      <c r="C1126" t="s">
        <v>34</v>
      </c>
      <c r="D1126" t="s">
        <v>26</v>
      </c>
      <c r="E1126" t="s">
        <v>42</v>
      </c>
      <c r="F1126">
        <v>5</v>
      </c>
      <c r="G1126">
        <v>271.5</v>
      </c>
      <c r="H1126" t="s">
        <v>68</v>
      </c>
      <c r="I1126" t="s">
        <v>1787</v>
      </c>
      <c r="J1126" t="s">
        <v>58</v>
      </c>
      <c r="K1126" t="s">
        <v>45</v>
      </c>
      <c r="L1126" t="s">
        <v>39</v>
      </c>
      <c r="M1126" t="s">
        <v>32</v>
      </c>
      <c r="N1126">
        <f>Sheet1[[#This Row],[Quantity]]*Sheet1[[#This Row],[UnitPrice]]</f>
        <v>1357.5</v>
      </c>
    </row>
    <row r="1127" spans="1:14" x14ac:dyDescent="0.3">
      <c r="A1127" s="1">
        <v>45695</v>
      </c>
      <c r="B1127" t="s">
        <v>1637</v>
      </c>
      <c r="C1127" t="s">
        <v>63</v>
      </c>
      <c r="D1127" t="s">
        <v>74</v>
      </c>
      <c r="E1127" t="s">
        <v>27</v>
      </c>
      <c r="F1127">
        <v>5</v>
      </c>
      <c r="G1127">
        <v>15.07</v>
      </c>
      <c r="H1127" t="s">
        <v>53</v>
      </c>
      <c r="I1127" t="s">
        <v>1788</v>
      </c>
      <c r="J1127" t="s">
        <v>58</v>
      </c>
      <c r="K1127" t="s">
        <v>45</v>
      </c>
      <c r="L1127" t="s">
        <v>22</v>
      </c>
      <c r="M1127" t="s">
        <v>40</v>
      </c>
      <c r="N1127">
        <f>Sheet1[[#This Row],[Quantity]]*Sheet1[[#This Row],[UnitPrice]]</f>
        <v>75.349999999999994</v>
      </c>
    </row>
    <row r="1128" spans="1:14" x14ac:dyDescent="0.3">
      <c r="A1128" s="1">
        <v>45437</v>
      </c>
      <c r="B1128" t="s">
        <v>675</v>
      </c>
      <c r="C1128" t="s">
        <v>34</v>
      </c>
      <c r="D1128" t="s">
        <v>74</v>
      </c>
      <c r="E1128" t="s">
        <v>67</v>
      </c>
      <c r="F1128">
        <v>9</v>
      </c>
      <c r="G1128">
        <v>223.23</v>
      </c>
      <c r="H1128" t="s">
        <v>68</v>
      </c>
      <c r="I1128" t="s">
        <v>1789</v>
      </c>
      <c r="J1128" t="s">
        <v>38</v>
      </c>
      <c r="K1128" t="s">
        <v>21</v>
      </c>
      <c r="L1128" t="s">
        <v>39</v>
      </c>
      <c r="M1128" t="s">
        <v>23</v>
      </c>
      <c r="N1128">
        <f>Sheet1[[#This Row],[Quantity]]*Sheet1[[#This Row],[UnitPrice]]</f>
        <v>2009.07</v>
      </c>
    </row>
    <row r="1129" spans="1:14" x14ac:dyDescent="0.3">
      <c r="A1129" s="1">
        <v>45154</v>
      </c>
      <c r="B1129" t="s">
        <v>1790</v>
      </c>
      <c r="C1129" t="s">
        <v>34</v>
      </c>
      <c r="D1129" t="s">
        <v>47</v>
      </c>
      <c r="E1129" t="s">
        <v>64</v>
      </c>
      <c r="F1129">
        <v>3</v>
      </c>
      <c r="G1129">
        <v>271.37</v>
      </c>
      <c r="H1129" t="s">
        <v>53</v>
      </c>
      <c r="I1129" t="s">
        <v>1791</v>
      </c>
      <c r="J1129" t="s">
        <v>58</v>
      </c>
      <c r="K1129" t="s">
        <v>45</v>
      </c>
      <c r="L1129" t="s">
        <v>39</v>
      </c>
      <c r="M1129" t="s">
        <v>76</v>
      </c>
      <c r="N1129">
        <f>Sheet1[[#This Row],[Quantity]]*Sheet1[[#This Row],[UnitPrice]]</f>
        <v>814.11</v>
      </c>
    </row>
    <row r="1130" spans="1:14" x14ac:dyDescent="0.3">
      <c r="A1130" s="1">
        <v>45495</v>
      </c>
      <c r="B1130" t="s">
        <v>1352</v>
      </c>
      <c r="C1130" t="s">
        <v>34</v>
      </c>
      <c r="D1130" t="s">
        <v>16</v>
      </c>
      <c r="E1130" t="s">
        <v>17</v>
      </c>
      <c r="F1130">
        <v>8</v>
      </c>
      <c r="G1130">
        <v>107.23</v>
      </c>
      <c r="H1130" t="s">
        <v>18</v>
      </c>
      <c r="I1130" t="s">
        <v>1792</v>
      </c>
      <c r="J1130" t="s">
        <v>20</v>
      </c>
      <c r="K1130" t="s">
        <v>31</v>
      </c>
      <c r="L1130" t="s">
        <v>39</v>
      </c>
      <c r="M1130" t="s">
        <v>49</v>
      </c>
      <c r="N1130">
        <f>Sheet1[[#This Row],[Quantity]]*Sheet1[[#This Row],[UnitPrice]]</f>
        <v>857.84</v>
      </c>
    </row>
    <row r="1131" spans="1:14" x14ac:dyDescent="0.3">
      <c r="A1131" s="1">
        <v>45702</v>
      </c>
      <c r="B1131" t="s">
        <v>1793</v>
      </c>
      <c r="C1131" t="s">
        <v>34</v>
      </c>
      <c r="D1131" t="s">
        <v>16</v>
      </c>
      <c r="E1131" t="s">
        <v>35</v>
      </c>
      <c r="F1131">
        <v>3</v>
      </c>
      <c r="G1131">
        <v>127.57</v>
      </c>
      <c r="H1131" t="s">
        <v>18</v>
      </c>
      <c r="I1131" t="s">
        <v>1794</v>
      </c>
      <c r="J1131" t="s">
        <v>44</v>
      </c>
      <c r="K1131" t="s">
        <v>59</v>
      </c>
      <c r="L1131" t="s">
        <v>22</v>
      </c>
      <c r="M1131" t="s">
        <v>40</v>
      </c>
      <c r="N1131">
        <f>Sheet1[[#This Row],[Quantity]]*Sheet1[[#This Row],[UnitPrice]]</f>
        <v>382.71</v>
      </c>
    </row>
    <row r="1132" spans="1:14" x14ac:dyDescent="0.3">
      <c r="A1132" s="1">
        <v>45638</v>
      </c>
      <c r="B1132" t="s">
        <v>1795</v>
      </c>
      <c r="C1132" t="s">
        <v>25</v>
      </c>
      <c r="D1132" t="s">
        <v>16</v>
      </c>
      <c r="E1132" t="s">
        <v>35</v>
      </c>
      <c r="F1132">
        <v>2</v>
      </c>
      <c r="G1132">
        <v>107.36</v>
      </c>
      <c r="H1132" t="s">
        <v>28</v>
      </c>
      <c r="I1132" t="s">
        <v>1796</v>
      </c>
      <c r="J1132" t="s">
        <v>44</v>
      </c>
      <c r="K1132" t="s">
        <v>45</v>
      </c>
      <c r="L1132" t="s">
        <v>39</v>
      </c>
      <c r="M1132" t="s">
        <v>32</v>
      </c>
      <c r="N1132">
        <f>Sheet1[[#This Row],[Quantity]]*Sheet1[[#This Row],[UnitPrice]]</f>
        <v>214.72</v>
      </c>
    </row>
    <row r="1133" spans="1:14" x14ac:dyDescent="0.3">
      <c r="A1133" s="1">
        <v>45063</v>
      </c>
      <c r="B1133" t="s">
        <v>1797</v>
      </c>
      <c r="C1133" t="s">
        <v>101</v>
      </c>
      <c r="D1133" t="s">
        <v>16</v>
      </c>
      <c r="E1133" t="s">
        <v>27</v>
      </c>
      <c r="F1133">
        <v>6</v>
      </c>
      <c r="G1133">
        <v>94.8</v>
      </c>
      <c r="H1133" t="s">
        <v>68</v>
      </c>
      <c r="I1133" t="s">
        <v>1798</v>
      </c>
      <c r="J1133" t="s">
        <v>38</v>
      </c>
      <c r="K1133" t="s">
        <v>21</v>
      </c>
      <c r="L1133" t="s">
        <v>22</v>
      </c>
      <c r="M1133" t="s">
        <v>76</v>
      </c>
      <c r="N1133">
        <f>Sheet1[[#This Row],[Quantity]]*Sheet1[[#This Row],[UnitPrice]]</f>
        <v>568.79999999999995</v>
      </c>
    </row>
    <row r="1134" spans="1:14" x14ac:dyDescent="0.3">
      <c r="A1134" s="1">
        <v>45833</v>
      </c>
      <c r="B1134" t="s">
        <v>1327</v>
      </c>
      <c r="C1134" t="s">
        <v>15</v>
      </c>
      <c r="D1134" t="s">
        <v>16</v>
      </c>
      <c r="E1134" t="s">
        <v>17</v>
      </c>
      <c r="F1134">
        <v>8</v>
      </c>
      <c r="G1134">
        <v>278.75</v>
      </c>
      <c r="H1134" t="s">
        <v>68</v>
      </c>
      <c r="I1134" t="s">
        <v>1799</v>
      </c>
      <c r="J1134" t="s">
        <v>38</v>
      </c>
      <c r="K1134" t="s">
        <v>59</v>
      </c>
      <c r="L1134" t="s">
        <v>60</v>
      </c>
      <c r="M1134" t="s">
        <v>76</v>
      </c>
      <c r="N1134">
        <f>Sheet1[[#This Row],[Quantity]]*Sheet1[[#This Row],[UnitPrice]]</f>
        <v>2230</v>
      </c>
    </row>
    <row r="1135" spans="1:14" x14ac:dyDescent="0.3">
      <c r="A1135" s="1">
        <v>45281</v>
      </c>
      <c r="B1135" t="s">
        <v>1577</v>
      </c>
      <c r="C1135" t="s">
        <v>63</v>
      </c>
      <c r="D1135" t="s">
        <v>74</v>
      </c>
      <c r="E1135" t="s">
        <v>67</v>
      </c>
      <c r="F1135">
        <v>6</v>
      </c>
      <c r="G1135">
        <v>374.27</v>
      </c>
      <c r="H1135" t="s">
        <v>28</v>
      </c>
      <c r="I1135" t="s">
        <v>1800</v>
      </c>
      <c r="J1135" t="s">
        <v>38</v>
      </c>
      <c r="K1135" t="s">
        <v>31</v>
      </c>
      <c r="L1135" t="s">
        <v>60</v>
      </c>
      <c r="M1135" t="s">
        <v>32</v>
      </c>
      <c r="N1135">
        <f>Sheet1[[#This Row],[Quantity]]*Sheet1[[#This Row],[UnitPrice]]</f>
        <v>2245.62</v>
      </c>
    </row>
    <row r="1136" spans="1:14" x14ac:dyDescent="0.3">
      <c r="A1136" s="1">
        <v>45101</v>
      </c>
      <c r="B1136" t="s">
        <v>696</v>
      </c>
      <c r="C1136" t="s">
        <v>34</v>
      </c>
      <c r="D1136" t="s">
        <v>47</v>
      </c>
      <c r="E1136" t="s">
        <v>17</v>
      </c>
      <c r="F1136">
        <v>5</v>
      </c>
      <c r="G1136">
        <v>82.7</v>
      </c>
      <c r="H1136" t="s">
        <v>53</v>
      </c>
      <c r="I1136" t="s">
        <v>1801</v>
      </c>
      <c r="J1136" t="s">
        <v>30</v>
      </c>
      <c r="K1136" t="s">
        <v>59</v>
      </c>
      <c r="L1136" t="s">
        <v>22</v>
      </c>
      <c r="M1136" t="s">
        <v>23</v>
      </c>
      <c r="N1136">
        <f>Sheet1[[#This Row],[Quantity]]*Sheet1[[#This Row],[UnitPrice]]</f>
        <v>413.5</v>
      </c>
    </row>
    <row r="1137" spans="1:14" x14ac:dyDescent="0.3">
      <c r="A1137" s="1">
        <v>45402</v>
      </c>
      <c r="B1137" t="s">
        <v>377</v>
      </c>
      <c r="C1137" t="s">
        <v>34</v>
      </c>
      <c r="D1137" t="s">
        <v>16</v>
      </c>
      <c r="E1137" t="s">
        <v>52</v>
      </c>
      <c r="F1137">
        <v>5</v>
      </c>
      <c r="G1137">
        <v>119.16</v>
      </c>
      <c r="H1137" t="s">
        <v>68</v>
      </c>
      <c r="I1137" t="s">
        <v>1802</v>
      </c>
      <c r="J1137" t="s">
        <v>58</v>
      </c>
      <c r="K1137" t="s">
        <v>45</v>
      </c>
      <c r="L1137" t="s">
        <v>22</v>
      </c>
      <c r="M1137" t="s">
        <v>23</v>
      </c>
      <c r="N1137">
        <f>Sheet1[[#This Row],[Quantity]]*Sheet1[[#This Row],[UnitPrice]]</f>
        <v>595.79999999999995</v>
      </c>
    </row>
    <row r="1138" spans="1:14" x14ac:dyDescent="0.3">
      <c r="A1138" s="1">
        <v>45180</v>
      </c>
      <c r="B1138" t="s">
        <v>1174</v>
      </c>
      <c r="C1138" t="s">
        <v>15</v>
      </c>
      <c r="D1138" t="s">
        <v>74</v>
      </c>
      <c r="E1138" t="s">
        <v>27</v>
      </c>
      <c r="F1138">
        <v>2</v>
      </c>
      <c r="G1138">
        <v>296.61</v>
      </c>
      <c r="H1138" t="s">
        <v>53</v>
      </c>
      <c r="I1138" t="s">
        <v>1803</v>
      </c>
      <c r="J1138" t="s">
        <v>38</v>
      </c>
      <c r="K1138" t="s">
        <v>21</v>
      </c>
      <c r="L1138" t="s">
        <v>22</v>
      </c>
      <c r="M1138" t="s">
        <v>49</v>
      </c>
      <c r="N1138">
        <f>Sheet1[[#This Row],[Quantity]]*Sheet1[[#This Row],[UnitPrice]]</f>
        <v>593.22</v>
      </c>
    </row>
    <row r="1139" spans="1:14" x14ac:dyDescent="0.3">
      <c r="A1139" s="1">
        <v>45765</v>
      </c>
      <c r="B1139" t="s">
        <v>306</v>
      </c>
      <c r="C1139" t="s">
        <v>15</v>
      </c>
      <c r="D1139" t="s">
        <v>47</v>
      </c>
      <c r="E1139" t="s">
        <v>27</v>
      </c>
      <c r="F1139">
        <v>5</v>
      </c>
      <c r="G1139">
        <v>311.51</v>
      </c>
      <c r="H1139" t="s">
        <v>68</v>
      </c>
      <c r="I1139" t="s">
        <v>1804</v>
      </c>
      <c r="J1139" t="s">
        <v>58</v>
      </c>
      <c r="K1139" t="s">
        <v>45</v>
      </c>
      <c r="L1139" t="s">
        <v>22</v>
      </c>
      <c r="M1139" t="s">
        <v>40</v>
      </c>
      <c r="N1139">
        <f>Sheet1[[#This Row],[Quantity]]*Sheet1[[#This Row],[UnitPrice]]</f>
        <v>1557.55</v>
      </c>
    </row>
    <row r="1140" spans="1:14" x14ac:dyDescent="0.3">
      <c r="A1140" s="1">
        <v>45743</v>
      </c>
      <c r="B1140" t="s">
        <v>387</v>
      </c>
      <c r="C1140" t="s">
        <v>25</v>
      </c>
      <c r="D1140" t="s">
        <v>74</v>
      </c>
      <c r="E1140" t="s">
        <v>42</v>
      </c>
      <c r="F1140">
        <v>5</v>
      </c>
      <c r="G1140">
        <v>257.77</v>
      </c>
      <c r="H1140" t="s">
        <v>68</v>
      </c>
      <c r="I1140" t="s">
        <v>1805</v>
      </c>
      <c r="J1140" t="s">
        <v>38</v>
      </c>
      <c r="K1140" t="s">
        <v>45</v>
      </c>
      <c r="L1140" t="s">
        <v>39</v>
      </c>
      <c r="M1140" t="s">
        <v>32</v>
      </c>
      <c r="N1140">
        <f>Sheet1[[#This Row],[Quantity]]*Sheet1[[#This Row],[UnitPrice]]</f>
        <v>1288.8499999999999</v>
      </c>
    </row>
    <row r="1141" spans="1:14" x14ac:dyDescent="0.3">
      <c r="A1141" s="1">
        <v>45649</v>
      </c>
      <c r="B1141" t="s">
        <v>403</v>
      </c>
      <c r="C1141" t="s">
        <v>56</v>
      </c>
      <c r="D1141" t="s">
        <v>47</v>
      </c>
      <c r="E1141" t="s">
        <v>17</v>
      </c>
      <c r="F1141">
        <v>1</v>
      </c>
      <c r="G1141">
        <v>391.91</v>
      </c>
      <c r="H1141" t="s">
        <v>36</v>
      </c>
      <c r="I1141" t="s">
        <v>1806</v>
      </c>
      <c r="J1141" t="s">
        <v>58</v>
      </c>
      <c r="K1141" t="s">
        <v>31</v>
      </c>
      <c r="L1141" t="s">
        <v>39</v>
      </c>
      <c r="M1141" t="s">
        <v>49</v>
      </c>
      <c r="N1141">
        <f>Sheet1[[#This Row],[Quantity]]*Sheet1[[#This Row],[UnitPrice]]</f>
        <v>391.91</v>
      </c>
    </row>
    <row r="1142" spans="1:14" x14ac:dyDescent="0.3">
      <c r="A1142" s="1">
        <v>45365</v>
      </c>
      <c r="B1142" t="s">
        <v>1807</v>
      </c>
      <c r="C1142" t="s">
        <v>15</v>
      </c>
      <c r="D1142" t="s">
        <v>74</v>
      </c>
      <c r="E1142" t="s">
        <v>64</v>
      </c>
      <c r="F1142">
        <v>10</v>
      </c>
      <c r="G1142">
        <v>319.07</v>
      </c>
      <c r="H1142" t="s">
        <v>36</v>
      </c>
      <c r="I1142" t="s">
        <v>1808</v>
      </c>
      <c r="J1142" t="s">
        <v>30</v>
      </c>
      <c r="K1142" t="s">
        <v>45</v>
      </c>
      <c r="L1142" t="s">
        <v>39</v>
      </c>
      <c r="M1142" t="s">
        <v>32</v>
      </c>
      <c r="N1142">
        <f>Sheet1[[#This Row],[Quantity]]*Sheet1[[#This Row],[UnitPrice]]</f>
        <v>3190.7</v>
      </c>
    </row>
    <row r="1143" spans="1:14" x14ac:dyDescent="0.3">
      <c r="A1143" s="1">
        <v>45169</v>
      </c>
      <c r="B1143" t="s">
        <v>231</v>
      </c>
      <c r="C1143" t="s">
        <v>73</v>
      </c>
      <c r="D1143" t="s">
        <v>74</v>
      </c>
      <c r="E1143" t="s">
        <v>52</v>
      </c>
      <c r="F1143">
        <v>3</v>
      </c>
      <c r="G1143">
        <v>262.7</v>
      </c>
      <c r="H1143" t="s">
        <v>18</v>
      </c>
      <c r="I1143" t="s">
        <v>1809</v>
      </c>
      <c r="J1143" t="s">
        <v>38</v>
      </c>
      <c r="K1143" t="s">
        <v>59</v>
      </c>
      <c r="L1143" t="s">
        <v>60</v>
      </c>
      <c r="M1143" t="s">
        <v>32</v>
      </c>
      <c r="N1143">
        <f>Sheet1[[#This Row],[Quantity]]*Sheet1[[#This Row],[UnitPrice]]</f>
        <v>788.09999999999991</v>
      </c>
    </row>
    <row r="1144" spans="1:14" x14ac:dyDescent="0.3">
      <c r="A1144" s="1">
        <v>45739</v>
      </c>
      <c r="B1144" t="s">
        <v>1056</v>
      </c>
      <c r="C1144" t="s">
        <v>78</v>
      </c>
      <c r="D1144" t="s">
        <v>16</v>
      </c>
      <c r="E1144" t="s">
        <v>42</v>
      </c>
      <c r="F1144">
        <v>4</v>
      </c>
      <c r="G1144">
        <v>263.38</v>
      </c>
      <c r="H1144" t="s">
        <v>53</v>
      </c>
      <c r="I1144" t="s">
        <v>1810</v>
      </c>
      <c r="J1144" t="s">
        <v>30</v>
      </c>
      <c r="K1144" t="s">
        <v>59</v>
      </c>
      <c r="L1144" t="s">
        <v>22</v>
      </c>
      <c r="M1144" t="s">
        <v>61</v>
      </c>
      <c r="N1144">
        <f>Sheet1[[#This Row],[Quantity]]*Sheet1[[#This Row],[UnitPrice]]</f>
        <v>1053.52</v>
      </c>
    </row>
    <row r="1145" spans="1:14" x14ac:dyDescent="0.3">
      <c r="A1145" s="1">
        <v>45582</v>
      </c>
      <c r="B1145" t="s">
        <v>915</v>
      </c>
      <c r="C1145" t="s">
        <v>73</v>
      </c>
      <c r="D1145" t="s">
        <v>26</v>
      </c>
      <c r="E1145" t="s">
        <v>64</v>
      </c>
      <c r="F1145">
        <v>7</v>
      </c>
      <c r="G1145">
        <v>85.46</v>
      </c>
      <c r="H1145" t="s">
        <v>36</v>
      </c>
      <c r="I1145" t="s">
        <v>1811</v>
      </c>
      <c r="J1145" t="s">
        <v>58</v>
      </c>
      <c r="K1145" t="s">
        <v>31</v>
      </c>
      <c r="L1145" t="s">
        <v>22</v>
      </c>
      <c r="M1145" t="s">
        <v>32</v>
      </c>
      <c r="N1145">
        <f>Sheet1[[#This Row],[Quantity]]*Sheet1[[#This Row],[UnitPrice]]</f>
        <v>598.21999999999991</v>
      </c>
    </row>
    <row r="1146" spans="1:14" x14ac:dyDescent="0.3">
      <c r="A1146" s="1">
        <v>45691</v>
      </c>
      <c r="B1146" t="s">
        <v>1091</v>
      </c>
      <c r="C1146" t="s">
        <v>90</v>
      </c>
      <c r="D1146" t="s">
        <v>47</v>
      </c>
      <c r="E1146" t="s">
        <v>42</v>
      </c>
      <c r="F1146">
        <v>8</v>
      </c>
      <c r="G1146">
        <v>10.89</v>
      </c>
      <c r="H1146" t="s">
        <v>28</v>
      </c>
      <c r="I1146" t="s">
        <v>1812</v>
      </c>
      <c r="J1146" t="s">
        <v>38</v>
      </c>
      <c r="K1146" t="s">
        <v>21</v>
      </c>
      <c r="L1146" t="s">
        <v>22</v>
      </c>
      <c r="M1146" t="s">
        <v>49</v>
      </c>
      <c r="N1146">
        <f>Sheet1[[#This Row],[Quantity]]*Sheet1[[#This Row],[UnitPrice]]</f>
        <v>87.12</v>
      </c>
    </row>
    <row r="1147" spans="1:14" x14ac:dyDescent="0.3">
      <c r="A1147" s="1">
        <v>45066</v>
      </c>
      <c r="B1147" t="s">
        <v>427</v>
      </c>
      <c r="C1147" t="s">
        <v>56</v>
      </c>
      <c r="D1147" t="s">
        <v>16</v>
      </c>
      <c r="E1147" t="s">
        <v>27</v>
      </c>
      <c r="F1147">
        <v>10</v>
      </c>
      <c r="G1147">
        <v>289.08999999999997</v>
      </c>
      <c r="H1147" t="s">
        <v>53</v>
      </c>
      <c r="I1147" t="s">
        <v>1813</v>
      </c>
      <c r="J1147" t="s">
        <v>38</v>
      </c>
      <c r="K1147" t="s">
        <v>59</v>
      </c>
      <c r="L1147" t="s">
        <v>39</v>
      </c>
      <c r="M1147" t="s">
        <v>23</v>
      </c>
      <c r="N1147">
        <f>Sheet1[[#This Row],[Quantity]]*Sheet1[[#This Row],[UnitPrice]]</f>
        <v>2890.8999999999996</v>
      </c>
    </row>
    <row r="1148" spans="1:14" x14ac:dyDescent="0.3">
      <c r="A1148" s="1">
        <v>45555</v>
      </c>
      <c r="B1148" t="s">
        <v>1102</v>
      </c>
      <c r="C1148" t="s">
        <v>78</v>
      </c>
      <c r="D1148" t="s">
        <v>26</v>
      </c>
      <c r="E1148" t="s">
        <v>64</v>
      </c>
      <c r="F1148">
        <v>10</v>
      </c>
      <c r="G1148">
        <v>393.44</v>
      </c>
      <c r="H1148" t="s">
        <v>36</v>
      </c>
      <c r="I1148" t="s">
        <v>1814</v>
      </c>
      <c r="J1148" t="s">
        <v>38</v>
      </c>
      <c r="K1148" t="s">
        <v>31</v>
      </c>
      <c r="L1148" t="s">
        <v>60</v>
      </c>
      <c r="M1148" t="s">
        <v>40</v>
      </c>
      <c r="N1148">
        <f>Sheet1[[#This Row],[Quantity]]*Sheet1[[#This Row],[UnitPrice]]</f>
        <v>3934.4</v>
      </c>
    </row>
    <row r="1149" spans="1:14" x14ac:dyDescent="0.3">
      <c r="A1149" s="1">
        <v>45650</v>
      </c>
      <c r="B1149" t="s">
        <v>1815</v>
      </c>
      <c r="C1149" t="s">
        <v>56</v>
      </c>
      <c r="D1149" t="s">
        <v>47</v>
      </c>
      <c r="E1149" t="s">
        <v>52</v>
      </c>
      <c r="F1149">
        <v>7</v>
      </c>
      <c r="G1149">
        <v>186.42</v>
      </c>
      <c r="H1149" t="s">
        <v>18</v>
      </c>
      <c r="I1149" t="s">
        <v>1816</v>
      </c>
      <c r="J1149" t="s">
        <v>58</v>
      </c>
      <c r="K1149" t="s">
        <v>31</v>
      </c>
      <c r="L1149" t="s">
        <v>22</v>
      </c>
      <c r="M1149" t="s">
        <v>84</v>
      </c>
      <c r="N1149">
        <f>Sheet1[[#This Row],[Quantity]]*Sheet1[[#This Row],[UnitPrice]]</f>
        <v>1304.9399999999998</v>
      </c>
    </row>
    <row r="1150" spans="1:14" x14ac:dyDescent="0.3">
      <c r="A1150" s="1">
        <v>45280</v>
      </c>
      <c r="B1150" t="s">
        <v>333</v>
      </c>
      <c r="C1150" t="s">
        <v>56</v>
      </c>
      <c r="D1150" t="s">
        <v>16</v>
      </c>
      <c r="E1150" t="s">
        <v>42</v>
      </c>
      <c r="F1150">
        <v>7</v>
      </c>
      <c r="G1150">
        <v>284.08</v>
      </c>
      <c r="H1150" t="s">
        <v>36</v>
      </c>
      <c r="I1150" t="s">
        <v>1817</v>
      </c>
      <c r="J1150" t="s">
        <v>20</v>
      </c>
      <c r="K1150" t="s">
        <v>21</v>
      </c>
      <c r="L1150" t="s">
        <v>39</v>
      </c>
      <c r="M1150" t="s">
        <v>76</v>
      </c>
      <c r="N1150">
        <f>Sheet1[[#This Row],[Quantity]]*Sheet1[[#This Row],[UnitPrice]]</f>
        <v>1988.56</v>
      </c>
    </row>
    <row r="1151" spans="1:14" x14ac:dyDescent="0.3">
      <c r="A1151" s="1">
        <v>45580</v>
      </c>
      <c r="B1151" t="s">
        <v>750</v>
      </c>
      <c r="C1151" t="s">
        <v>56</v>
      </c>
      <c r="D1151" t="s">
        <v>74</v>
      </c>
      <c r="E1151" t="s">
        <v>67</v>
      </c>
      <c r="F1151">
        <v>7</v>
      </c>
      <c r="G1151">
        <v>244.27</v>
      </c>
      <c r="H1151" t="s">
        <v>18</v>
      </c>
      <c r="I1151" t="s">
        <v>1818</v>
      </c>
      <c r="J1151" t="s">
        <v>58</v>
      </c>
      <c r="K1151" t="s">
        <v>31</v>
      </c>
      <c r="L1151" t="s">
        <v>22</v>
      </c>
      <c r="M1151" t="s">
        <v>84</v>
      </c>
      <c r="N1151">
        <f>Sheet1[[#This Row],[Quantity]]*Sheet1[[#This Row],[UnitPrice]]</f>
        <v>1709.89</v>
      </c>
    </row>
    <row r="1152" spans="1:14" x14ac:dyDescent="0.3">
      <c r="A1152" s="1">
        <v>45625</v>
      </c>
      <c r="B1152" t="s">
        <v>735</v>
      </c>
      <c r="C1152" t="s">
        <v>73</v>
      </c>
      <c r="D1152" t="s">
        <v>74</v>
      </c>
      <c r="E1152" t="s">
        <v>27</v>
      </c>
      <c r="F1152">
        <v>1</v>
      </c>
      <c r="G1152">
        <v>58.12</v>
      </c>
      <c r="H1152" t="s">
        <v>36</v>
      </c>
      <c r="I1152" t="s">
        <v>1819</v>
      </c>
      <c r="J1152" t="s">
        <v>58</v>
      </c>
      <c r="K1152" t="s">
        <v>59</v>
      </c>
      <c r="L1152" t="s">
        <v>22</v>
      </c>
      <c r="M1152" t="s">
        <v>40</v>
      </c>
      <c r="N1152">
        <f>Sheet1[[#This Row],[Quantity]]*Sheet1[[#This Row],[UnitPrice]]</f>
        <v>58.12</v>
      </c>
    </row>
    <row r="1153" spans="1:14" x14ac:dyDescent="0.3">
      <c r="A1153" s="1">
        <v>45400</v>
      </c>
      <c r="B1153" t="s">
        <v>620</v>
      </c>
      <c r="C1153" t="s">
        <v>78</v>
      </c>
      <c r="D1153" t="s">
        <v>74</v>
      </c>
      <c r="E1153" t="s">
        <v>27</v>
      </c>
      <c r="F1153">
        <v>4</v>
      </c>
      <c r="G1153">
        <v>296.7</v>
      </c>
      <c r="H1153" t="s">
        <v>68</v>
      </c>
      <c r="I1153" t="s">
        <v>1820</v>
      </c>
      <c r="J1153" t="s">
        <v>20</v>
      </c>
      <c r="K1153" t="s">
        <v>31</v>
      </c>
      <c r="L1153" t="s">
        <v>39</v>
      </c>
      <c r="M1153" t="s">
        <v>32</v>
      </c>
      <c r="N1153">
        <f>Sheet1[[#This Row],[Quantity]]*Sheet1[[#This Row],[UnitPrice]]</f>
        <v>1186.8</v>
      </c>
    </row>
    <row r="1154" spans="1:14" x14ac:dyDescent="0.3">
      <c r="A1154" s="1">
        <v>45052</v>
      </c>
      <c r="B1154" t="s">
        <v>1821</v>
      </c>
      <c r="C1154" t="s">
        <v>73</v>
      </c>
      <c r="D1154" t="s">
        <v>74</v>
      </c>
      <c r="E1154" t="s">
        <v>17</v>
      </c>
      <c r="F1154">
        <v>8</v>
      </c>
      <c r="G1154">
        <v>113.49</v>
      </c>
      <c r="H1154" t="s">
        <v>36</v>
      </c>
      <c r="I1154" t="s">
        <v>1822</v>
      </c>
      <c r="J1154" t="s">
        <v>44</v>
      </c>
      <c r="K1154" t="s">
        <v>45</v>
      </c>
      <c r="L1154" t="s">
        <v>39</v>
      </c>
      <c r="M1154" t="s">
        <v>23</v>
      </c>
      <c r="N1154">
        <f>Sheet1[[#This Row],[Quantity]]*Sheet1[[#This Row],[UnitPrice]]</f>
        <v>907.92</v>
      </c>
    </row>
    <row r="1155" spans="1:14" x14ac:dyDescent="0.3">
      <c r="A1155" s="1">
        <v>45314</v>
      </c>
      <c r="B1155" t="s">
        <v>1595</v>
      </c>
      <c r="C1155" t="s">
        <v>51</v>
      </c>
      <c r="D1155" t="s">
        <v>74</v>
      </c>
      <c r="E1155" t="s">
        <v>27</v>
      </c>
      <c r="F1155">
        <v>3</v>
      </c>
      <c r="G1155">
        <v>170.52</v>
      </c>
      <c r="H1155" t="s">
        <v>18</v>
      </c>
      <c r="I1155" t="s">
        <v>1823</v>
      </c>
      <c r="J1155" t="s">
        <v>58</v>
      </c>
      <c r="K1155" t="s">
        <v>31</v>
      </c>
      <c r="L1155" t="s">
        <v>60</v>
      </c>
      <c r="M1155" t="s">
        <v>84</v>
      </c>
      <c r="N1155">
        <f>Sheet1[[#This Row],[Quantity]]*Sheet1[[#This Row],[UnitPrice]]</f>
        <v>511.56000000000006</v>
      </c>
    </row>
    <row r="1156" spans="1:14" x14ac:dyDescent="0.3">
      <c r="A1156" s="1">
        <v>45775</v>
      </c>
      <c r="B1156" t="s">
        <v>1456</v>
      </c>
      <c r="C1156" t="s">
        <v>15</v>
      </c>
      <c r="D1156" t="s">
        <v>47</v>
      </c>
      <c r="E1156" t="s">
        <v>27</v>
      </c>
      <c r="F1156">
        <v>5</v>
      </c>
      <c r="G1156">
        <v>90.6</v>
      </c>
      <c r="H1156" t="s">
        <v>68</v>
      </c>
      <c r="I1156" t="s">
        <v>1824</v>
      </c>
      <c r="J1156" t="s">
        <v>20</v>
      </c>
      <c r="K1156" t="s">
        <v>21</v>
      </c>
      <c r="L1156" t="s">
        <v>60</v>
      </c>
      <c r="M1156" t="s">
        <v>49</v>
      </c>
      <c r="N1156">
        <f>Sheet1[[#This Row],[Quantity]]*Sheet1[[#This Row],[UnitPrice]]</f>
        <v>453</v>
      </c>
    </row>
    <row r="1157" spans="1:14" x14ac:dyDescent="0.3">
      <c r="A1157" s="1">
        <v>45784</v>
      </c>
      <c r="B1157" t="s">
        <v>721</v>
      </c>
      <c r="C1157" t="s">
        <v>56</v>
      </c>
      <c r="D1157" t="s">
        <v>16</v>
      </c>
      <c r="E1157" t="s">
        <v>52</v>
      </c>
      <c r="F1157">
        <v>3</v>
      </c>
      <c r="G1157">
        <v>91.49</v>
      </c>
      <c r="H1157" t="s">
        <v>53</v>
      </c>
      <c r="I1157" t="s">
        <v>1825</v>
      </c>
      <c r="J1157" t="s">
        <v>38</v>
      </c>
      <c r="K1157" t="s">
        <v>31</v>
      </c>
      <c r="L1157" t="s">
        <v>39</v>
      </c>
      <c r="M1157" t="s">
        <v>76</v>
      </c>
      <c r="N1157">
        <f>Sheet1[[#This Row],[Quantity]]*Sheet1[[#This Row],[UnitPrice]]</f>
        <v>274.46999999999997</v>
      </c>
    </row>
    <row r="1158" spans="1:14" x14ac:dyDescent="0.3">
      <c r="A1158" s="1">
        <v>44938</v>
      </c>
      <c r="B1158" t="s">
        <v>1431</v>
      </c>
      <c r="C1158" t="s">
        <v>90</v>
      </c>
      <c r="D1158" t="s">
        <v>74</v>
      </c>
      <c r="E1158" t="s">
        <v>35</v>
      </c>
      <c r="F1158">
        <v>1</v>
      </c>
      <c r="G1158">
        <v>310.38</v>
      </c>
      <c r="H1158" t="s">
        <v>68</v>
      </c>
      <c r="I1158" t="s">
        <v>1826</v>
      </c>
      <c r="J1158" t="s">
        <v>20</v>
      </c>
      <c r="K1158" t="s">
        <v>21</v>
      </c>
      <c r="L1158" t="s">
        <v>39</v>
      </c>
      <c r="M1158" t="s">
        <v>32</v>
      </c>
      <c r="N1158">
        <f>Sheet1[[#This Row],[Quantity]]*Sheet1[[#This Row],[UnitPrice]]</f>
        <v>310.38</v>
      </c>
    </row>
    <row r="1159" spans="1:14" x14ac:dyDescent="0.3">
      <c r="A1159" s="1">
        <v>45538</v>
      </c>
      <c r="B1159" t="s">
        <v>1827</v>
      </c>
      <c r="C1159" t="s">
        <v>90</v>
      </c>
      <c r="D1159" t="s">
        <v>26</v>
      </c>
      <c r="E1159" t="s">
        <v>52</v>
      </c>
      <c r="F1159">
        <v>5</v>
      </c>
      <c r="G1159">
        <v>141.82</v>
      </c>
      <c r="H1159" t="s">
        <v>36</v>
      </c>
      <c r="I1159" t="s">
        <v>1828</v>
      </c>
      <c r="J1159" t="s">
        <v>44</v>
      </c>
      <c r="K1159" t="s">
        <v>59</v>
      </c>
      <c r="L1159" t="s">
        <v>22</v>
      </c>
      <c r="M1159" t="s">
        <v>84</v>
      </c>
      <c r="N1159">
        <f>Sheet1[[#This Row],[Quantity]]*Sheet1[[#This Row],[UnitPrice]]</f>
        <v>709.09999999999991</v>
      </c>
    </row>
    <row r="1160" spans="1:14" x14ac:dyDescent="0.3">
      <c r="A1160" s="1">
        <v>45407</v>
      </c>
      <c r="B1160" t="s">
        <v>1332</v>
      </c>
      <c r="C1160" t="s">
        <v>15</v>
      </c>
      <c r="D1160" t="s">
        <v>16</v>
      </c>
      <c r="E1160" t="s">
        <v>67</v>
      </c>
      <c r="F1160">
        <v>3</v>
      </c>
      <c r="G1160">
        <v>306.64999999999998</v>
      </c>
      <c r="H1160" t="s">
        <v>68</v>
      </c>
      <c r="I1160" t="s">
        <v>1829</v>
      </c>
      <c r="J1160" t="s">
        <v>38</v>
      </c>
      <c r="K1160" t="s">
        <v>45</v>
      </c>
      <c r="L1160" t="s">
        <v>39</v>
      </c>
      <c r="M1160" t="s">
        <v>32</v>
      </c>
      <c r="N1160">
        <f>Sheet1[[#This Row],[Quantity]]*Sheet1[[#This Row],[UnitPrice]]</f>
        <v>919.94999999999993</v>
      </c>
    </row>
    <row r="1161" spans="1:14" x14ac:dyDescent="0.3">
      <c r="A1161" s="1">
        <v>45246</v>
      </c>
      <c r="B1161" t="s">
        <v>1830</v>
      </c>
      <c r="C1161" t="s">
        <v>51</v>
      </c>
      <c r="D1161" t="s">
        <v>74</v>
      </c>
      <c r="E1161" t="s">
        <v>52</v>
      </c>
      <c r="F1161">
        <v>4</v>
      </c>
      <c r="G1161">
        <v>380.96</v>
      </c>
      <c r="H1161" t="s">
        <v>68</v>
      </c>
      <c r="I1161" t="s">
        <v>1831</v>
      </c>
      <c r="J1161" t="s">
        <v>30</v>
      </c>
      <c r="K1161" t="s">
        <v>31</v>
      </c>
      <c r="L1161" t="s">
        <v>39</v>
      </c>
      <c r="M1161" t="s">
        <v>32</v>
      </c>
      <c r="N1161">
        <f>Sheet1[[#This Row],[Quantity]]*Sheet1[[#This Row],[UnitPrice]]</f>
        <v>1523.84</v>
      </c>
    </row>
    <row r="1162" spans="1:14" x14ac:dyDescent="0.3">
      <c r="A1162" s="1">
        <v>45637</v>
      </c>
      <c r="B1162" t="s">
        <v>1832</v>
      </c>
      <c r="C1162" t="s">
        <v>101</v>
      </c>
      <c r="D1162" t="s">
        <v>26</v>
      </c>
      <c r="E1162" t="s">
        <v>52</v>
      </c>
      <c r="F1162">
        <v>1</v>
      </c>
      <c r="G1162">
        <v>183.95</v>
      </c>
      <c r="H1162" t="s">
        <v>36</v>
      </c>
      <c r="I1162" t="s">
        <v>1833</v>
      </c>
      <c r="J1162" t="s">
        <v>38</v>
      </c>
      <c r="K1162" t="s">
        <v>31</v>
      </c>
      <c r="L1162" t="s">
        <v>22</v>
      </c>
      <c r="M1162" t="s">
        <v>76</v>
      </c>
      <c r="N1162">
        <f>Sheet1[[#This Row],[Quantity]]*Sheet1[[#This Row],[UnitPrice]]</f>
        <v>183.95</v>
      </c>
    </row>
    <row r="1163" spans="1:14" x14ac:dyDescent="0.3">
      <c r="A1163" s="1">
        <v>45735</v>
      </c>
      <c r="B1163" t="s">
        <v>1834</v>
      </c>
      <c r="C1163" t="s">
        <v>51</v>
      </c>
      <c r="D1163" t="s">
        <v>47</v>
      </c>
      <c r="E1163" t="s">
        <v>17</v>
      </c>
      <c r="F1163">
        <v>7</v>
      </c>
      <c r="G1163">
        <v>265</v>
      </c>
      <c r="H1163" t="s">
        <v>28</v>
      </c>
      <c r="I1163" t="s">
        <v>1835</v>
      </c>
      <c r="J1163" t="s">
        <v>20</v>
      </c>
      <c r="K1163" t="s">
        <v>21</v>
      </c>
      <c r="L1163" t="s">
        <v>60</v>
      </c>
      <c r="M1163" t="s">
        <v>76</v>
      </c>
      <c r="N1163">
        <f>Sheet1[[#This Row],[Quantity]]*Sheet1[[#This Row],[UnitPrice]]</f>
        <v>1855</v>
      </c>
    </row>
    <row r="1164" spans="1:14" x14ac:dyDescent="0.3">
      <c r="A1164" s="1">
        <v>45655</v>
      </c>
      <c r="B1164" t="s">
        <v>1245</v>
      </c>
      <c r="C1164" t="s">
        <v>56</v>
      </c>
      <c r="D1164" t="s">
        <v>47</v>
      </c>
      <c r="E1164" t="s">
        <v>64</v>
      </c>
      <c r="F1164">
        <v>8</v>
      </c>
      <c r="G1164">
        <v>270.64</v>
      </c>
      <c r="H1164" t="s">
        <v>28</v>
      </c>
      <c r="I1164" t="s">
        <v>1836</v>
      </c>
      <c r="J1164" t="s">
        <v>38</v>
      </c>
      <c r="K1164" t="s">
        <v>59</v>
      </c>
      <c r="L1164" t="s">
        <v>39</v>
      </c>
      <c r="M1164" t="s">
        <v>61</v>
      </c>
      <c r="N1164">
        <f>Sheet1[[#This Row],[Quantity]]*Sheet1[[#This Row],[UnitPrice]]</f>
        <v>2165.12</v>
      </c>
    </row>
    <row r="1165" spans="1:14" x14ac:dyDescent="0.3">
      <c r="A1165" s="1">
        <v>45266</v>
      </c>
      <c r="B1165" t="s">
        <v>769</v>
      </c>
      <c r="C1165" t="s">
        <v>78</v>
      </c>
      <c r="D1165" t="s">
        <v>26</v>
      </c>
      <c r="E1165" t="s">
        <v>42</v>
      </c>
      <c r="F1165">
        <v>1</v>
      </c>
      <c r="G1165">
        <v>313.58999999999997</v>
      </c>
      <c r="H1165" t="s">
        <v>28</v>
      </c>
      <c r="I1165" t="s">
        <v>1837</v>
      </c>
      <c r="J1165" t="s">
        <v>44</v>
      </c>
      <c r="K1165" t="s">
        <v>21</v>
      </c>
      <c r="L1165" t="s">
        <v>22</v>
      </c>
      <c r="M1165" t="s">
        <v>76</v>
      </c>
      <c r="N1165">
        <f>Sheet1[[#This Row],[Quantity]]*Sheet1[[#This Row],[UnitPrice]]</f>
        <v>313.58999999999997</v>
      </c>
    </row>
    <row r="1166" spans="1:14" x14ac:dyDescent="0.3">
      <c r="A1166" s="1">
        <v>45590</v>
      </c>
      <c r="B1166" t="s">
        <v>1838</v>
      </c>
      <c r="C1166" t="s">
        <v>73</v>
      </c>
      <c r="D1166" t="s">
        <v>47</v>
      </c>
      <c r="E1166" t="s">
        <v>64</v>
      </c>
      <c r="F1166">
        <v>2</v>
      </c>
      <c r="G1166">
        <v>92.83</v>
      </c>
      <c r="H1166" t="s">
        <v>28</v>
      </c>
      <c r="I1166" t="s">
        <v>1839</v>
      </c>
      <c r="J1166" t="s">
        <v>30</v>
      </c>
      <c r="K1166" t="s">
        <v>59</v>
      </c>
      <c r="L1166" t="s">
        <v>39</v>
      </c>
      <c r="M1166" t="s">
        <v>40</v>
      </c>
      <c r="N1166">
        <f>Sheet1[[#This Row],[Quantity]]*Sheet1[[#This Row],[UnitPrice]]</f>
        <v>185.66</v>
      </c>
    </row>
    <row r="1167" spans="1:14" x14ac:dyDescent="0.3">
      <c r="A1167" s="1">
        <v>45657</v>
      </c>
      <c r="B1167" t="s">
        <v>519</v>
      </c>
      <c r="C1167" t="s">
        <v>101</v>
      </c>
      <c r="D1167" t="s">
        <v>26</v>
      </c>
      <c r="E1167" t="s">
        <v>67</v>
      </c>
      <c r="F1167">
        <v>8</v>
      </c>
      <c r="G1167">
        <v>12.45</v>
      </c>
      <c r="H1167" t="s">
        <v>36</v>
      </c>
      <c r="I1167" t="s">
        <v>1840</v>
      </c>
      <c r="J1167" t="s">
        <v>38</v>
      </c>
      <c r="K1167" t="s">
        <v>59</v>
      </c>
      <c r="L1167" t="s">
        <v>22</v>
      </c>
      <c r="M1167" t="s">
        <v>84</v>
      </c>
      <c r="N1167">
        <f>Sheet1[[#This Row],[Quantity]]*Sheet1[[#This Row],[UnitPrice]]</f>
        <v>99.6</v>
      </c>
    </row>
    <row r="1168" spans="1:14" x14ac:dyDescent="0.3">
      <c r="A1168" s="1">
        <v>45631</v>
      </c>
      <c r="B1168" t="s">
        <v>296</v>
      </c>
      <c r="C1168" t="s">
        <v>90</v>
      </c>
      <c r="D1168" t="s">
        <v>16</v>
      </c>
      <c r="E1168" t="s">
        <v>67</v>
      </c>
      <c r="F1168">
        <v>5</v>
      </c>
      <c r="G1168">
        <v>101.99</v>
      </c>
      <c r="H1168" t="s">
        <v>53</v>
      </c>
      <c r="I1168" t="s">
        <v>1841</v>
      </c>
      <c r="J1168" t="s">
        <v>44</v>
      </c>
      <c r="K1168" t="s">
        <v>31</v>
      </c>
      <c r="L1168" t="s">
        <v>39</v>
      </c>
      <c r="M1168" t="s">
        <v>32</v>
      </c>
      <c r="N1168">
        <f>Sheet1[[#This Row],[Quantity]]*Sheet1[[#This Row],[UnitPrice]]</f>
        <v>509.95</v>
      </c>
    </row>
    <row r="1169" spans="1:14" x14ac:dyDescent="0.3">
      <c r="A1169" s="1">
        <v>45533</v>
      </c>
      <c r="B1169" t="s">
        <v>983</v>
      </c>
      <c r="C1169" t="s">
        <v>25</v>
      </c>
      <c r="D1169" t="s">
        <v>16</v>
      </c>
      <c r="E1169" t="s">
        <v>64</v>
      </c>
      <c r="F1169">
        <v>7</v>
      </c>
      <c r="G1169">
        <v>85.84</v>
      </c>
      <c r="H1169" t="s">
        <v>36</v>
      </c>
      <c r="I1169" t="s">
        <v>1842</v>
      </c>
      <c r="J1169" t="s">
        <v>30</v>
      </c>
      <c r="K1169" t="s">
        <v>59</v>
      </c>
      <c r="L1169" t="s">
        <v>39</v>
      </c>
      <c r="M1169" t="s">
        <v>32</v>
      </c>
      <c r="N1169">
        <f>Sheet1[[#This Row],[Quantity]]*Sheet1[[#This Row],[UnitPrice]]</f>
        <v>600.88</v>
      </c>
    </row>
    <row r="1170" spans="1:14" x14ac:dyDescent="0.3">
      <c r="A1170" s="1">
        <v>45462</v>
      </c>
      <c r="B1170" t="s">
        <v>642</v>
      </c>
      <c r="C1170" t="s">
        <v>34</v>
      </c>
      <c r="D1170" t="s">
        <v>47</v>
      </c>
      <c r="E1170" t="s">
        <v>67</v>
      </c>
      <c r="F1170">
        <v>10</v>
      </c>
      <c r="G1170">
        <v>36.18</v>
      </c>
      <c r="H1170" t="s">
        <v>36</v>
      </c>
      <c r="I1170" t="s">
        <v>1843</v>
      </c>
      <c r="J1170" t="s">
        <v>38</v>
      </c>
      <c r="K1170" t="s">
        <v>45</v>
      </c>
      <c r="L1170" t="s">
        <v>60</v>
      </c>
      <c r="M1170" t="s">
        <v>76</v>
      </c>
      <c r="N1170">
        <f>Sheet1[[#This Row],[Quantity]]*Sheet1[[#This Row],[UnitPrice]]</f>
        <v>361.8</v>
      </c>
    </row>
    <row r="1171" spans="1:14" x14ac:dyDescent="0.3">
      <c r="A1171" s="1">
        <v>45484</v>
      </c>
      <c r="B1171" t="s">
        <v>1844</v>
      </c>
      <c r="C1171" t="s">
        <v>90</v>
      </c>
      <c r="D1171" t="s">
        <v>26</v>
      </c>
      <c r="E1171" t="s">
        <v>35</v>
      </c>
      <c r="F1171">
        <v>2</v>
      </c>
      <c r="G1171">
        <v>352.11</v>
      </c>
      <c r="H1171" t="s">
        <v>36</v>
      </c>
      <c r="I1171" t="s">
        <v>1845</v>
      </c>
      <c r="J1171" t="s">
        <v>20</v>
      </c>
      <c r="K1171" t="s">
        <v>21</v>
      </c>
      <c r="L1171" t="s">
        <v>39</v>
      </c>
      <c r="M1171" t="s">
        <v>32</v>
      </c>
      <c r="N1171">
        <f>Sheet1[[#This Row],[Quantity]]*Sheet1[[#This Row],[UnitPrice]]</f>
        <v>704.22</v>
      </c>
    </row>
    <row r="1172" spans="1:14" x14ac:dyDescent="0.3">
      <c r="A1172" s="1">
        <v>45229</v>
      </c>
      <c r="B1172" t="s">
        <v>1290</v>
      </c>
      <c r="C1172" t="s">
        <v>56</v>
      </c>
      <c r="D1172" t="s">
        <v>26</v>
      </c>
      <c r="E1172" t="s">
        <v>67</v>
      </c>
      <c r="F1172">
        <v>2</v>
      </c>
      <c r="G1172">
        <v>376.14</v>
      </c>
      <c r="H1172" t="s">
        <v>68</v>
      </c>
      <c r="I1172" t="s">
        <v>1846</v>
      </c>
      <c r="J1172" t="s">
        <v>58</v>
      </c>
      <c r="K1172" t="s">
        <v>21</v>
      </c>
      <c r="L1172" t="s">
        <v>60</v>
      </c>
      <c r="M1172" t="s">
        <v>49</v>
      </c>
      <c r="N1172">
        <f>Sheet1[[#This Row],[Quantity]]*Sheet1[[#This Row],[UnitPrice]]</f>
        <v>752.28</v>
      </c>
    </row>
    <row r="1173" spans="1:14" x14ac:dyDescent="0.3">
      <c r="A1173" s="1">
        <v>45774</v>
      </c>
      <c r="B1173" t="s">
        <v>231</v>
      </c>
      <c r="C1173" t="s">
        <v>25</v>
      </c>
      <c r="D1173" t="s">
        <v>47</v>
      </c>
      <c r="E1173" t="s">
        <v>27</v>
      </c>
      <c r="F1173">
        <v>1</v>
      </c>
      <c r="G1173">
        <v>301.39999999999998</v>
      </c>
      <c r="H1173" t="s">
        <v>18</v>
      </c>
      <c r="I1173" t="s">
        <v>1847</v>
      </c>
      <c r="J1173" t="s">
        <v>38</v>
      </c>
      <c r="K1173" t="s">
        <v>31</v>
      </c>
      <c r="L1173" t="s">
        <v>60</v>
      </c>
      <c r="M1173" t="s">
        <v>61</v>
      </c>
      <c r="N1173">
        <f>Sheet1[[#This Row],[Quantity]]*Sheet1[[#This Row],[UnitPrice]]</f>
        <v>301.39999999999998</v>
      </c>
    </row>
    <row r="1174" spans="1:14" x14ac:dyDescent="0.3">
      <c r="A1174" s="1">
        <v>45461</v>
      </c>
      <c r="B1174" t="s">
        <v>1848</v>
      </c>
      <c r="C1174" t="s">
        <v>101</v>
      </c>
      <c r="D1174" t="s">
        <v>16</v>
      </c>
      <c r="E1174" t="s">
        <v>35</v>
      </c>
      <c r="F1174">
        <v>1</v>
      </c>
      <c r="G1174">
        <v>255.95</v>
      </c>
      <c r="H1174" t="s">
        <v>18</v>
      </c>
      <c r="I1174" t="s">
        <v>1849</v>
      </c>
      <c r="J1174" t="s">
        <v>38</v>
      </c>
      <c r="K1174" t="s">
        <v>21</v>
      </c>
      <c r="L1174" t="s">
        <v>60</v>
      </c>
      <c r="M1174" t="s">
        <v>84</v>
      </c>
      <c r="N1174">
        <f>Sheet1[[#This Row],[Quantity]]*Sheet1[[#This Row],[UnitPrice]]</f>
        <v>255.95</v>
      </c>
    </row>
    <row r="1175" spans="1:14" x14ac:dyDescent="0.3">
      <c r="A1175" s="1">
        <v>45336</v>
      </c>
      <c r="B1175" t="s">
        <v>333</v>
      </c>
      <c r="C1175" t="s">
        <v>25</v>
      </c>
      <c r="D1175" t="s">
        <v>74</v>
      </c>
      <c r="E1175" t="s">
        <v>27</v>
      </c>
      <c r="F1175">
        <v>10</v>
      </c>
      <c r="G1175">
        <v>159.59</v>
      </c>
      <c r="H1175" t="s">
        <v>28</v>
      </c>
      <c r="I1175" t="s">
        <v>1850</v>
      </c>
      <c r="J1175" t="s">
        <v>20</v>
      </c>
      <c r="K1175" t="s">
        <v>45</v>
      </c>
      <c r="L1175" t="s">
        <v>39</v>
      </c>
      <c r="M1175" t="s">
        <v>76</v>
      </c>
      <c r="N1175">
        <f>Sheet1[[#This Row],[Quantity]]*Sheet1[[#This Row],[UnitPrice]]</f>
        <v>1595.9</v>
      </c>
    </row>
    <row r="1176" spans="1:14" x14ac:dyDescent="0.3">
      <c r="A1176" s="1">
        <v>44955</v>
      </c>
      <c r="B1176" t="s">
        <v>1591</v>
      </c>
      <c r="C1176" t="s">
        <v>15</v>
      </c>
      <c r="D1176" t="s">
        <v>16</v>
      </c>
      <c r="E1176" t="s">
        <v>67</v>
      </c>
      <c r="F1176">
        <v>4</v>
      </c>
      <c r="G1176">
        <v>104.77</v>
      </c>
      <c r="H1176" t="s">
        <v>28</v>
      </c>
      <c r="I1176" t="s">
        <v>1851</v>
      </c>
      <c r="J1176" t="s">
        <v>20</v>
      </c>
      <c r="K1176" t="s">
        <v>31</v>
      </c>
      <c r="L1176" t="s">
        <v>22</v>
      </c>
      <c r="M1176" t="s">
        <v>61</v>
      </c>
      <c r="N1176">
        <f>Sheet1[[#This Row],[Quantity]]*Sheet1[[#This Row],[UnitPrice]]</f>
        <v>419.08</v>
      </c>
    </row>
    <row r="1177" spans="1:14" x14ac:dyDescent="0.3">
      <c r="A1177" s="1">
        <v>45034</v>
      </c>
      <c r="B1177" t="s">
        <v>581</v>
      </c>
      <c r="C1177" t="s">
        <v>78</v>
      </c>
      <c r="D1177" t="s">
        <v>47</v>
      </c>
      <c r="E1177" t="s">
        <v>67</v>
      </c>
      <c r="F1177">
        <v>8</v>
      </c>
      <c r="G1177">
        <v>342.27</v>
      </c>
      <c r="H1177" t="s">
        <v>18</v>
      </c>
      <c r="I1177" t="s">
        <v>1852</v>
      </c>
      <c r="J1177" t="s">
        <v>20</v>
      </c>
      <c r="K1177" t="s">
        <v>45</v>
      </c>
      <c r="L1177" t="s">
        <v>60</v>
      </c>
      <c r="M1177" t="s">
        <v>84</v>
      </c>
      <c r="N1177">
        <f>Sheet1[[#This Row],[Quantity]]*Sheet1[[#This Row],[UnitPrice]]</f>
        <v>2738.16</v>
      </c>
    </row>
    <row r="1178" spans="1:14" x14ac:dyDescent="0.3">
      <c r="A1178" s="1">
        <v>45574</v>
      </c>
      <c r="B1178" t="s">
        <v>202</v>
      </c>
      <c r="C1178" t="s">
        <v>101</v>
      </c>
      <c r="D1178" t="s">
        <v>26</v>
      </c>
      <c r="E1178" t="s">
        <v>42</v>
      </c>
      <c r="F1178">
        <v>6</v>
      </c>
      <c r="G1178">
        <v>100.27</v>
      </c>
      <c r="H1178" t="s">
        <v>53</v>
      </c>
      <c r="I1178" t="s">
        <v>1853</v>
      </c>
      <c r="J1178" t="s">
        <v>30</v>
      </c>
      <c r="K1178" t="s">
        <v>59</v>
      </c>
      <c r="L1178" t="s">
        <v>22</v>
      </c>
      <c r="M1178" t="s">
        <v>76</v>
      </c>
      <c r="N1178">
        <f>Sheet1[[#This Row],[Quantity]]*Sheet1[[#This Row],[UnitPrice]]</f>
        <v>601.62</v>
      </c>
    </row>
    <row r="1179" spans="1:14" x14ac:dyDescent="0.3">
      <c r="A1179" s="1">
        <v>45515</v>
      </c>
      <c r="B1179" t="s">
        <v>579</v>
      </c>
      <c r="C1179" t="s">
        <v>51</v>
      </c>
      <c r="D1179" t="s">
        <v>26</v>
      </c>
      <c r="E1179" t="s">
        <v>27</v>
      </c>
      <c r="F1179">
        <v>2</v>
      </c>
      <c r="G1179">
        <v>363.67</v>
      </c>
      <c r="H1179" t="s">
        <v>53</v>
      </c>
      <c r="I1179" t="s">
        <v>1854</v>
      </c>
      <c r="J1179" t="s">
        <v>30</v>
      </c>
      <c r="K1179" t="s">
        <v>31</v>
      </c>
      <c r="L1179" t="s">
        <v>39</v>
      </c>
      <c r="M1179" t="s">
        <v>61</v>
      </c>
      <c r="N1179">
        <f>Sheet1[[#This Row],[Quantity]]*Sheet1[[#This Row],[UnitPrice]]</f>
        <v>727.34</v>
      </c>
    </row>
    <row r="1180" spans="1:14" x14ac:dyDescent="0.3">
      <c r="A1180" s="1">
        <v>45494</v>
      </c>
      <c r="B1180" t="s">
        <v>1855</v>
      </c>
      <c r="C1180" t="s">
        <v>34</v>
      </c>
      <c r="D1180" t="s">
        <v>47</v>
      </c>
      <c r="E1180" t="s">
        <v>17</v>
      </c>
      <c r="F1180">
        <v>7</v>
      </c>
      <c r="G1180">
        <v>63.5</v>
      </c>
      <c r="H1180" t="s">
        <v>53</v>
      </c>
      <c r="I1180" t="s">
        <v>1856</v>
      </c>
      <c r="J1180" t="s">
        <v>58</v>
      </c>
      <c r="K1180" t="s">
        <v>21</v>
      </c>
      <c r="L1180" t="s">
        <v>22</v>
      </c>
      <c r="M1180" t="s">
        <v>61</v>
      </c>
      <c r="N1180">
        <f>Sheet1[[#This Row],[Quantity]]*Sheet1[[#This Row],[UnitPrice]]</f>
        <v>444.5</v>
      </c>
    </row>
    <row r="1181" spans="1:14" x14ac:dyDescent="0.3">
      <c r="A1181" s="1">
        <v>45373</v>
      </c>
      <c r="B1181" t="s">
        <v>1667</v>
      </c>
      <c r="C1181" t="s">
        <v>25</v>
      </c>
      <c r="D1181" t="s">
        <v>16</v>
      </c>
      <c r="E1181" t="s">
        <v>52</v>
      </c>
      <c r="F1181">
        <v>4</v>
      </c>
      <c r="G1181">
        <v>297.67</v>
      </c>
      <c r="H1181" t="s">
        <v>28</v>
      </c>
      <c r="I1181" t="s">
        <v>1857</v>
      </c>
      <c r="J1181" t="s">
        <v>30</v>
      </c>
      <c r="K1181" t="s">
        <v>31</v>
      </c>
      <c r="L1181" t="s">
        <v>39</v>
      </c>
      <c r="M1181" t="s">
        <v>40</v>
      </c>
      <c r="N1181">
        <f>Sheet1[[#This Row],[Quantity]]*Sheet1[[#This Row],[UnitPrice]]</f>
        <v>1190.68</v>
      </c>
    </row>
    <row r="1182" spans="1:14" x14ac:dyDescent="0.3">
      <c r="A1182" s="1">
        <v>45702</v>
      </c>
      <c r="B1182" t="s">
        <v>206</v>
      </c>
      <c r="C1182" t="s">
        <v>34</v>
      </c>
      <c r="D1182" t="s">
        <v>16</v>
      </c>
      <c r="E1182" t="s">
        <v>17</v>
      </c>
      <c r="F1182">
        <v>1</v>
      </c>
      <c r="G1182">
        <v>25.56</v>
      </c>
      <c r="H1182" t="s">
        <v>28</v>
      </c>
      <c r="I1182" t="s">
        <v>1858</v>
      </c>
      <c r="J1182" t="s">
        <v>38</v>
      </c>
      <c r="K1182" t="s">
        <v>59</v>
      </c>
      <c r="L1182" t="s">
        <v>39</v>
      </c>
      <c r="M1182" t="s">
        <v>40</v>
      </c>
      <c r="N1182">
        <f>Sheet1[[#This Row],[Quantity]]*Sheet1[[#This Row],[UnitPrice]]</f>
        <v>25.56</v>
      </c>
    </row>
    <row r="1183" spans="1:14" x14ac:dyDescent="0.3">
      <c r="A1183" s="1">
        <v>45465</v>
      </c>
      <c r="B1183" t="s">
        <v>277</v>
      </c>
      <c r="C1183" t="s">
        <v>78</v>
      </c>
      <c r="D1183" t="s">
        <v>74</v>
      </c>
      <c r="E1183" t="s">
        <v>52</v>
      </c>
      <c r="F1183">
        <v>6</v>
      </c>
      <c r="G1183">
        <v>298.27999999999997</v>
      </c>
      <c r="H1183" t="s">
        <v>68</v>
      </c>
      <c r="I1183" t="s">
        <v>1859</v>
      </c>
      <c r="J1183" t="s">
        <v>38</v>
      </c>
      <c r="K1183" t="s">
        <v>45</v>
      </c>
      <c r="L1183" t="s">
        <v>60</v>
      </c>
      <c r="M1183" t="s">
        <v>23</v>
      </c>
      <c r="N1183">
        <f>Sheet1[[#This Row],[Quantity]]*Sheet1[[#This Row],[UnitPrice]]</f>
        <v>1789.6799999999998</v>
      </c>
    </row>
    <row r="1184" spans="1:14" x14ac:dyDescent="0.3">
      <c r="A1184" s="1">
        <v>45359</v>
      </c>
      <c r="B1184" t="s">
        <v>1860</v>
      </c>
      <c r="C1184" t="s">
        <v>51</v>
      </c>
      <c r="D1184" t="s">
        <v>74</v>
      </c>
      <c r="E1184" t="s">
        <v>52</v>
      </c>
      <c r="F1184">
        <v>7</v>
      </c>
      <c r="G1184">
        <v>372.01</v>
      </c>
      <c r="H1184" t="s">
        <v>53</v>
      </c>
      <c r="I1184" t="s">
        <v>1861</v>
      </c>
      <c r="J1184" t="s">
        <v>58</v>
      </c>
      <c r="K1184" t="s">
        <v>45</v>
      </c>
      <c r="L1184" t="s">
        <v>39</v>
      </c>
      <c r="M1184" t="s">
        <v>40</v>
      </c>
      <c r="N1184">
        <f>Sheet1[[#This Row],[Quantity]]*Sheet1[[#This Row],[UnitPrice]]</f>
        <v>2604.0699999999997</v>
      </c>
    </row>
    <row r="1185" spans="1:14" x14ac:dyDescent="0.3">
      <c r="A1185" s="1">
        <v>45224</v>
      </c>
      <c r="B1185" t="s">
        <v>815</v>
      </c>
      <c r="C1185" t="s">
        <v>101</v>
      </c>
      <c r="D1185" t="s">
        <v>26</v>
      </c>
      <c r="E1185" t="s">
        <v>52</v>
      </c>
      <c r="F1185">
        <v>1</v>
      </c>
      <c r="G1185">
        <v>117.04</v>
      </c>
      <c r="H1185" t="s">
        <v>28</v>
      </c>
      <c r="I1185" t="s">
        <v>1862</v>
      </c>
      <c r="J1185" t="s">
        <v>20</v>
      </c>
      <c r="K1185" t="s">
        <v>59</v>
      </c>
      <c r="L1185" t="s">
        <v>22</v>
      </c>
      <c r="M1185" t="s">
        <v>76</v>
      </c>
      <c r="N1185">
        <f>Sheet1[[#This Row],[Quantity]]*Sheet1[[#This Row],[UnitPrice]]</f>
        <v>117.04</v>
      </c>
    </row>
    <row r="1186" spans="1:14" x14ac:dyDescent="0.3">
      <c r="A1186" s="1">
        <v>45788</v>
      </c>
      <c r="B1186" t="s">
        <v>459</v>
      </c>
      <c r="C1186" t="s">
        <v>34</v>
      </c>
      <c r="D1186" t="s">
        <v>16</v>
      </c>
      <c r="E1186" t="s">
        <v>27</v>
      </c>
      <c r="F1186">
        <v>6</v>
      </c>
      <c r="G1186">
        <v>153.29</v>
      </c>
      <c r="H1186" t="s">
        <v>36</v>
      </c>
      <c r="I1186" t="s">
        <v>1863</v>
      </c>
      <c r="J1186" t="s">
        <v>30</v>
      </c>
      <c r="K1186" t="s">
        <v>31</v>
      </c>
      <c r="L1186" t="s">
        <v>22</v>
      </c>
      <c r="M1186" t="s">
        <v>61</v>
      </c>
      <c r="N1186">
        <f>Sheet1[[#This Row],[Quantity]]*Sheet1[[#This Row],[UnitPrice]]</f>
        <v>919.74</v>
      </c>
    </row>
    <row r="1187" spans="1:14" x14ac:dyDescent="0.3">
      <c r="A1187" s="1">
        <v>45476</v>
      </c>
      <c r="B1187" t="s">
        <v>1864</v>
      </c>
      <c r="C1187" t="s">
        <v>25</v>
      </c>
      <c r="D1187" t="s">
        <v>47</v>
      </c>
      <c r="E1187" t="s">
        <v>52</v>
      </c>
      <c r="F1187">
        <v>4</v>
      </c>
      <c r="G1187">
        <v>130.30000000000001</v>
      </c>
      <c r="H1187" t="s">
        <v>28</v>
      </c>
      <c r="I1187" t="s">
        <v>1865</v>
      </c>
      <c r="J1187" t="s">
        <v>58</v>
      </c>
      <c r="K1187" t="s">
        <v>31</v>
      </c>
      <c r="L1187" t="s">
        <v>60</v>
      </c>
      <c r="M1187" t="s">
        <v>76</v>
      </c>
      <c r="N1187">
        <f>Sheet1[[#This Row],[Quantity]]*Sheet1[[#This Row],[UnitPrice]]</f>
        <v>521.20000000000005</v>
      </c>
    </row>
    <row r="1188" spans="1:14" x14ac:dyDescent="0.3">
      <c r="A1188" s="1">
        <v>45419</v>
      </c>
      <c r="B1188" t="s">
        <v>1866</v>
      </c>
      <c r="C1188" t="s">
        <v>63</v>
      </c>
      <c r="D1188" t="s">
        <v>16</v>
      </c>
      <c r="E1188" t="s">
        <v>64</v>
      </c>
      <c r="F1188">
        <v>8</v>
      </c>
      <c r="G1188">
        <v>263.16000000000003</v>
      </c>
      <c r="H1188" t="s">
        <v>28</v>
      </c>
      <c r="I1188" t="s">
        <v>1867</v>
      </c>
      <c r="J1188" t="s">
        <v>30</v>
      </c>
      <c r="K1188" t="s">
        <v>31</v>
      </c>
      <c r="L1188" t="s">
        <v>39</v>
      </c>
      <c r="M1188" t="s">
        <v>84</v>
      </c>
      <c r="N1188">
        <f>Sheet1[[#This Row],[Quantity]]*Sheet1[[#This Row],[UnitPrice]]</f>
        <v>2105.2800000000002</v>
      </c>
    </row>
    <row r="1189" spans="1:14" x14ac:dyDescent="0.3">
      <c r="A1189" s="1">
        <v>45752</v>
      </c>
      <c r="B1189" t="s">
        <v>587</v>
      </c>
      <c r="C1189" t="s">
        <v>34</v>
      </c>
      <c r="D1189" t="s">
        <v>47</v>
      </c>
      <c r="E1189" t="s">
        <v>27</v>
      </c>
      <c r="F1189">
        <v>8</v>
      </c>
      <c r="G1189">
        <v>254.66</v>
      </c>
      <c r="H1189" t="s">
        <v>36</v>
      </c>
      <c r="I1189" t="s">
        <v>1868</v>
      </c>
      <c r="J1189" t="s">
        <v>58</v>
      </c>
      <c r="K1189" t="s">
        <v>59</v>
      </c>
      <c r="L1189" t="s">
        <v>39</v>
      </c>
      <c r="M1189" t="s">
        <v>23</v>
      </c>
      <c r="N1189">
        <f>Sheet1[[#This Row],[Quantity]]*Sheet1[[#This Row],[UnitPrice]]</f>
        <v>2037.28</v>
      </c>
    </row>
    <row r="1190" spans="1:14" x14ac:dyDescent="0.3">
      <c r="A1190" s="1">
        <v>45472</v>
      </c>
      <c r="B1190" t="s">
        <v>1148</v>
      </c>
      <c r="C1190" t="s">
        <v>56</v>
      </c>
      <c r="D1190" t="s">
        <v>47</v>
      </c>
      <c r="E1190" t="s">
        <v>52</v>
      </c>
      <c r="F1190">
        <v>5</v>
      </c>
      <c r="G1190">
        <v>32.6</v>
      </c>
      <c r="H1190" t="s">
        <v>68</v>
      </c>
      <c r="I1190" t="s">
        <v>1869</v>
      </c>
      <c r="J1190" t="s">
        <v>58</v>
      </c>
      <c r="K1190" t="s">
        <v>31</v>
      </c>
      <c r="L1190" t="s">
        <v>22</v>
      </c>
      <c r="M1190" t="s">
        <v>23</v>
      </c>
      <c r="N1190">
        <f>Sheet1[[#This Row],[Quantity]]*Sheet1[[#This Row],[UnitPrice]]</f>
        <v>163</v>
      </c>
    </row>
    <row r="1191" spans="1:14" x14ac:dyDescent="0.3">
      <c r="A1191" s="1">
        <v>45005</v>
      </c>
      <c r="B1191" t="s">
        <v>910</v>
      </c>
      <c r="C1191" t="s">
        <v>56</v>
      </c>
      <c r="D1191" t="s">
        <v>16</v>
      </c>
      <c r="E1191" t="s">
        <v>35</v>
      </c>
      <c r="F1191">
        <v>7</v>
      </c>
      <c r="G1191">
        <v>28.32</v>
      </c>
      <c r="H1191" t="s">
        <v>53</v>
      </c>
      <c r="I1191" t="s">
        <v>1870</v>
      </c>
      <c r="J1191" t="s">
        <v>30</v>
      </c>
      <c r="K1191" t="s">
        <v>59</v>
      </c>
      <c r="L1191" t="s">
        <v>22</v>
      </c>
      <c r="M1191" t="s">
        <v>49</v>
      </c>
      <c r="N1191">
        <f>Sheet1[[#This Row],[Quantity]]*Sheet1[[#This Row],[UnitPrice]]</f>
        <v>198.24</v>
      </c>
    </row>
    <row r="1192" spans="1:14" x14ac:dyDescent="0.3">
      <c r="A1192" s="1">
        <v>45780</v>
      </c>
      <c r="B1192" t="s">
        <v>601</v>
      </c>
      <c r="C1192" t="s">
        <v>15</v>
      </c>
      <c r="D1192" t="s">
        <v>47</v>
      </c>
      <c r="E1192" t="s">
        <v>67</v>
      </c>
      <c r="F1192">
        <v>3</v>
      </c>
      <c r="G1192">
        <v>188.67</v>
      </c>
      <c r="H1192" t="s">
        <v>53</v>
      </c>
      <c r="I1192" t="s">
        <v>1871</v>
      </c>
      <c r="J1192" t="s">
        <v>20</v>
      </c>
      <c r="K1192" t="s">
        <v>31</v>
      </c>
      <c r="L1192" t="s">
        <v>60</v>
      </c>
      <c r="M1192" t="s">
        <v>23</v>
      </c>
      <c r="N1192">
        <f>Sheet1[[#This Row],[Quantity]]*Sheet1[[#This Row],[UnitPrice]]</f>
        <v>566.01</v>
      </c>
    </row>
    <row r="1193" spans="1:14" x14ac:dyDescent="0.3">
      <c r="A1193" s="1">
        <v>45150</v>
      </c>
      <c r="B1193" t="s">
        <v>1070</v>
      </c>
      <c r="C1193" t="s">
        <v>25</v>
      </c>
      <c r="D1193" t="s">
        <v>16</v>
      </c>
      <c r="E1193" t="s">
        <v>42</v>
      </c>
      <c r="F1193">
        <v>5</v>
      </c>
      <c r="G1193">
        <v>123.41</v>
      </c>
      <c r="H1193" t="s">
        <v>18</v>
      </c>
      <c r="I1193" t="s">
        <v>1872</v>
      </c>
      <c r="J1193" t="s">
        <v>44</v>
      </c>
      <c r="K1193" t="s">
        <v>59</v>
      </c>
      <c r="L1193" t="s">
        <v>22</v>
      </c>
      <c r="M1193" t="s">
        <v>23</v>
      </c>
      <c r="N1193">
        <f>Sheet1[[#This Row],[Quantity]]*Sheet1[[#This Row],[UnitPrice]]</f>
        <v>617.04999999999995</v>
      </c>
    </row>
    <row r="1194" spans="1:14" x14ac:dyDescent="0.3">
      <c r="A1194" s="1">
        <v>45754</v>
      </c>
      <c r="B1194" t="s">
        <v>1365</v>
      </c>
      <c r="C1194" t="s">
        <v>63</v>
      </c>
      <c r="D1194" t="s">
        <v>47</v>
      </c>
      <c r="E1194" t="s">
        <v>27</v>
      </c>
      <c r="F1194">
        <v>4</v>
      </c>
      <c r="G1194">
        <v>296.67</v>
      </c>
      <c r="H1194" t="s">
        <v>53</v>
      </c>
      <c r="I1194" t="s">
        <v>1873</v>
      </c>
      <c r="J1194" t="s">
        <v>30</v>
      </c>
      <c r="K1194" t="s">
        <v>45</v>
      </c>
      <c r="L1194" t="s">
        <v>60</v>
      </c>
      <c r="M1194" t="s">
        <v>49</v>
      </c>
      <c r="N1194">
        <f>Sheet1[[#This Row],[Quantity]]*Sheet1[[#This Row],[UnitPrice]]</f>
        <v>1186.68</v>
      </c>
    </row>
    <row r="1195" spans="1:14" x14ac:dyDescent="0.3">
      <c r="A1195" s="1">
        <v>45589</v>
      </c>
      <c r="B1195" t="s">
        <v>1874</v>
      </c>
      <c r="C1195" t="s">
        <v>34</v>
      </c>
      <c r="D1195" t="s">
        <v>74</v>
      </c>
      <c r="E1195" t="s">
        <v>64</v>
      </c>
      <c r="F1195">
        <v>8</v>
      </c>
      <c r="G1195">
        <v>205.08</v>
      </c>
      <c r="H1195" t="s">
        <v>53</v>
      </c>
      <c r="I1195" t="s">
        <v>1875</v>
      </c>
      <c r="J1195" t="s">
        <v>58</v>
      </c>
      <c r="K1195" t="s">
        <v>59</v>
      </c>
      <c r="L1195" t="s">
        <v>22</v>
      </c>
      <c r="M1195" t="s">
        <v>32</v>
      </c>
      <c r="N1195">
        <f>Sheet1[[#This Row],[Quantity]]*Sheet1[[#This Row],[UnitPrice]]</f>
        <v>1640.64</v>
      </c>
    </row>
    <row r="1196" spans="1:14" x14ac:dyDescent="0.3">
      <c r="A1196" s="1">
        <v>45488</v>
      </c>
      <c r="B1196" t="s">
        <v>1876</v>
      </c>
      <c r="C1196" t="s">
        <v>15</v>
      </c>
      <c r="D1196" t="s">
        <v>47</v>
      </c>
      <c r="E1196" t="s">
        <v>35</v>
      </c>
      <c r="F1196">
        <v>1</v>
      </c>
      <c r="G1196">
        <v>61.21</v>
      </c>
      <c r="H1196" t="s">
        <v>53</v>
      </c>
      <c r="I1196" t="s">
        <v>1877</v>
      </c>
      <c r="J1196" t="s">
        <v>30</v>
      </c>
      <c r="K1196" t="s">
        <v>31</v>
      </c>
      <c r="L1196" t="s">
        <v>60</v>
      </c>
      <c r="M1196" t="s">
        <v>49</v>
      </c>
      <c r="N1196">
        <f>Sheet1[[#This Row],[Quantity]]*Sheet1[[#This Row],[UnitPrice]]</f>
        <v>61.21</v>
      </c>
    </row>
    <row r="1197" spans="1:14" x14ac:dyDescent="0.3">
      <c r="A1197" s="1">
        <v>45440</v>
      </c>
      <c r="B1197" t="s">
        <v>822</v>
      </c>
      <c r="C1197" t="s">
        <v>63</v>
      </c>
      <c r="D1197" t="s">
        <v>16</v>
      </c>
      <c r="E1197" t="s">
        <v>42</v>
      </c>
      <c r="F1197">
        <v>8</v>
      </c>
      <c r="G1197">
        <v>160.44999999999999</v>
      </c>
      <c r="H1197" t="s">
        <v>68</v>
      </c>
      <c r="I1197" t="s">
        <v>1878</v>
      </c>
      <c r="J1197" t="s">
        <v>30</v>
      </c>
      <c r="K1197" t="s">
        <v>59</v>
      </c>
      <c r="L1197" t="s">
        <v>22</v>
      </c>
      <c r="M1197" t="s">
        <v>84</v>
      </c>
      <c r="N1197">
        <f>Sheet1[[#This Row],[Quantity]]*Sheet1[[#This Row],[UnitPrice]]</f>
        <v>1283.5999999999999</v>
      </c>
    </row>
    <row r="1198" spans="1:14" x14ac:dyDescent="0.3">
      <c r="A1198" s="1">
        <v>45412</v>
      </c>
      <c r="B1198" t="s">
        <v>844</v>
      </c>
      <c r="C1198" t="s">
        <v>25</v>
      </c>
      <c r="D1198" t="s">
        <v>26</v>
      </c>
      <c r="E1198" t="s">
        <v>64</v>
      </c>
      <c r="F1198">
        <v>6</v>
      </c>
      <c r="G1198">
        <v>339.61</v>
      </c>
      <c r="H1198" t="s">
        <v>53</v>
      </c>
      <c r="I1198" t="s">
        <v>1879</v>
      </c>
      <c r="J1198" t="s">
        <v>20</v>
      </c>
      <c r="K1198" t="s">
        <v>31</v>
      </c>
      <c r="L1198" t="s">
        <v>60</v>
      </c>
      <c r="M1198" t="s">
        <v>84</v>
      </c>
      <c r="N1198">
        <f>Sheet1[[#This Row],[Quantity]]*Sheet1[[#This Row],[UnitPrice]]</f>
        <v>2037.66</v>
      </c>
    </row>
    <row r="1199" spans="1:14" x14ac:dyDescent="0.3">
      <c r="A1199" s="1">
        <v>45571</v>
      </c>
      <c r="B1199" t="s">
        <v>125</v>
      </c>
      <c r="C1199" t="s">
        <v>25</v>
      </c>
      <c r="D1199" t="s">
        <v>47</v>
      </c>
      <c r="E1199" t="s">
        <v>17</v>
      </c>
      <c r="F1199">
        <v>7</v>
      </c>
      <c r="G1199">
        <v>136.57</v>
      </c>
      <c r="H1199" t="s">
        <v>53</v>
      </c>
      <c r="I1199" t="s">
        <v>1880</v>
      </c>
      <c r="J1199" t="s">
        <v>38</v>
      </c>
      <c r="K1199" t="s">
        <v>45</v>
      </c>
      <c r="L1199" t="s">
        <v>60</v>
      </c>
      <c r="M1199" t="s">
        <v>61</v>
      </c>
      <c r="N1199">
        <f>Sheet1[[#This Row],[Quantity]]*Sheet1[[#This Row],[UnitPrice]]</f>
        <v>955.99</v>
      </c>
    </row>
    <row r="1200" spans="1:14" x14ac:dyDescent="0.3">
      <c r="A1200" s="1">
        <v>45463</v>
      </c>
      <c r="B1200" t="s">
        <v>167</v>
      </c>
      <c r="C1200" t="s">
        <v>15</v>
      </c>
      <c r="D1200" t="s">
        <v>16</v>
      </c>
      <c r="E1200" t="s">
        <v>52</v>
      </c>
      <c r="F1200">
        <v>5</v>
      </c>
      <c r="G1200">
        <v>117.18</v>
      </c>
      <c r="H1200" t="s">
        <v>36</v>
      </c>
      <c r="I1200" t="s">
        <v>1881</v>
      </c>
      <c r="J1200" t="s">
        <v>38</v>
      </c>
      <c r="K1200" t="s">
        <v>59</v>
      </c>
      <c r="L1200" t="s">
        <v>22</v>
      </c>
      <c r="M1200" t="s">
        <v>32</v>
      </c>
      <c r="N1200">
        <f>Sheet1[[#This Row],[Quantity]]*Sheet1[[#This Row],[UnitPrice]]</f>
        <v>585.90000000000009</v>
      </c>
    </row>
    <row r="1201" spans="1:14" x14ac:dyDescent="0.3">
      <c r="A1201" s="1">
        <v>45269</v>
      </c>
      <c r="B1201" t="s">
        <v>1687</v>
      </c>
      <c r="C1201" t="s">
        <v>51</v>
      </c>
      <c r="D1201" t="s">
        <v>26</v>
      </c>
      <c r="E1201" t="s">
        <v>52</v>
      </c>
      <c r="F1201">
        <v>7</v>
      </c>
      <c r="G1201">
        <v>310.19</v>
      </c>
      <c r="H1201" t="s">
        <v>28</v>
      </c>
      <c r="I1201" t="s">
        <v>1882</v>
      </c>
      <c r="J1201" t="s">
        <v>44</v>
      </c>
      <c r="K1201" t="s">
        <v>45</v>
      </c>
      <c r="L1201" t="s">
        <v>22</v>
      </c>
      <c r="M1201" t="s">
        <v>23</v>
      </c>
      <c r="N1201">
        <f>Sheet1[[#This Row],[Quantity]]*Sheet1[[#This Row],[UnitPrice]]</f>
        <v>2171.33</v>
      </c>
    </row>
    <row r="1202" spans="1:14" x14ac:dyDescent="0.3">
      <c r="A1202" s="1">
        <v>45590</v>
      </c>
      <c r="B1202" t="s">
        <v>46</v>
      </c>
      <c r="C1202" t="s">
        <v>73</v>
      </c>
      <c r="D1202" t="s">
        <v>47</v>
      </c>
      <c r="E1202" t="s">
        <v>67</v>
      </c>
      <c r="F1202">
        <v>5</v>
      </c>
      <c r="G1202">
        <v>143.27000000000001</v>
      </c>
      <c r="H1202" t="s">
        <v>28</v>
      </c>
      <c r="I1202" t="s">
        <v>1883</v>
      </c>
      <c r="J1202" t="s">
        <v>58</v>
      </c>
      <c r="K1202" t="s">
        <v>59</v>
      </c>
      <c r="L1202" t="s">
        <v>39</v>
      </c>
      <c r="M1202" t="s">
        <v>40</v>
      </c>
      <c r="N1202">
        <f>Sheet1[[#This Row],[Quantity]]*Sheet1[[#This Row],[UnitPrice]]</f>
        <v>716.35</v>
      </c>
    </row>
    <row r="1203" spans="1:14" x14ac:dyDescent="0.3">
      <c r="A1203" s="1">
        <v>45748</v>
      </c>
      <c r="B1203" t="s">
        <v>653</v>
      </c>
      <c r="C1203" t="s">
        <v>25</v>
      </c>
      <c r="D1203" t="s">
        <v>74</v>
      </c>
      <c r="E1203" t="s">
        <v>67</v>
      </c>
      <c r="F1203">
        <v>5</v>
      </c>
      <c r="G1203">
        <v>205.46</v>
      </c>
      <c r="H1203" t="s">
        <v>18</v>
      </c>
      <c r="I1203" t="s">
        <v>1884</v>
      </c>
      <c r="J1203" t="s">
        <v>38</v>
      </c>
      <c r="K1203" t="s">
        <v>31</v>
      </c>
      <c r="L1203" t="s">
        <v>60</v>
      </c>
      <c r="M1203" t="s">
        <v>84</v>
      </c>
      <c r="N1203">
        <f>Sheet1[[#This Row],[Quantity]]*Sheet1[[#This Row],[UnitPrice]]</f>
        <v>1027.3</v>
      </c>
    </row>
    <row r="1204" spans="1:14" x14ac:dyDescent="0.3">
      <c r="A1204" s="1">
        <v>45273</v>
      </c>
      <c r="B1204" t="s">
        <v>853</v>
      </c>
      <c r="C1204" t="s">
        <v>25</v>
      </c>
      <c r="D1204" t="s">
        <v>26</v>
      </c>
      <c r="E1204" t="s">
        <v>52</v>
      </c>
      <c r="F1204">
        <v>8</v>
      </c>
      <c r="G1204">
        <v>269.41000000000003</v>
      </c>
      <c r="H1204" t="s">
        <v>36</v>
      </c>
      <c r="I1204" t="s">
        <v>1885</v>
      </c>
      <c r="J1204" t="s">
        <v>44</v>
      </c>
      <c r="K1204" t="s">
        <v>21</v>
      </c>
      <c r="L1204" t="s">
        <v>22</v>
      </c>
      <c r="M1204" t="s">
        <v>76</v>
      </c>
      <c r="N1204">
        <f>Sheet1[[#This Row],[Quantity]]*Sheet1[[#This Row],[UnitPrice]]</f>
        <v>2155.2800000000002</v>
      </c>
    </row>
    <row r="1205" spans="1:14" x14ac:dyDescent="0.3">
      <c r="A1205" s="1">
        <v>45523</v>
      </c>
      <c r="B1205" t="s">
        <v>1140</v>
      </c>
      <c r="C1205" t="s">
        <v>51</v>
      </c>
      <c r="D1205" t="s">
        <v>47</v>
      </c>
      <c r="E1205" t="s">
        <v>17</v>
      </c>
      <c r="F1205">
        <v>9</v>
      </c>
      <c r="G1205">
        <v>22.41</v>
      </c>
      <c r="H1205" t="s">
        <v>18</v>
      </c>
      <c r="I1205" t="s">
        <v>1886</v>
      </c>
      <c r="J1205" t="s">
        <v>30</v>
      </c>
      <c r="K1205" t="s">
        <v>21</v>
      </c>
      <c r="L1205" t="s">
        <v>39</v>
      </c>
      <c r="M1205" t="s">
        <v>49</v>
      </c>
      <c r="N1205">
        <f>Sheet1[[#This Row],[Quantity]]*Sheet1[[#This Row],[UnitPrice]]</f>
        <v>201.69</v>
      </c>
    </row>
    <row r="1206" spans="1:14" x14ac:dyDescent="0.3">
      <c r="A1206" s="1">
        <v>45722</v>
      </c>
      <c r="B1206" t="s">
        <v>1844</v>
      </c>
      <c r="C1206" t="s">
        <v>56</v>
      </c>
      <c r="D1206" t="s">
        <v>16</v>
      </c>
      <c r="E1206" t="s">
        <v>27</v>
      </c>
      <c r="F1206">
        <v>8</v>
      </c>
      <c r="G1206">
        <v>189.34</v>
      </c>
      <c r="H1206" t="s">
        <v>36</v>
      </c>
      <c r="I1206" t="s">
        <v>1887</v>
      </c>
      <c r="J1206" t="s">
        <v>58</v>
      </c>
      <c r="K1206" t="s">
        <v>45</v>
      </c>
      <c r="L1206" t="s">
        <v>39</v>
      </c>
      <c r="M1206" t="s">
        <v>32</v>
      </c>
      <c r="N1206">
        <f>Sheet1[[#This Row],[Quantity]]*Sheet1[[#This Row],[UnitPrice]]</f>
        <v>1514.72</v>
      </c>
    </row>
    <row r="1207" spans="1:14" x14ac:dyDescent="0.3">
      <c r="A1207" s="1">
        <v>45176</v>
      </c>
      <c r="B1207" t="s">
        <v>724</v>
      </c>
      <c r="C1207" t="s">
        <v>25</v>
      </c>
      <c r="D1207" t="s">
        <v>26</v>
      </c>
      <c r="E1207" t="s">
        <v>35</v>
      </c>
      <c r="F1207">
        <v>8</v>
      </c>
      <c r="G1207">
        <v>125.02</v>
      </c>
      <c r="H1207" t="s">
        <v>36</v>
      </c>
      <c r="I1207" t="s">
        <v>1888</v>
      </c>
      <c r="J1207" t="s">
        <v>58</v>
      </c>
      <c r="K1207" t="s">
        <v>31</v>
      </c>
      <c r="L1207" t="s">
        <v>39</v>
      </c>
      <c r="M1207" t="s">
        <v>32</v>
      </c>
      <c r="N1207">
        <f>Sheet1[[#This Row],[Quantity]]*Sheet1[[#This Row],[UnitPrice]]</f>
        <v>1000.16</v>
      </c>
    </row>
    <row r="1208" spans="1:14" x14ac:dyDescent="0.3">
      <c r="A1208" s="1">
        <v>45545</v>
      </c>
      <c r="B1208" t="s">
        <v>1376</v>
      </c>
      <c r="C1208" t="s">
        <v>101</v>
      </c>
      <c r="D1208" t="s">
        <v>16</v>
      </c>
      <c r="E1208" t="s">
        <v>67</v>
      </c>
      <c r="F1208">
        <v>10</v>
      </c>
      <c r="G1208">
        <v>116.36</v>
      </c>
      <c r="H1208" t="s">
        <v>53</v>
      </c>
      <c r="I1208" t="s">
        <v>1889</v>
      </c>
      <c r="J1208" t="s">
        <v>20</v>
      </c>
      <c r="K1208" t="s">
        <v>59</v>
      </c>
      <c r="L1208" t="s">
        <v>22</v>
      </c>
      <c r="M1208" t="s">
        <v>84</v>
      </c>
      <c r="N1208">
        <f>Sheet1[[#This Row],[Quantity]]*Sheet1[[#This Row],[UnitPrice]]</f>
        <v>1163.5999999999999</v>
      </c>
    </row>
    <row r="1209" spans="1:14" x14ac:dyDescent="0.3">
      <c r="A1209" s="1">
        <v>45163</v>
      </c>
      <c r="B1209" t="s">
        <v>1238</v>
      </c>
      <c r="C1209" t="s">
        <v>51</v>
      </c>
      <c r="D1209" t="s">
        <v>47</v>
      </c>
      <c r="E1209" t="s">
        <v>67</v>
      </c>
      <c r="F1209">
        <v>3</v>
      </c>
      <c r="G1209">
        <v>122.4</v>
      </c>
      <c r="H1209" t="s">
        <v>28</v>
      </c>
      <c r="I1209" t="s">
        <v>1890</v>
      </c>
      <c r="J1209" t="s">
        <v>58</v>
      </c>
      <c r="K1209" t="s">
        <v>31</v>
      </c>
      <c r="L1209" t="s">
        <v>22</v>
      </c>
      <c r="M1209" t="s">
        <v>40</v>
      </c>
      <c r="N1209">
        <f>Sheet1[[#This Row],[Quantity]]*Sheet1[[#This Row],[UnitPrice]]</f>
        <v>367.20000000000005</v>
      </c>
    </row>
    <row r="1210" spans="1:14" x14ac:dyDescent="0.3">
      <c r="A1210" s="1">
        <v>45686</v>
      </c>
      <c r="B1210" t="s">
        <v>1343</v>
      </c>
      <c r="C1210" t="s">
        <v>51</v>
      </c>
      <c r="D1210" t="s">
        <v>16</v>
      </c>
      <c r="E1210" t="s">
        <v>52</v>
      </c>
      <c r="F1210">
        <v>4</v>
      </c>
      <c r="G1210">
        <v>143.65</v>
      </c>
      <c r="H1210" t="s">
        <v>53</v>
      </c>
      <c r="I1210" t="s">
        <v>1891</v>
      </c>
      <c r="J1210" t="s">
        <v>58</v>
      </c>
      <c r="K1210" t="s">
        <v>21</v>
      </c>
      <c r="L1210" t="s">
        <v>22</v>
      </c>
      <c r="M1210" t="s">
        <v>76</v>
      </c>
      <c r="N1210">
        <f>Sheet1[[#This Row],[Quantity]]*Sheet1[[#This Row],[UnitPrice]]</f>
        <v>574.6</v>
      </c>
    </row>
    <row r="1211" spans="1:14" x14ac:dyDescent="0.3">
      <c r="A1211" s="1">
        <v>45455</v>
      </c>
      <c r="B1211" t="s">
        <v>1892</v>
      </c>
      <c r="C1211" t="s">
        <v>63</v>
      </c>
      <c r="D1211" t="s">
        <v>47</v>
      </c>
      <c r="E1211" t="s">
        <v>67</v>
      </c>
      <c r="F1211">
        <v>7</v>
      </c>
      <c r="G1211">
        <v>270.52999999999997</v>
      </c>
      <c r="H1211" t="s">
        <v>36</v>
      </c>
      <c r="I1211" t="s">
        <v>1893</v>
      </c>
      <c r="J1211" t="s">
        <v>20</v>
      </c>
      <c r="K1211" t="s">
        <v>45</v>
      </c>
      <c r="L1211" t="s">
        <v>39</v>
      </c>
      <c r="M1211" t="s">
        <v>76</v>
      </c>
      <c r="N1211">
        <f>Sheet1[[#This Row],[Quantity]]*Sheet1[[#This Row],[UnitPrice]]</f>
        <v>1893.7099999999998</v>
      </c>
    </row>
    <row r="1212" spans="1:14" x14ac:dyDescent="0.3">
      <c r="A1212" s="1">
        <v>44989</v>
      </c>
      <c r="B1212" t="s">
        <v>1510</v>
      </c>
      <c r="C1212" t="s">
        <v>15</v>
      </c>
      <c r="D1212" t="s">
        <v>47</v>
      </c>
      <c r="E1212" t="s">
        <v>42</v>
      </c>
      <c r="F1212">
        <v>1</v>
      </c>
      <c r="G1212">
        <v>322.36</v>
      </c>
      <c r="H1212" t="s">
        <v>53</v>
      </c>
      <c r="I1212" t="s">
        <v>1894</v>
      </c>
      <c r="J1212" t="s">
        <v>20</v>
      </c>
      <c r="K1212" t="s">
        <v>21</v>
      </c>
      <c r="L1212" t="s">
        <v>39</v>
      </c>
      <c r="M1212" t="s">
        <v>23</v>
      </c>
      <c r="N1212">
        <f>Sheet1[[#This Row],[Quantity]]*Sheet1[[#This Row],[UnitPrice]]</f>
        <v>322.36</v>
      </c>
    </row>
    <row r="1213" spans="1:14" x14ac:dyDescent="0.3">
      <c r="A1213" s="1">
        <v>45299</v>
      </c>
      <c r="B1213" t="s">
        <v>1352</v>
      </c>
      <c r="C1213" t="s">
        <v>101</v>
      </c>
      <c r="D1213" t="s">
        <v>47</v>
      </c>
      <c r="E1213" t="s">
        <v>67</v>
      </c>
      <c r="F1213">
        <v>7</v>
      </c>
      <c r="G1213">
        <v>155.29</v>
      </c>
      <c r="H1213" t="s">
        <v>36</v>
      </c>
      <c r="I1213" t="s">
        <v>1895</v>
      </c>
      <c r="J1213" t="s">
        <v>44</v>
      </c>
      <c r="K1213" t="s">
        <v>59</v>
      </c>
      <c r="L1213" t="s">
        <v>39</v>
      </c>
      <c r="M1213" t="s">
        <v>49</v>
      </c>
      <c r="N1213">
        <f>Sheet1[[#This Row],[Quantity]]*Sheet1[[#This Row],[UnitPrice]]</f>
        <v>1087.03</v>
      </c>
    </row>
    <row r="1214" spans="1:14" x14ac:dyDescent="0.3">
      <c r="A1214" s="1">
        <v>45339</v>
      </c>
      <c r="B1214" t="s">
        <v>1343</v>
      </c>
      <c r="C1214" t="s">
        <v>34</v>
      </c>
      <c r="D1214" t="s">
        <v>16</v>
      </c>
      <c r="E1214" t="s">
        <v>27</v>
      </c>
      <c r="F1214">
        <v>6</v>
      </c>
      <c r="G1214">
        <v>56.79</v>
      </c>
      <c r="H1214" t="s">
        <v>28</v>
      </c>
      <c r="I1214" t="s">
        <v>1896</v>
      </c>
      <c r="J1214" t="s">
        <v>38</v>
      </c>
      <c r="K1214" t="s">
        <v>31</v>
      </c>
      <c r="L1214" t="s">
        <v>22</v>
      </c>
      <c r="M1214" t="s">
        <v>23</v>
      </c>
      <c r="N1214">
        <f>Sheet1[[#This Row],[Quantity]]*Sheet1[[#This Row],[UnitPrice]]</f>
        <v>340.74</v>
      </c>
    </row>
    <row r="1215" spans="1:14" x14ac:dyDescent="0.3">
      <c r="A1215" s="1">
        <v>44962</v>
      </c>
      <c r="B1215" t="s">
        <v>964</v>
      </c>
      <c r="C1215" t="s">
        <v>78</v>
      </c>
      <c r="D1215" t="s">
        <v>16</v>
      </c>
      <c r="E1215" t="s">
        <v>17</v>
      </c>
      <c r="F1215">
        <v>8</v>
      </c>
      <c r="G1215">
        <v>263.27999999999997</v>
      </c>
      <c r="H1215" t="s">
        <v>18</v>
      </c>
      <c r="I1215" t="s">
        <v>1897</v>
      </c>
      <c r="J1215" t="s">
        <v>38</v>
      </c>
      <c r="K1215" t="s">
        <v>59</v>
      </c>
      <c r="L1215" t="s">
        <v>39</v>
      </c>
      <c r="M1215" t="s">
        <v>61</v>
      </c>
      <c r="N1215">
        <f>Sheet1[[#This Row],[Quantity]]*Sheet1[[#This Row],[UnitPrice]]</f>
        <v>2106.2399999999998</v>
      </c>
    </row>
    <row r="1216" spans="1:14" x14ac:dyDescent="0.3">
      <c r="A1216" s="1">
        <v>45355</v>
      </c>
      <c r="B1216" t="s">
        <v>856</v>
      </c>
      <c r="C1216" t="s">
        <v>15</v>
      </c>
      <c r="D1216" t="s">
        <v>16</v>
      </c>
      <c r="E1216" t="s">
        <v>64</v>
      </c>
      <c r="F1216">
        <v>7</v>
      </c>
      <c r="G1216">
        <v>55.57</v>
      </c>
      <c r="H1216" t="s">
        <v>36</v>
      </c>
      <c r="I1216" t="s">
        <v>1898</v>
      </c>
      <c r="J1216" t="s">
        <v>30</v>
      </c>
      <c r="K1216" t="s">
        <v>45</v>
      </c>
      <c r="L1216" t="s">
        <v>22</v>
      </c>
      <c r="M1216" t="s">
        <v>49</v>
      </c>
      <c r="N1216">
        <f>Sheet1[[#This Row],[Quantity]]*Sheet1[[#This Row],[UnitPrice]]</f>
        <v>388.99</v>
      </c>
    </row>
    <row r="1217" spans="1:14" x14ac:dyDescent="0.3">
      <c r="A1217" s="1">
        <v>45071</v>
      </c>
      <c r="B1217" t="s">
        <v>383</v>
      </c>
      <c r="C1217" t="s">
        <v>34</v>
      </c>
      <c r="D1217" t="s">
        <v>47</v>
      </c>
      <c r="E1217" t="s">
        <v>52</v>
      </c>
      <c r="F1217">
        <v>2</v>
      </c>
      <c r="G1217">
        <v>30.24</v>
      </c>
      <c r="H1217" t="s">
        <v>36</v>
      </c>
      <c r="I1217" t="s">
        <v>1899</v>
      </c>
      <c r="J1217" t="s">
        <v>44</v>
      </c>
      <c r="K1217" t="s">
        <v>45</v>
      </c>
      <c r="L1217" t="s">
        <v>22</v>
      </c>
      <c r="M1217" t="s">
        <v>32</v>
      </c>
      <c r="N1217">
        <f>Sheet1[[#This Row],[Quantity]]*Sheet1[[#This Row],[UnitPrice]]</f>
        <v>60.48</v>
      </c>
    </row>
    <row r="1218" spans="1:14" x14ac:dyDescent="0.3">
      <c r="A1218" s="1">
        <v>45694</v>
      </c>
      <c r="B1218" t="s">
        <v>1637</v>
      </c>
      <c r="C1218" t="s">
        <v>56</v>
      </c>
      <c r="D1218" t="s">
        <v>74</v>
      </c>
      <c r="E1218" t="s">
        <v>35</v>
      </c>
      <c r="F1218">
        <v>2</v>
      </c>
      <c r="G1218">
        <v>346.3</v>
      </c>
      <c r="H1218" t="s">
        <v>53</v>
      </c>
      <c r="I1218" t="s">
        <v>1900</v>
      </c>
      <c r="J1218" t="s">
        <v>20</v>
      </c>
      <c r="K1218" t="s">
        <v>59</v>
      </c>
      <c r="L1218" t="s">
        <v>22</v>
      </c>
      <c r="M1218" t="s">
        <v>32</v>
      </c>
      <c r="N1218">
        <f>Sheet1[[#This Row],[Quantity]]*Sheet1[[#This Row],[UnitPrice]]</f>
        <v>692.6</v>
      </c>
    </row>
    <row r="1219" spans="1:14" x14ac:dyDescent="0.3">
      <c r="A1219" s="1">
        <v>45099</v>
      </c>
      <c r="B1219" t="s">
        <v>204</v>
      </c>
      <c r="C1219" t="s">
        <v>73</v>
      </c>
      <c r="D1219" t="s">
        <v>16</v>
      </c>
      <c r="E1219" t="s">
        <v>67</v>
      </c>
      <c r="F1219">
        <v>10</v>
      </c>
      <c r="G1219">
        <v>262.02</v>
      </c>
      <c r="H1219" t="s">
        <v>68</v>
      </c>
      <c r="I1219" t="s">
        <v>1901</v>
      </c>
      <c r="J1219" t="s">
        <v>20</v>
      </c>
      <c r="K1219" t="s">
        <v>45</v>
      </c>
      <c r="L1219" t="s">
        <v>39</v>
      </c>
      <c r="M1219" t="s">
        <v>32</v>
      </c>
      <c r="N1219">
        <f>Sheet1[[#This Row],[Quantity]]*Sheet1[[#This Row],[UnitPrice]]</f>
        <v>2620.1999999999998</v>
      </c>
    </row>
    <row r="1220" spans="1:14" x14ac:dyDescent="0.3">
      <c r="A1220" s="1">
        <v>45767</v>
      </c>
      <c r="B1220" t="s">
        <v>412</v>
      </c>
      <c r="C1220" t="s">
        <v>25</v>
      </c>
      <c r="D1220" t="s">
        <v>16</v>
      </c>
      <c r="E1220" t="s">
        <v>42</v>
      </c>
      <c r="F1220">
        <v>9</v>
      </c>
      <c r="G1220">
        <v>311.86</v>
      </c>
      <c r="H1220" t="s">
        <v>18</v>
      </c>
      <c r="I1220" t="s">
        <v>1902</v>
      </c>
      <c r="J1220" t="s">
        <v>30</v>
      </c>
      <c r="K1220" t="s">
        <v>45</v>
      </c>
      <c r="L1220" t="s">
        <v>39</v>
      </c>
      <c r="M1220" t="s">
        <v>61</v>
      </c>
      <c r="N1220">
        <f>Sheet1[[#This Row],[Quantity]]*Sheet1[[#This Row],[UnitPrice]]</f>
        <v>2806.7400000000002</v>
      </c>
    </row>
    <row r="1221" spans="1:14" x14ac:dyDescent="0.3">
      <c r="A1221" s="1">
        <v>45835</v>
      </c>
      <c r="B1221" t="s">
        <v>1637</v>
      </c>
      <c r="C1221" t="s">
        <v>56</v>
      </c>
      <c r="D1221" t="s">
        <v>16</v>
      </c>
      <c r="E1221" t="s">
        <v>27</v>
      </c>
      <c r="F1221">
        <v>4</v>
      </c>
      <c r="G1221">
        <v>85.86</v>
      </c>
      <c r="H1221" t="s">
        <v>68</v>
      </c>
      <c r="I1221" t="s">
        <v>1903</v>
      </c>
      <c r="J1221" t="s">
        <v>58</v>
      </c>
      <c r="K1221" t="s">
        <v>21</v>
      </c>
      <c r="L1221" t="s">
        <v>22</v>
      </c>
      <c r="M1221" t="s">
        <v>40</v>
      </c>
      <c r="N1221">
        <f>Sheet1[[#This Row],[Quantity]]*Sheet1[[#This Row],[UnitPrice]]</f>
        <v>343.44</v>
      </c>
    </row>
    <row r="1222" spans="1:14" x14ac:dyDescent="0.3">
      <c r="A1222" s="1">
        <v>45654</v>
      </c>
      <c r="B1222" t="s">
        <v>1904</v>
      </c>
      <c r="C1222" t="s">
        <v>63</v>
      </c>
      <c r="D1222" t="s">
        <v>26</v>
      </c>
      <c r="E1222" t="s">
        <v>35</v>
      </c>
      <c r="F1222">
        <v>2</v>
      </c>
      <c r="G1222">
        <v>355.75</v>
      </c>
      <c r="H1222" t="s">
        <v>68</v>
      </c>
      <c r="I1222" t="s">
        <v>1905</v>
      </c>
      <c r="J1222" t="s">
        <v>20</v>
      </c>
      <c r="K1222" t="s">
        <v>45</v>
      </c>
      <c r="L1222" t="s">
        <v>39</v>
      </c>
      <c r="M1222" t="s">
        <v>23</v>
      </c>
      <c r="N1222">
        <f>Sheet1[[#This Row],[Quantity]]*Sheet1[[#This Row],[UnitPrice]]</f>
        <v>711.5</v>
      </c>
    </row>
    <row r="1223" spans="1:14" x14ac:dyDescent="0.3">
      <c r="A1223" s="1">
        <v>45751</v>
      </c>
      <c r="B1223" t="s">
        <v>675</v>
      </c>
      <c r="C1223" t="s">
        <v>63</v>
      </c>
      <c r="D1223" t="s">
        <v>26</v>
      </c>
      <c r="E1223" t="s">
        <v>42</v>
      </c>
      <c r="F1223">
        <v>6</v>
      </c>
      <c r="G1223">
        <v>76.48</v>
      </c>
      <c r="H1223" t="s">
        <v>36</v>
      </c>
      <c r="I1223" t="s">
        <v>1906</v>
      </c>
      <c r="J1223" t="s">
        <v>30</v>
      </c>
      <c r="K1223" t="s">
        <v>31</v>
      </c>
      <c r="L1223" t="s">
        <v>39</v>
      </c>
      <c r="M1223" t="s">
        <v>40</v>
      </c>
      <c r="N1223">
        <f>Sheet1[[#This Row],[Quantity]]*Sheet1[[#This Row],[UnitPrice]]</f>
        <v>458.88</v>
      </c>
    </row>
    <row r="1224" spans="1:14" x14ac:dyDescent="0.3">
      <c r="A1224" s="1">
        <v>45124</v>
      </c>
      <c r="B1224" t="s">
        <v>158</v>
      </c>
      <c r="C1224" t="s">
        <v>78</v>
      </c>
      <c r="D1224" t="s">
        <v>26</v>
      </c>
      <c r="E1224" t="s">
        <v>27</v>
      </c>
      <c r="F1224">
        <v>10</v>
      </c>
      <c r="G1224">
        <v>117.78</v>
      </c>
      <c r="H1224" t="s">
        <v>18</v>
      </c>
      <c r="I1224" t="s">
        <v>1907</v>
      </c>
      <c r="J1224" t="s">
        <v>44</v>
      </c>
      <c r="K1224" t="s">
        <v>59</v>
      </c>
      <c r="L1224" t="s">
        <v>22</v>
      </c>
      <c r="M1224" t="s">
        <v>49</v>
      </c>
      <c r="N1224">
        <f>Sheet1[[#This Row],[Quantity]]*Sheet1[[#This Row],[UnitPrice]]</f>
        <v>1177.8</v>
      </c>
    </row>
    <row r="1225" spans="1:14" x14ac:dyDescent="0.3">
      <c r="A1225" s="1">
        <v>45730</v>
      </c>
      <c r="B1225" t="s">
        <v>338</v>
      </c>
      <c r="C1225" t="s">
        <v>25</v>
      </c>
      <c r="D1225" t="s">
        <v>26</v>
      </c>
      <c r="E1225" t="s">
        <v>27</v>
      </c>
      <c r="F1225">
        <v>6</v>
      </c>
      <c r="G1225">
        <v>274.10000000000002</v>
      </c>
      <c r="H1225" t="s">
        <v>18</v>
      </c>
      <c r="I1225" t="s">
        <v>1908</v>
      </c>
      <c r="J1225" t="s">
        <v>44</v>
      </c>
      <c r="K1225" t="s">
        <v>45</v>
      </c>
      <c r="L1225" t="s">
        <v>60</v>
      </c>
      <c r="M1225" t="s">
        <v>40</v>
      </c>
      <c r="N1225">
        <f>Sheet1[[#This Row],[Quantity]]*Sheet1[[#This Row],[UnitPrice]]</f>
        <v>1644.6000000000001</v>
      </c>
    </row>
    <row r="1226" spans="1:14" x14ac:dyDescent="0.3">
      <c r="A1226" s="1">
        <v>45291</v>
      </c>
      <c r="B1226" t="s">
        <v>1909</v>
      </c>
      <c r="C1226" t="s">
        <v>56</v>
      </c>
      <c r="D1226" t="s">
        <v>26</v>
      </c>
      <c r="E1226" t="s">
        <v>67</v>
      </c>
      <c r="F1226">
        <v>3</v>
      </c>
      <c r="G1226">
        <v>138.16</v>
      </c>
      <c r="H1226" t="s">
        <v>53</v>
      </c>
      <c r="I1226" t="s">
        <v>1910</v>
      </c>
      <c r="J1226" t="s">
        <v>30</v>
      </c>
      <c r="K1226" t="s">
        <v>21</v>
      </c>
      <c r="L1226" t="s">
        <v>39</v>
      </c>
      <c r="M1226" t="s">
        <v>61</v>
      </c>
      <c r="N1226">
        <f>Sheet1[[#This Row],[Quantity]]*Sheet1[[#This Row],[UnitPrice]]</f>
        <v>414.48</v>
      </c>
    </row>
    <row r="1227" spans="1:14" x14ac:dyDescent="0.3">
      <c r="A1227" s="1">
        <v>45275</v>
      </c>
      <c r="B1227" t="s">
        <v>1346</v>
      </c>
      <c r="C1227" t="s">
        <v>90</v>
      </c>
      <c r="D1227" t="s">
        <v>16</v>
      </c>
      <c r="E1227" t="s">
        <v>67</v>
      </c>
      <c r="F1227">
        <v>7</v>
      </c>
      <c r="G1227">
        <v>168.85</v>
      </c>
      <c r="H1227" t="s">
        <v>28</v>
      </c>
      <c r="I1227" t="s">
        <v>1911</v>
      </c>
      <c r="J1227" t="s">
        <v>30</v>
      </c>
      <c r="K1227" t="s">
        <v>45</v>
      </c>
      <c r="L1227" t="s">
        <v>39</v>
      </c>
      <c r="M1227" t="s">
        <v>40</v>
      </c>
      <c r="N1227">
        <f>Sheet1[[#This Row],[Quantity]]*Sheet1[[#This Row],[UnitPrice]]</f>
        <v>1181.95</v>
      </c>
    </row>
    <row r="1228" spans="1:14" x14ac:dyDescent="0.3">
      <c r="A1228" s="1">
        <v>45831</v>
      </c>
      <c r="B1228" t="s">
        <v>1001</v>
      </c>
      <c r="C1228" t="s">
        <v>90</v>
      </c>
      <c r="D1228" t="s">
        <v>16</v>
      </c>
      <c r="E1228" t="s">
        <v>17</v>
      </c>
      <c r="F1228">
        <v>6</v>
      </c>
      <c r="G1228">
        <v>226.46</v>
      </c>
      <c r="H1228" t="s">
        <v>36</v>
      </c>
      <c r="I1228" t="s">
        <v>1912</v>
      </c>
      <c r="J1228" t="s">
        <v>58</v>
      </c>
      <c r="K1228" t="s">
        <v>45</v>
      </c>
      <c r="L1228" t="s">
        <v>22</v>
      </c>
      <c r="M1228" t="s">
        <v>49</v>
      </c>
      <c r="N1228">
        <f>Sheet1[[#This Row],[Quantity]]*Sheet1[[#This Row],[UnitPrice]]</f>
        <v>1358.76</v>
      </c>
    </row>
    <row r="1229" spans="1:14" x14ac:dyDescent="0.3">
      <c r="A1229" s="1">
        <v>45190</v>
      </c>
      <c r="B1229" t="s">
        <v>763</v>
      </c>
      <c r="C1229" t="s">
        <v>34</v>
      </c>
      <c r="D1229" t="s">
        <v>74</v>
      </c>
      <c r="E1229" t="s">
        <v>35</v>
      </c>
      <c r="F1229">
        <v>2</v>
      </c>
      <c r="G1229">
        <v>44.04</v>
      </c>
      <c r="H1229" t="s">
        <v>36</v>
      </c>
      <c r="I1229" t="s">
        <v>1913</v>
      </c>
      <c r="J1229" t="s">
        <v>38</v>
      </c>
      <c r="K1229" t="s">
        <v>59</v>
      </c>
      <c r="L1229" t="s">
        <v>22</v>
      </c>
      <c r="M1229" t="s">
        <v>32</v>
      </c>
      <c r="N1229">
        <f>Sheet1[[#This Row],[Quantity]]*Sheet1[[#This Row],[UnitPrice]]</f>
        <v>88.08</v>
      </c>
    </row>
    <row r="1230" spans="1:14" x14ac:dyDescent="0.3">
      <c r="A1230" s="1">
        <v>44936</v>
      </c>
      <c r="B1230" t="s">
        <v>758</v>
      </c>
      <c r="C1230" t="s">
        <v>34</v>
      </c>
      <c r="D1230" t="s">
        <v>74</v>
      </c>
      <c r="E1230" t="s">
        <v>35</v>
      </c>
      <c r="F1230">
        <v>10</v>
      </c>
      <c r="G1230">
        <v>132.38999999999999</v>
      </c>
      <c r="H1230" t="s">
        <v>68</v>
      </c>
      <c r="I1230" t="s">
        <v>1914</v>
      </c>
      <c r="J1230" t="s">
        <v>44</v>
      </c>
      <c r="K1230" t="s">
        <v>21</v>
      </c>
      <c r="L1230" t="s">
        <v>60</v>
      </c>
      <c r="M1230" t="s">
        <v>84</v>
      </c>
      <c r="N1230">
        <f>Sheet1[[#This Row],[Quantity]]*Sheet1[[#This Row],[UnitPrice]]</f>
        <v>1323.8999999999999</v>
      </c>
    </row>
    <row r="1231" spans="1:14" x14ac:dyDescent="0.3">
      <c r="A1231" s="1">
        <v>45214</v>
      </c>
      <c r="B1231" t="s">
        <v>787</v>
      </c>
      <c r="C1231" t="s">
        <v>63</v>
      </c>
      <c r="D1231" t="s">
        <v>74</v>
      </c>
      <c r="E1231" t="s">
        <v>35</v>
      </c>
      <c r="F1231">
        <v>10</v>
      </c>
      <c r="G1231">
        <v>82.02</v>
      </c>
      <c r="H1231" t="s">
        <v>36</v>
      </c>
      <c r="I1231" t="s">
        <v>1915</v>
      </c>
      <c r="J1231" t="s">
        <v>58</v>
      </c>
      <c r="K1231" t="s">
        <v>59</v>
      </c>
      <c r="L1231" t="s">
        <v>22</v>
      </c>
      <c r="M1231" t="s">
        <v>61</v>
      </c>
      <c r="N1231">
        <f>Sheet1[[#This Row],[Quantity]]*Sheet1[[#This Row],[UnitPrice]]</f>
        <v>820.19999999999993</v>
      </c>
    </row>
    <row r="1232" spans="1:14" x14ac:dyDescent="0.3">
      <c r="A1232" s="1">
        <v>45680</v>
      </c>
      <c r="B1232" t="s">
        <v>1144</v>
      </c>
      <c r="C1232" t="s">
        <v>78</v>
      </c>
      <c r="D1232" t="s">
        <v>26</v>
      </c>
      <c r="E1232" t="s">
        <v>17</v>
      </c>
      <c r="F1232">
        <v>1</v>
      </c>
      <c r="G1232">
        <v>252.48</v>
      </c>
      <c r="H1232" t="s">
        <v>36</v>
      </c>
      <c r="I1232" t="s">
        <v>1916</v>
      </c>
      <c r="J1232" t="s">
        <v>58</v>
      </c>
      <c r="K1232" t="s">
        <v>31</v>
      </c>
      <c r="L1232" t="s">
        <v>39</v>
      </c>
      <c r="M1232" t="s">
        <v>32</v>
      </c>
      <c r="N1232">
        <f>Sheet1[[#This Row],[Quantity]]*Sheet1[[#This Row],[UnitPrice]]</f>
        <v>252.48</v>
      </c>
    </row>
    <row r="1233" spans="1:14" x14ac:dyDescent="0.3">
      <c r="A1233" s="1">
        <v>44933</v>
      </c>
      <c r="B1233" t="s">
        <v>1860</v>
      </c>
      <c r="C1233" t="s">
        <v>63</v>
      </c>
      <c r="D1233" t="s">
        <v>26</v>
      </c>
      <c r="E1233" t="s">
        <v>27</v>
      </c>
      <c r="F1233">
        <v>4</v>
      </c>
      <c r="G1233">
        <v>311.86</v>
      </c>
      <c r="H1233" t="s">
        <v>53</v>
      </c>
      <c r="I1233" t="s">
        <v>1917</v>
      </c>
      <c r="J1233" t="s">
        <v>58</v>
      </c>
      <c r="K1233" t="s">
        <v>21</v>
      </c>
      <c r="L1233" t="s">
        <v>39</v>
      </c>
      <c r="M1233" t="s">
        <v>23</v>
      </c>
      <c r="N1233">
        <f>Sheet1[[#This Row],[Quantity]]*Sheet1[[#This Row],[UnitPrice]]</f>
        <v>1247.44</v>
      </c>
    </row>
    <row r="1234" spans="1:14" x14ac:dyDescent="0.3">
      <c r="A1234" s="1">
        <v>45471</v>
      </c>
      <c r="B1234" t="s">
        <v>587</v>
      </c>
      <c r="C1234" t="s">
        <v>90</v>
      </c>
      <c r="D1234" t="s">
        <v>47</v>
      </c>
      <c r="E1234" t="s">
        <v>35</v>
      </c>
      <c r="F1234">
        <v>7</v>
      </c>
      <c r="G1234">
        <v>125.94</v>
      </c>
      <c r="H1234" t="s">
        <v>18</v>
      </c>
      <c r="I1234" t="s">
        <v>1918</v>
      </c>
      <c r="J1234" t="s">
        <v>58</v>
      </c>
      <c r="K1234" t="s">
        <v>59</v>
      </c>
      <c r="L1234" t="s">
        <v>39</v>
      </c>
      <c r="M1234" t="s">
        <v>40</v>
      </c>
      <c r="N1234">
        <f>Sheet1[[#This Row],[Quantity]]*Sheet1[[#This Row],[UnitPrice]]</f>
        <v>881.57999999999993</v>
      </c>
    </row>
    <row r="1235" spans="1:14" x14ac:dyDescent="0.3">
      <c r="A1235" s="1">
        <v>44947</v>
      </c>
      <c r="B1235" t="s">
        <v>1680</v>
      </c>
      <c r="C1235" t="s">
        <v>56</v>
      </c>
      <c r="D1235" t="s">
        <v>47</v>
      </c>
      <c r="E1235" t="s">
        <v>17</v>
      </c>
      <c r="F1235">
        <v>9</v>
      </c>
      <c r="G1235">
        <v>137.04</v>
      </c>
      <c r="H1235" t="s">
        <v>36</v>
      </c>
      <c r="I1235" t="s">
        <v>1919</v>
      </c>
      <c r="J1235" t="s">
        <v>20</v>
      </c>
      <c r="K1235" t="s">
        <v>21</v>
      </c>
      <c r="L1235" t="s">
        <v>39</v>
      </c>
      <c r="M1235" t="s">
        <v>23</v>
      </c>
      <c r="N1235">
        <f>Sheet1[[#This Row],[Quantity]]*Sheet1[[#This Row],[UnitPrice]]</f>
        <v>1233.3599999999999</v>
      </c>
    </row>
    <row r="1236" spans="1:14" x14ac:dyDescent="0.3">
      <c r="A1236" s="1">
        <v>45164</v>
      </c>
      <c r="B1236" t="s">
        <v>756</v>
      </c>
      <c r="C1236" t="s">
        <v>15</v>
      </c>
      <c r="D1236" t="s">
        <v>16</v>
      </c>
      <c r="E1236" t="s">
        <v>42</v>
      </c>
      <c r="F1236">
        <v>2</v>
      </c>
      <c r="G1236">
        <v>219.9</v>
      </c>
      <c r="H1236" t="s">
        <v>18</v>
      </c>
      <c r="I1236" t="s">
        <v>1920</v>
      </c>
      <c r="J1236" t="s">
        <v>20</v>
      </c>
      <c r="K1236" t="s">
        <v>21</v>
      </c>
      <c r="L1236" t="s">
        <v>22</v>
      </c>
      <c r="M1236" t="s">
        <v>23</v>
      </c>
      <c r="N1236">
        <f>Sheet1[[#This Row],[Quantity]]*Sheet1[[#This Row],[UnitPrice]]</f>
        <v>439.8</v>
      </c>
    </row>
    <row r="1237" spans="1:14" x14ac:dyDescent="0.3">
      <c r="A1237" s="1">
        <v>45007</v>
      </c>
      <c r="B1237" t="s">
        <v>1921</v>
      </c>
      <c r="C1237" t="s">
        <v>34</v>
      </c>
      <c r="D1237" t="s">
        <v>16</v>
      </c>
      <c r="E1237" t="s">
        <v>42</v>
      </c>
      <c r="F1237">
        <v>7</v>
      </c>
      <c r="G1237">
        <v>125.84</v>
      </c>
      <c r="H1237" t="s">
        <v>68</v>
      </c>
      <c r="I1237" t="s">
        <v>1922</v>
      </c>
      <c r="J1237" t="s">
        <v>44</v>
      </c>
      <c r="K1237" t="s">
        <v>45</v>
      </c>
      <c r="L1237" t="s">
        <v>22</v>
      </c>
      <c r="M1237" t="s">
        <v>76</v>
      </c>
      <c r="N1237">
        <f>Sheet1[[#This Row],[Quantity]]*Sheet1[[#This Row],[UnitPrice]]</f>
        <v>880.88</v>
      </c>
    </row>
    <row r="1238" spans="1:14" x14ac:dyDescent="0.3">
      <c r="A1238" s="1">
        <v>45038</v>
      </c>
      <c r="B1238" t="s">
        <v>50</v>
      </c>
      <c r="C1238" t="s">
        <v>56</v>
      </c>
      <c r="D1238" t="s">
        <v>26</v>
      </c>
      <c r="E1238" t="s">
        <v>42</v>
      </c>
      <c r="F1238">
        <v>8</v>
      </c>
      <c r="G1238">
        <v>351.63</v>
      </c>
      <c r="H1238" t="s">
        <v>68</v>
      </c>
      <c r="I1238" t="s">
        <v>1923</v>
      </c>
      <c r="J1238" t="s">
        <v>20</v>
      </c>
      <c r="K1238" t="s">
        <v>21</v>
      </c>
      <c r="L1238" t="s">
        <v>39</v>
      </c>
      <c r="M1238" t="s">
        <v>23</v>
      </c>
      <c r="N1238">
        <f>Sheet1[[#This Row],[Quantity]]*Sheet1[[#This Row],[UnitPrice]]</f>
        <v>2813.04</v>
      </c>
    </row>
    <row r="1239" spans="1:14" x14ac:dyDescent="0.3">
      <c r="A1239" s="1">
        <v>45825</v>
      </c>
      <c r="B1239" t="s">
        <v>438</v>
      </c>
      <c r="C1239" t="s">
        <v>101</v>
      </c>
      <c r="D1239" t="s">
        <v>26</v>
      </c>
      <c r="E1239" t="s">
        <v>64</v>
      </c>
      <c r="F1239">
        <v>2</v>
      </c>
      <c r="G1239">
        <v>103.88</v>
      </c>
      <c r="H1239" t="s">
        <v>18</v>
      </c>
      <c r="I1239" t="s">
        <v>1924</v>
      </c>
      <c r="J1239" t="s">
        <v>38</v>
      </c>
      <c r="K1239" t="s">
        <v>31</v>
      </c>
      <c r="L1239" t="s">
        <v>39</v>
      </c>
      <c r="M1239" t="s">
        <v>84</v>
      </c>
      <c r="N1239">
        <f>Sheet1[[#This Row],[Quantity]]*Sheet1[[#This Row],[UnitPrice]]</f>
        <v>207.76</v>
      </c>
    </row>
    <row r="1240" spans="1:14" x14ac:dyDescent="0.3">
      <c r="A1240" s="1">
        <v>45401</v>
      </c>
      <c r="B1240" t="s">
        <v>261</v>
      </c>
      <c r="C1240" t="s">
        <v>34</v>
      </c>
      <c r="D1240" t="s">
        <v>47</v>
      </c>
      <c r="E1240" t="s">
        <v>42</v>
      </c>
      <c r="F1240">
        <v>2</v>
      </c>
      <c r="G1240">
        <v>291.48</v>
      </c>
      <c r="H1240" t="s">
        <v>36</v>
      </c>
      <c r="I1240" t="s">
        <v>1925</v>
      </c>
      <c r="J1240" t="s">
        <v>38</v>
      </c>
      <c r="K1240" t="s">
        <v>59</v>
      </c>
      <c r="L1240" t="s">
        <v>22</v>
      </c>
      <c r="M1240" t="s">
        <v>40</v>
      </c>
      <c r="N1240">
        <f>Sheet1[[#This Row],[Quantity]]*Sheet1[[#This Row],[UnitPrice]]</f>
        <v>582.96</v>
      </c>
    </row>
    <row r="1241" spans="1:14" x14ac:dyDescent="0.3">
      <c r="A1241" s="1">
        <v>45000</v>
      </c>
      <c r="B1241" t="s">
        <v>778</v>
      </c>
      <c r="C1241" t="s">
        <v>56</v>
      </c>
      <c r="D1241" t="s">
        <v>74</v>
      </c>
      <c r="E1241" t="s">
        <v>52</v>
      </c>
      <c r="F1241">
        <v>6</v>
      </c>
      <c r="G1241">
        <v>9.48</v>
      </c>
      <c r="H1241" t="s">
        <v>28</v>
      </c>
      <c r="I1241" t="s">
        <v>1926</v>
      </c>
      <c r="J1241" t="s">
        <v>44</v>
      </c>
      <c r="K1241" t="s">
        <v>21</v>
      </c>
      <c r="L1241" t="s">
        <v>22</v>
      </c>
      <c r="M1241" t="s">
        <v>76</v>
      </c>
      <c r="N1241">
        <f>Sheet1[[#This Row],[Quantity]]*Sheet1[[#This Row],[UnitPrice]]</f>
        <v>56.88</v>
      </c>
    </row>
    <row r="1242" spans="1:14" x14ac:dyDescent="0.3">
      <c r="A1242" s="1">
        <v>45665</v>
      </c>
      <c r="B1242" t="s">
        <v>550</v>
      </c>
      <c r="C1242" t="s">
        <v>63</v>
      </c>
      <c r="D1242" t="s">
        <v>47</v>
      </c>
      <c r="E1242" t="s">
        <v>52</v>
      </c>
      <c r="F1242">
        <v>9</v>
      </c>
      <c r="G1242">
        <v>255.96</v>
      </c>
      <c r="H1242" t="s">
        <v>28</v>
      </c>
      <c r="I1242" t="s">
        <v>1927</v>
      </c>
      <c r="J1242" t="s">
        <v>44</v>
      </c>
      <c r="K1242" t="s">
        <v>45</v>
      </c>
      <c r="L1242" t="s">
        <v>39</v>
      </c>
      <c r="M1242" t="s">
        <v>76</v>
      </c>
      <c r="N1242">
        <f>Sheet1[[#This Row],[Quantity]]*Sheet1[[#This Row],[UnitPrice]]</f>
        <v>2303.64</v>
      </c>
    </row>
    <row r="1243" spans="1:14" x14ac:dyDescent="0.3">
      <c r="A1243" s="1">
        <v>45300</v>
      </c>
      <c r="B1243" t="s">
        <v>1928</v>
      </c>
      <c r="C1243" t="s">
        <v>73</v>
      </c>
      <c r="D1243" t="s">
        <v>74</v>
      </c>
      <c r="E1243" t="s">
        <v>27</v>
      </c>
      <c r="F1243">
        <v>9</v>
      </c>
      <c r="G1243">
        <v>370.31</v>
      </c>
      <c r="H1243" t="s">
        <v>28</v>
      </c>
      <c r="I1243" t="s">
        <v>1929</v>
      </c>
      <c r="J1243" t="s">
        <v>30</v>
      </c>
      <c r="K1243" t="s">
        <v>21</v>
      </c>
      <c r="L1243" t="s">
        <v>39</v>
      </c>
      <c r="M1243" t="s">
        <v>84</v>
      </c>
      <c r="N1243">
        <f>Sheet1[[#This Row],[Quantity]]*Sheet1[[#This Row],[UnitPrice]]</f>
        <v>3332.79</v>
      </c>
    </row>
    <row r="1244" spans="1:14" x14ac:dyDescent="0.3">
      <c r="A1244" s="1">
        <v>45461</v>
      </c>
      <c r="B1244" t="s">
        <v>1930</v>
      </c>
      <c r="C1244" t="s">
        <v>51</v>
      </c>
      <c r="D1244" t="s">
        <v>16</v>
      </c>
      <c r="E1244" t="s">
        <v>42</v>
      </c>
      <c r="F1244">
        <v>7</v>
      </c>
      <c r="G1244">
        <v>97.86</v>
      </c>
      <c r="H1244" t="s">
        <v>68</v>
      </c>
      <c r="I1244" t="s">
        <v>1931</v>
      </c>
      <c r="J1244" t="s">
        <v>58</v>
      </c>
      <c r="K1244" t="s">
        <v>21</v>
      </c>
      <c r="L1244" t="s">
        <v>22</v>
      </c>
      <c r="M1244" t="s">
        <v>84</v>
      </c>
      <c r="N1244">
        <f>Sheet1[[#This Row],[Quantity]]*Sheet1[[#This Row],[UnitPrice]]</f>
        <v>685.02</v>
      </c>
    </row>
    <row r="1245" spans="1:14" x14ac:dyDescent="0.3">
      <c r="A1245" s="1">
        <v>45294</v>
      </c>
      <c r="B1245" t="s">
        <v>1909</v>
      </c>
      <c r="C1245" t="s">
        <v>15</v>
      </c>
      <c r="D1245" t="s">
        <v>74</v>
      </c>
      <c r="E1245" t="s">
        <v>35</v>
      </c>
      <c r="F1245">
        <v>9</v>
      </c>
      <c r="G1245">
        <v>247.25</v>
      </c>
      <c r="H1245" t="s">
        <v>18</v>
      </c>
      <c r="I1245" t="s">
        <v>1932</v>
      </c>
      <c r="J1245" t="s">
        <v>20</v>
      </c>
      <c r="K1245" t="s">
        <v>59</v>
      </c>
      <c r="L1245" t="s">
        <v>39</v>
      </c>
      <c r="M1245" t="s">
        <v>76</v>
      </c>
      <c r="N1245">
        <f>Sheet1[[#This Row],[Quantity]]*Sheet1[[#This Row],[UnitPrice]]</f>
        <v>2225.25</v>
      </c>
    </row>
    <row r="1246" spans="1:14" x14ac:dyDescent="0.3">
      <c r="A1246" s="1">
        <v>45388</v>
      </c>
      <c r="B1246" t="s">
        <v>1684</v>
      </c>
      <c r="C1246" t="s">
        <v>34</v>
      </c>
      <c r="D1246" t="s">
        <v>26</v>
      </c>
      <c r="E1246" t="s">
        <v>27</v>
      </c>
      <c r="F1246">
        <v>2</v>
      </c>
      <c r="G1246">
        <v>215.61</v>
      </c>
      <c r="H1246" t="s">
        <v>36</v>
      </c>
      <c r="I1246" t="s">
        <v>1933</v>
      </c>
      <c r="J1246" t="s">
        <v>58</v>
      </c>
      <c r="K1246" t="s">
        <v>45</v>
      </c>
      <c r="L1246" t="s">
        <v>39</v>
      </c>
      <c r="M1246" t="s">
        <v>23</v>
      </c>
      <c r="N1246">
        <f>Sheet1[[#This Row],[Quantity]]*Sheet1[[#This Row],[UnitPrice]]</f>
        <v>431.22</v>
      </c>
    </row>
    <row r="1247" spans="1:14" x14ac:dyDescent="0.3">
      <c r="A1247" s="1">
        <v>45009</v>
      </c>
      <c r="B1247" t="s">
        <v>1934</v>
      </c>
      <c r="C1247" t="s">
        <v>63</v>
      </c>
      <c r="D1247" t="s">
        <v>74</v>
      </c>
      <c r="E1247" t="s">
        <v>64</v>
      </c>
      <c r="F1247">
        <v>5</v>
      </c>
      <c r="G1247">
        <v>64.05</v>
      </c>
      <c r="H1247" t="s">
        <v>53</v>
      </c>
      <c r="I1247" t="s">
        <v>1935</v>
      </c>
      <c r="J1247" t="s">
        <v>20</v>
      </c>
      <c r="K1247" t="s">
        <v>31</v>
      </c>
      <c r="L1247" t="s">
        <v>39</v>
      </c>
      <c r="M1247" t="s">
        <v>40</v>
      </c>
      <c r="N1247">
        <f>Sheet1[[#This Row],[Quantity]]*Sheet1[[#This Row],[UnitPrice]]</f>
        <v>320.25</v>
      </c>
    </row>
    <row r="1248" spans="1:14" x14ac:dyDescent="0.3">
      <c r="A1248" s="1">
        <v>45821</v>
      </c>
      <c r="B1248" t="s">
        <v>1936</v>
      </c>
      <c r="C1248" t="s">
        <v>78</v>
      </c>
      <c r="D1248" t="s">
        <v>26</v>
      </c>
      <c r="E1248" t="s">
        <v>42</v>
      </c>
      <c r="F1248">
        <v>9</v>
      </c>
      <c r="G1248">
        <v>25.13</v>
      </c>
      <c r="H1248" t="s">
        <v>68</v>
      </c>
      <c r="I1248" t="s">
        <v>1937</v>
      </c>
      <c r="J1248" t="s">
        <v>38</v>
      </c>
      <c r="K1248" t="s">
        <v>21</v>
      </c>
      <c r="L1248" t="s">
        <v>39</v>
      </c>
      <c r="M1248" t="s">
        <v>40</v>
      </c>
      <c r="N1248">
        <f>Sheet1[[#This Row],[Quantity]]*Sheet1[[#This Row],[UnitPrice]]</f>
        <v>226.17</v>
      </c>
    </row>
    <row r="1249" spans="1:14" x14ac:dyDescent="0.3">
      <c r="A1249" s="1">
        <v>45339</v>
      </c>
      <c r="B1249" t="s">
        <v>1445</v>
      </c>
      <c r="C1249" t="s">
        <v>63</v>
      </c>
      <c r="D1249" t="s">
        <v>47</v>
      </c>
      <c r="E1249" t="s">
        <v>35</v>
      </c>
      <c r="F1249">
        <v>3</v>
      </c>
      <c r="G1249">
        <v>62.74</v>
      </c>
      <c r="H1249" t="s">
        <v>68</v>
      </c>
      <c r="I1249" t="s">
        <v>1938</v>
      </c>
      <c r="J1249" t="s">
        <v>38</v>
      </c>
      <c r="K1249" t="s">
        <v>45</v>
      </c>
      <c r="L1249" t="s">
        <v>60</v>
      </c>
      <c r="M1249" t="s">
        <v>23</v>
      </c>
      <c r="N1249">
        <f>Sheet1[[#This Row],[Quantity]]*Sheet1[[#This Row],[UnitPrice]]</f>
        <v>188.22</v>
      </c>
    </row>
    <row r="1250" spans="1:14" x14ac:dyDescent="0.3">
      <c r="A1250" s="1">
        <v>45044</v>
      </c>
      <c r="B1250" t="s">
        <v>1653</v>
      </c>
      <c r="C1250" t="s">
        <v>101</v>
      </c>
      <c r="D1250" t="s">
        <v>16</v>
      </c>
      <c r="E1250" t="s">
        <v>17</v>
      </c>
      <c r="F1250">
        <v>7</v>
      </c>
      <c r="G1250">
        <v>152.62</v>
      </c>
      <c r="H1250" t="s">
        <v>18</v>
      </c>
      <c r="I1250" t="s">
        <v>1939</v>
      </c>
      <c r="J1250" t="s">
        <v>20</v>
      </c>
      <c r="K1250" t="s">
        <v>45</v>
      </c>
      <c r="L1250" t="s">
        <v>22</v>
      </c>
      <c r="M1250" t="s">
        <v>40</v>
      </c>
      <c r="N1250">
        <f>Sheet1[[#This Row],[Quantity]]*Sheet1[[#This Row],[UnitPrice]]</f>
        <v>1068.3400000000001</v>
      </c>
    </row>
    <row r="1251" spans="1:14" x14ac:dyDescent="0.3">
      <c r="A1251" s="1">
        <v>45172</v>
      </c>
      <c r="B1251" t="s">
        <v>379</v>
      </c>
      <c r="C1251" t="s">
        <v>15</v>
      </c>
      <c r="D1251" t="s">
        <v>26</v>
      </c>
      <c r="E1251" t="s">
        <v>52</v>
      </c>
      <c r="F1251">
        <v>4</v>
      </c>
      <c r="G1251">
        <v>96.21</v>
      </c>
      <c r="H1251" t="s">
        <v>53</v>
      </c>
      <c r="I1251" t="s">
        <v>1940</v>
      </c>
      <c r="J1251" t="s">
        <v>30</v>
      </c>
      <c r="K1251" t="s">
        <v>45</v>
      </c>
      <c r="L1251" t="s">
        <v>60</v>
      </c>
      <c r="M1251" t="s">
        <v>61</v>
      </c>
      <c r="N1251">
        <f>Sheet1[[#This Row],[Quantity]]*Sheet1[[#This Row],[UnitPrice]]</f>
        <v>384.84</v>
      </c>
    </row>
    <row r="1252" spans="1:14" x14ac:dyDescent="0.3">
      <c r="A1252" s="1">
        <v>45216</v>
      </c>
      <c r="B1252" t="s">
        <v>1941</v>
      </c>
      <c r="C1252" t="s">
        <v>73</v>
      </c>
      <c r="D1252" t="s">
        <v>16</v>
      </c>
      <c r="E1252" t="s">
        <v>27</v>
      </c>
      <c r="F1252">
        <v>6</v>
      </c>
      <c r="G1252">
        <v>34.020000000000003</v>
      </c>
      <c r="H1252" t="s">
        <v>28</v>
      </c>
      <c r="I1252" t="s">
        <v>1942</v>
      </c>
      <c r="J1252" t="s">
        <v>30</v>
      </c>
      <c r="K1252" t="s">
        <v>31</v>
      </c>
      <c r="L1252" t="s">
        <v>22</v>
      </c>
      <c r="M1252" t="s">
        <v>84</v>
      </c>
      <c r="N1252">
        <f>Sheet1[[#This Row],[Quantity]]*Sheet1[[#This Row],[UnitPrice]]</f>
        <v>204.12</v>
      </c>
    </row>
    <row r="1253" spans="1:14" x14ac:dyDescent="0.3">
      <c r="A1253" s="1">
        <v>45106</v>
      </c>
      <c r="B1253" t="s">
        <v>700</v>
      </c>
      <c r="C1253" t="s">
        <v>25</v>
      </c>
      <c r="D1253" t="s">
        <v>26</v>
      </c>
      <c r="E1253" t="s">
        <v>42</v>
      </c>
      <c r="F1253">
        <v>3</v>
      </c>
      <c r="G1253">
        <v>372.33</v>
      </c>
      <c r="H1253" t="s">
        <v>36</v>
      </c>
      <c r="I1253" t="s">
        <v>1943</v>
      </c>
      <c r="J1253" t="s">
        <v>38</v>
      </c>
      <c r="K1253" t="s">
        <v>31</v>
      </c>
      <c r="L1253" t="s">
        <v>60</v>
      </c>
      <c r="M1253" t="s">
        <v>32</v>
      </c>
      <c r="N1253">
        <f>Sheet1[[#This Row],[Quantity]]*Sheet1[[#This Row],[UnitPrice]]</f>
        <v>1116.99</v>
      </c>
    </row>
    <row r="1254" spans="1:14" x14ac:dyDescent="0.3">
      <c r="A1254" s="1">
        <v>45035</v>
      </c>
      <c r="B1254" t="s">
        <v>572</v>
      </c>
      <c r="C1254" t="s">
        <v>15</v>
      </c>
      <c r="D1254" t="s">
        <v>74</v>
      </c>
      <c r="E1254" t="s">
        <v>42</v>
      </c>
      <c r="F1254">
        <v>7</v>
      </c>
      <c r="G1254">
        <v>291.13</v>
      </c>
      <c r="H1254" t="s">
        <v>68</v>
      </c>
      <c r="I1254" t="s">
        <v>1944</v>
      </c>
      <c r="J1254" t="s">
        <v>58</v>
      </c>
      <c r="K1254" t="s">
        <v>59</v>
      </c>
      <c r="L1254" t="s">
        <v>60</v>
      </c>
      <c r="M1254" t="s">
        <v>76</v>
      </c>
      <c r="N1254">
        <f>Sheet1[[#This Row],[Quantity]]*Sheet1[[#This Row],[UnitPrice]]</f>
        <v>2037.9099999999999</v>
      </c>
    </row>
    <row r="1255" spans="1:14" x14ac:dyDescent="0.3">
      <c r="A1255" s="1">
        <v>45398</v>
      </c>
      <c r="B1255" t="s">
        <v>1945</v>
      </c>
      <c r="C1255" t="s">
        <v>25</v>
      </c>
      <c r="D1255" t="s">
        <v>47</v>
      </c>
      <c r="E1255" t="s">
        <v>35</v>
      </c>
      <c r="F1255">
        <v>6</v>
      </c>
      <c r="G1255">
        <v>370.61</v>
      </c>
      <c r="H1255" t="s">
        <v>36</v>
      </c>
      <c r="I1255" t="s">
        <v>1946</v>
      </c>
      <c r="J1255" t="s">
        <v>58</v>
      </c>
      <c r="K1255" t="s">
        <v>31</v>
      </c>
      <c r="L1255" t="s">
        <v>22</v>
      </c>
      <c r="M1255" t="s">
        <v>84</v>
      </c>
      <c r="N1255">
        <f>Sheet1[[#This Row],[Quantity]]*Sheet1[[#This Row],[UnitPrice]]</f>
        <v>2223.66</v>
      </c>
    </row>
    <row r="1256" spans="1:14" x14ac:dyDescent="0.3">
      <c r="A1256" s="1">
        <v>45482</v>
      </c>
      <c r="B1256" t="s">
        <v>363</v>
      </c>
      <c r="C1256" t="s">
        <v>73</v>
      </c>
      <c r="D1256" t="s">
        <v>74</v>
      </c>
      <c r="E1256" t="s">
        <v>67</v>
      </c>
      <c r="F1256">
        <v>7</v>
      </c>
      <c r="G1256">
        <v>73</v>
      </c>
      <c r="H1256" t="s">
        <v>68</v>
      </c>
      <c r="I1256" t="s">
        <v>1947</v>
      </c>
      <c r="J1256" t="s">
        <v>30</v>
      </c>
      <c r="K1256" t="s">
        <v>45</v>
      </c>
      <c r="L1256" t="s">
        <v>60</v>
      </c>
      <c r="M1256" t="s">
        <v>84</v>
      </c>
      <c r="N1256">
        <f>Sheet1[[#This Row],[Quantity]]*Sheet1[[#This Row],[UnitPrice]]</f>
        <v>511</v>
      </c>
    </row>
    <row r="1257" spans="1:14" x14ac:dyDescent="0.3">
      <c r="A1257" s="1">
        <v>45791</v>
      </c>
      <c r="B1257" t="s">
        <v>162</v>
      </c>
      <c r="C1257" t="s">
        <v>78</v>
      </c>
      <c r="D1257" t="s">
        <v>26</v>
      </c>
      <c r="E1257" t="s">
        <v>27</v>
      </c>
      <c r="F1257">
        <v>4</v>
      </c>
      <c r="G1257">
        <v>95.77</v>
      </c>
      <c r="H1257" t="s">
        <v>68</v>
      </c>
      <c r="I1257" t="s">
        <v>1948</v>
      </c>
      <c r="J1257" t="s">
        <v>38</v>
      </c>
      <c r="K1257" t="s">
        <v>21</v>
      </c>
      <c r="L1257" t="s">
        <v>22</v>
      </c>
      <c r="M1257" t="s">
        <v>76</v>
      </c>
      <c r="N1257">
        <f>Sheet1[[#This Row],[Quantity]]*Sheet1[[#This Row],[UnitPrice]]</f>
        <v>383.08</v>
      </c>
    </row>
    <row r="1258" spans="1:14" x14ac:dyDescent="0.3">
      <c r="A1258" s="1">
        <v>45623</v>
      </c>
      <c r="B1258" t="s">
        <v>1106</v>
      </c>
      <c r="C1258" t="s">
        <v>73</v>
      </c>
      <c r="D1258" t="s">
        <v>47</v>
      </c>
      <c r="E1258" t="s">
        <v>64</v>
      </c>
      <c r="F1258">
        <v>8</v>
      </c>
      <c r="G1258">
        <v>142.71</v>
      </c>
      <c r="H1258" t="s">
        <v>68</v>
      </c>
      <c r="I1258" t="s">
        <v>1949</v>
      </c>
      <c r="J1258" t="s">
        <v>58</v>
      </c>
      <c r="K1258" t="s">
        <v>21</v>
      </c>
      <c r="L1258" t="s">
        <v>39</v>
      </c>
      <c r="M1258" t="s">
        <v>76</v>
      </c>
      <c r="N1258">
        <f>Sheet1[[#This Row],[Quantity]]*Sheet1[[#This Row],[UnitPrice]]</f>
        <v>1141.68</v>
      </c>
    </row>
    <row r="1259" spans="1:14" x14ac:dyDescent="0.3">
      <c r="A1259" s="1">
        <v>45667</v>
      </c>
      <c r="B1259" t="s">
        <v>993</v>
      </c>
      <c r="C1259" t="s">
        <v>101</v>
      </c>
      <c r="D1259" t="s">
        <v>47</v>
      </c>
      <c r="E1259" t="s">
        <v>35</v>
      </c>
      <c r="F1259">
        <v>4</v>
      </c>
      <c r="G1259">
        <v>258.23</v>
      </c>
      <c r="H1259" t="s">
        <v>36</v>
      </c>
      <c r="I1259" t="s">
        <v>1950</v>
      </c>
      <c r="J1259" t="s">
        <v>38</v>
      </c>
      <c r="K1259" t="s">
        <v>21</v>
      </c>
      <c r="L1259" t="s">
        <v>39</v>
      </c>
      <c r="M1259" t="s">
        <v>40</v>
      </c>
      <c r="N1259">
        <f>Sheet1[[#This Row],[Quantity]]*Sheet1[[#This Row],[UnitPrice]]</f>
        <v>1032.92</v>
      </c>
    </row>
    <row r="1260" spans="1:14" x14ac:dyDescent="0.3">
      <c r="A1260" s="1">
        <v>45078</v>
      </c>
      <c r="B1260" t="s">
        <v>1951</v>
      </c>
      <c r="C1260" t="s">
        <v>63</v>
      </c>
      <c r="D1260" t="s">
        <v>26</v>
      </c>
      <c r="E1260" t="s">
        <v>27</v>
      </c>
      <c r="F1260">
        <v>10</v>
      </c>
      <c r="G1260">
        <v>10.26</v>
      </c>
      <c r="H1260" t="s">
        <v>18</v>
      </c>
      <c r="I1260" t="s">
        <v>1952</v>
      </c>
      <c r="J1260" t="s">
        <v>30</v>
      </c>
      <c r="K1260" t="s">
        <v>31</v>
      </c>
      <c r="L1260" t="s">
        <v>39</v>
      </c>
      <c r="M1260" t="s">
        <v>32</v>
      </c>
      <c r="N1260">
        <f>Sheet1[[#This Row],[Quantity]]*Sheet1[[#This Row],[UnitPrice]]</f>
        <v>102.6</v>
      </c>
    </row>
    <row r="1261" spans="1:14" x14ac:dyDescent="0.3">
      <c r="A1261" s="1">
        <v>45022</v>
      </c>
      <c r="B1261" t="s">
        <v>1953</v>
      </c>
      <c r="C1261" t="s">
        <v>15</v>
      </c>
      <c r="D1261" t="s">
        <v>26</v>
      </c>
      <c r="E1261" t="s">
        <v>64</v>
      </c>
      <c r="F1261">
        <v>6</v>
      </c>
      <c r="G1261">
        <v>186.47</v>
      </c>
      <c r="H1261" t="s">
        <v>28</v>
      </c>
      <c r="I1261" t="s">
        <v>1954</v>
      </c>
      <c r="J1261" t="s">
        <v>44</v>
      </c>
      <c r="K1261" t="s">
        <v>45</v>
      </c>
      <c r="L1261" t="s">
        <v>22</v>
      </c>
      <c r="M1261" t="s">
        <v>32</v>
      </c>
      <c r="N1261">
        <f>Sheet1[[#This Row],[Quantity]]*Sheet1[[#This Row],[UnitPrice]]</f>
        <v>1118.82</v>
      </c>
    </row>
    <row r="1262" spans="1:14" x14ac:dyDescent="0.3">
      <c r="A1262" s="1">
        <v>45250</v>
      </c>
      <c r="B1262" t="s">
        <v>1540</v>
      </c>
      <c r="C1262" t="s">
        <v>73</v>
      </c>
      <c r="D1262" t="s">
        <v>74</v>
      </c>
      <c r="E1262" t="s">
        <v>17</v>
      </c>
      <c r="F1262">
        <v>5</v>
      </c>
      <c r="G1262">
        <v>366.33</v>
      </c>
      <c r="H1262" t="s">
        <v>53</v>
      </c>
      <c r="I1262" t="s">
        <v>1955</v>
      </c>
      <c r="J1262" t="s">
        <v>58</v>
      </c>
      <c r="K1262" t="s">
        <v>59</v>
      </c>
      <c r="L1262" t="s">
        <v>39</v>
      </c>
      <c r="M1262" t="s">
        <v>49</v>
      </c>
      <c r="N1262">
        <f>Sheet1[[#This Row],[Quantity]]*Sheet1[[#This Row],[UnitPrice]]</f>
        <v>1831.6499999999999</v>
      </c>
    </row>
    <row r="1263" spans="1:14" x14ac:dyDescent="0.3">
      <c r="A1263" s="1">
        <v>45401</v>
      </c>
      <c r="B1263" t="s">
        <v>489</v>
      </c>
      <c r="C1263" t="s">
        <v>25</v>
      </c>
      <c r="D1263" t="s">
        <v>16</v>
      </c>
      <c r="E1263" t="s">
        <v>17</v>
      </c>
      <c r="F1263">
        <v>1</v>
      </c>
      <c r="G1263">
        <v>140.06</v>
      </c>
      <c r="H1263" t="s">
        <v>53</v>
      </c>
      <c r="I1263" t="s">
        <v>1956</v>
      </c>
      <c r="J1263" t="s">
        <v>38</v>
      </c>
      <c r="K1263" t="s">
        <v>59</v>
      </c>
      <c r="L1263" t="s">
        <v>39</v>
      </c>
      <c r="M1263" t="s">
        <v>40</v>
      </c>
      <c r="N1263">
        <f>Sheet1[[#This Row],[Quantity]]*Sheet1[[#This Row],[UnitPrice]]</f>
        <v>140.06</v>
      </c>
    </row>
    <row r="1264" spans="1:14" x14ac:dyDescent="0.3">
      <c r="A1264" s="1">
        <v>45103</v>
      </c>
      <c r="B1264" t="s">
        <v>822</v>
      </c>
      <c r="C1264" t="s">
        <v>34</v>
      </c>
      <c r="D1264" t="s">
        <v>74</v>
      </c>
      <c r="E1264" t="s">
        <v>67</v>
      </c>
      <c r="F1264">
        <v>5</v>
      </c>
      <c r="G1264">
        <v>214.22</v>
      </c>
      <c r="H1264" t="s">
        <v>36</v>
      </c>
      <c r="I1264" t="s">
        <v>1957</v>
      </c>
      <c r="J1264" t="s">
        <v>44</v>
      </c>
      <c r="K1264" t="s">
        <v>31</v>
      </c>
      <c r="L1264" t="s">
        <v>22</v>
      </c>
      <c r="M1264" t="s">
        <v>49</v>
      </c>
      <c r="N1264">
        <f>Sheet1[[#This Row],[Quantity]]*Sheet1[[#This Row],[UnitPrice]]</f>
        <v>1071.0999999999999</v>
      </c>
    </row>
    <row r="1265" spans="1:14" x14ac:dyDescent="0.3">
      <c r="A1265" s="1">
        <v>45359</v>
      </c>
      <c r="B1265" t="s">
        <v>1126</v>
      </c>
      <c r="C1265" t="s">
        <v>25</v>
      </c>
      <c r="D1265" t="s">
        <v>26</v>
      </c>
      <c r="E1265" t="s">
        <v>35</v>
      </c>
      <c r="F1265">
        <v>5</v>
      </c>
      <c r="G1265">
        <v>99.54</v>
      </c>
      <c r="H1265" t="s">
        <v>68</v>
      </c>
      <c r="I1265" t="s">
        <v>1958</v>
      </c>
      <c r="J1265" t="s">
        <v>38</v>
      </c>
      <c r="K1265" t="s">
        <v>59</v>
      </c>
      <c r="L1265" t="s">
        <v>22</v>
      </c>
      <c r="M1265" t="s">
        <v>40</v>
      </c>
      <c r="N1265">
        <f>Sheet1[[#This Row],[Quantity]]*Sheet1[[#This Row],[UnitPrice]]</f>
        <v>497.70000000000005</v>
      </c>
    </row>
    <row r="1266" spans="1:14" x14ac:dyDescent="0.3">
      <c r="A1266" s="1">
        <v>45263</v>
      </c>
      <c r="B1266" t="s">
        <v>277</v>
      </c>
      <c r="C1266" t="s">
        <v>63</v>
      </c>
      <c r="D1266" t="s">
        <v>16</v>
      </c>
      <c r="E1266" t="s">
        <v>35</v>
      </c>
      <c r="F1266">
        <v>8</v>
      </c>
      <c r="G1266">
        <v>258.17</v>
      </c>
      <c r="H1266" t="s">
        <v>68</v>
      </c>
      <c r="I1266" t="s">
        <v>1959</v>
      </c>
      <c r="J1266" t="s">
        <v>20</v>
      </c>
      <c r="K1266" t="s">
        <v>59</v>
      </c>
      <c r="L1266" t="s">
        <v>60</v>
      </c>
      <c r="M1266" t="s">
        <v>61</v>
      </c>
      <c r="N1266">
        <f>Sheet1[[#This Row],[Quantity]]*Sheet1[[#This Row],[UnitPrice]]</f>
        <v>2065.36</v>
      </c>
    </row>
    <row r="1267" spans="1:14" x14ac:dyDescent="0.3">
      <c r="A1267" s="1">
        <v>45410</v>
      </c>
      <c r="B1267" t="s">
        <v>1960</v>
      </c>
      <c r="C1267" t="s">
        <v>34</v>
      </c>
      <c r="D1267" t="s">
        <v>74</v>
      </c>
      <c r="E1267" t="s">
        <v>17</v>
      </c>
      <c r="F1267">
        <v>8</v>
      </c>
      <c r="G1267">
        <v>269.14999999999998</v>
      </c>
      <c r="H1267" t="s">
        <v>53</v>
      </c>
      <c r="I1267" t="s">
        <v>1961</v>
      </c>
      <c r="J1267" t="s">
        <v>30</v>
      </c>
      <c r="K1267" t="s">
        <v>21</v>
      </c>
      <c r="L1267" t="s">
        <v>39</v>
      </c>
      <c r="M1267" t="s">
        <v>61</v>
      </c>
      <c r="N1267">
        <f>Sheet1[[#This Row],[Quantity]]*Sheet1[[#This Row],[UnitPrice]]</f>
        <v>2153.1999999999998</v>
      </c>
    </row>
    <row r="1268" spans="1:14" x14ac:dyDescent="0.3">
      <c r="A1268" s="1">
        <v>45127</v>
      </c>
      <c r="B1268" t="s">
        <v>949</v>
      </c>
      <c r="C1268" t="s">
        <v>56</v>
      </c>
      <c r="D1268" t="s">
        <v>26</v>
      </c>
      <c r="E1268" t="s">
        <v>17</v>
      </c>
      <c r="F1268">
        <v>6</v>
      </c>
      <c r="G1268">
        <v>206.93</v>
      </c>
      <c r="H1268" t="s">
        <v>28</v>
      </c>
      <c r="I1268" t="s">
        <v>1962</v>
      </c>
      <c r="J1268" t="s">
        <v>30</v>
      </c>
      <c r="K1268" t="s">
        <v>21</v>
      </c>
      <c r="L1268" t="s">
        <v>60</v>
      </c>
      <c r="M1268" t="s">
        <v>32</v>
      </c>
      <c r="N1268">
        <f>Sheet1[[#This Row],[Quantity]]*Sheet1[[#This Row],[UnitPrice]]</f>
        <v>1241.58</v>
      </c>
    </row>
    <row r="1269" spans="1:14" x14ac:dyDescent="0.3">
      <c r="A1269" s="1">
        <v>44985</v>
      </c>
      <c r="B1269" t="s">
        <v>397</v>
      </c>
      <c r="C1269" t="s">
        <v>78</v>
      </c>
      <c r="D1269" t="s">
        <v>16</v>
      </c>
      <c r="E1269" t="s">
        <v>64</v>
      </c>
      <c r="F1269">
        <v>4</v>
      </c>
      <c r="G1269">
        <v>380.5</v>
      </c>
      <c r="H1269" t="s">
        <v>53</v>
      </c>
      <c r="I1269" t="s">
        <v>1963</v>
      </c>
      <c r="J1269" t="s">
        <v>38</v>
      </c>
      <c r="K1269" t="s">
        <v>59</v>
      </c>
      <c r="L1269" t="s">
        <v>22</v>
      </c>
      <c r="M1269" t="s">
        <v>84</v>
      </c>
      <c r="N1269">
        <f>Sheet1[[#This Row],[Quantity]]*Sheet1[[#This Row],[UnitPrice]]</f>
        <v>1522</v>
      </c>
    </row>
    <row r="1270" spans="1:14" x14ac:dyDescent="0.3">
      <c r="A1270" s="1">
        <v>45042</v>
      </c>
      <c r="B1270" t="s">
        <v>373</v>
      </c>
      <c r="C1270" t="s">
        <v>25</v>
      </c>
      <c r="D1270" t="s">
        <v>74</v>
      </c>
      <c r="E1270" t="s">
        <v>52</v>
      </c>
      <c r="F1270">
        <v>1</v>
      </c>
      <c r="G1270">
        <v>170.79</v>
      </c>
      <c r="H1270" t="s">
        <v>53</v>
      </c>
      <c r="I1270" t="s">
        <v>1964</v>
      </c>
      <c r="J1270" t="s">
        <v>44</v>
      </c>
      <c r="K1270" t="s">
        <v>21</v>
      </c>
      <c r="L1270" t="s">
        <v>39</v>
      </c>
      <c r="M1270" t="s">
        <v>76</v>
      </c>
      <c r="N1270">
        <f>Sheet1[[#This Row],[Quantity]]*Sheet1[[#This Row],[UnitPrice]]</f>
        <v>170.79</v>
      </c>
    </row>
    <row r="1271" spans="1:14" x14ac:dyDescent="0.3">
      <c r="A1271" s="1">
        <v>44971</v>
      </c>
      <c r="B1271" t="s">
        <v>160</v>
      </c>
      <c r="C1271" t="s">
        <v>56</v>
      </c>
      <c r="D1271" t="s">
        <v>74</v>
      </c>
      <c r="E1271" t="s">
        <v>17</v>
      </c>
      <c r="F1271">
        <v>8</v>
      </c>
      <c r="G1271">
        <v>263.04000000000002</v>
      </c>
      <c r="H1271" t="s">
        <v>18</v>
      </c>
      <c r="I1271" t="s">
        <v>1965</v>
      </c>
      <c r="J1271" t="s">
        <v>44</v>
      </c>
      <c r="K1271" t="s">
        <v>45</v>
      </c>
      <c r="L1271" t="s">
        <v>22</v>
      </c>
      <c r="M1271" t="s">
        <v>84</v>
      </c>
      <c r="N1271">
        <f>Sheet1[[#This Row],[Quantity]]*Sheet1[[#This Row],[UnitPrice]]</f>
        <v>2104.3200000000002</v>
      </c>
    </row>
    <row r="1272" spans="1:14" x14ac:dyDescent="0.3">
      <c r="A1272" s="1">
        <v>45150</v>
      </c>
      <c r="B1272" t="s">
        <v>167</v>
      </c>
      <c r="C1272" t="s">
        <v>78</v>
      </c>
      <c r="D1272" t="s">
        <v>74</v>
      </c>
      <c r="E1272" t="s">
        <v>64</v>
      </c>
      <c r="F1272">
        <v>8</v>
      </c>
      <c r="G1272">
        <v>228.64</v>
      </c>
      <c r="H1272" t="s">
        <v>18</v>
      </c>
      <c r="I1272" t="s">
        <v>1966</v>
      </c>
      <c r="J1272" t="s">
        <v>44</v>
      </c>
      <c r="K1272" t="s">
        <v>45</v>
      </c>
      <c r="L1272" t="s">
        <v>22</v>
      </c>
      <c r="M1272" t="s">
        <v>23</v>
      </c>
      <c r="N1272">
        <f>Sheet1[[#This Row],[Quantity]]*Sheet1[[#This Row],[UnitPrice]]</f>
        <v>1829.12</v>
      </c>
    </row>
    <row r="1273" spans="1:14" x14ac:dyDescent="0.3">
      <c r="A1273" s="1">
        <v>45730</v>
      </c>
      <c r="B1273" t="s">
        <v>246</v>
      </c>
      <c r="C1273" t="s">
        <v>78</v>
      </c>
      <c r="D1273" t="s">
        <v>74</v>
      </c>
      <c r="E1273" t="s">
        <v>67</v>
      </c>
      <c r="F1273">
        <v>9</v>
      </c>
      <c r="G1273">
        <v>356.43</v>
      </c>
      <c r="H1273" t="s">
        <v>36</v>
      </c>
      <c r="I1273" t="s">
        <v>1967</v>
      </c>
      <c r="J1273" t="s">
        <v>58</v>
      </c>
      <c r="K1273" t="s">
        <v>21</v>
      </c>
      <c r="L1273" t="s">
        <v>39</v>
      </c>
      <c r="M1273" t="s">
        <v>40</v>
      </c>
      <c r="N1273">
        <f>Sheet1[[#This Row],[Quantity]]*Sheet1[[#This Row],[UnitPrice]]</f>
        <v>3207.87</v>
      </c>
    </row>
    <row r="1274" spans="1:14" x14ac:dyDescent="0.3">
      <c r="A1274" s="1">
        <v>44928</v>
      </c>
      <c r="B1274" t="s">
        <v>1968</v>
      </c>
      <c r="C1274" t="s">
        <v>63</v>
      </c>
      <c r="D1274" t="s">
        <v>16</v>
      </c>
      <c r="E1274" t="s">
        <v>27</v>
      </c>
      <c r="F1274">
        <v>8</v>
      </c>
      <c r="G1274">
        <v>279.95999999999998</v>
      </c>
      <c r="H1274" t="s">
        <v>28</v>
      </c>
      <c r="I1274" t="s">
        <v>1969</v>
      </c>
      <c r="J1274" t="s">
        <v>58</v>
      </c>
      <c r="K1274" t="s">
        <v>21</v>
      </c>
      <c r="L1274" t="s">
        <v>22</v>
      </c>
      <c r="M1274" t="s">
        <v>49</v>
      </c>
      <c r="N1274">
        <f>Sheet1[[#This Row],[Quantity]]*Sheet1[[#This Row],[UnitPrice]]</f>
        <v>2239.6799999999998</v>
      </c>
    </row>
    <row r="1275" spans="1:14" x14ac:dyDescent="0.3">
      <c r="A1275" s="1">
        <v>45072</v>
      </c>
      <c r="B1275" t="s">
        <v>1970</v>
      </c>
      <c r="C1275" t="s">
        <v>101</v>
      </c>
      <c r="D1275" t="s">
        <v>26</v>
      </c>
      <c r="E1275" t="s">
        <v>52</v>
      </c>
      <c r="F1275">
        <v>9</v>
      </c>
      <c r="G1275">
        <v>49.73</v>
      </c>
      <c r="H1275" t="s">
        <v>36</v>
      </c>
      <c r="I1275" t="s">
        <v>1971</v>
      </c>
      <c r="J1275" t="s">
        <v>30</v>
      </c>
      <c r="K1275" t="s">
        <v>59</v>
      </c>
      <c r="L1275" t="s">
        <v>60</v>
      </c>
      <c r="M1275" t="s">
        <v>40</v>
      </c>
      <c r="N1275">
        <f>Sheet1[[#This Row],[Quantity]]*Sheet1[[#This Row],[UnitPrice]]</f>
        <v>447.57</v>
      </c>
    </row>
    <row r="1276" spans="1:14" x14ac:dyDescent="0.3">
      <c r="A1276" s="1">
        <v>45710</v>
      </c>
      <c r="B1276" t="s">
        <v>82</v>
      </c>
      <c r="C1276" t="s">
        <v>63</v>
      </c>
      <c r="D1276" t="s">
        <v>74</v>
      </c>
      <c r="E1276" t="s">
        <v>17</v>
      </c>
      <c r="F1276">
        <v>3</v>
      </c>
      <c r="G1276">
        <v>372.86</v>
      </c>
      <c r="H1276" t="s">
        <v>53</v>
      </c>
      <c r="I1276" t="s">
        <v>1972</v>
      </c>
      <c r="J1276" t="s">
        <v>58</v>
      </c>
      <c r="K1276" t="s">
        <v>21</v>
      </c>
      <c r="L1276" t="s">
        <v>22</v>
      </c>
      <c r="M1276" t="s">
        <v>23</v>
      </c>
      <c r="N1276">
        <f>Sheet1[[#This Row],[Quantity]]*Sheet1[[#This Row],[UnitPrice]]</f>
        <v>1118.58</v>
      </c>
    </row>
    <row r="1277" spans="1:14" x14ac:dyDescent="0.3">
      <c r="A1277" s="1">
        <v>45489</v>
      </c>
      <c r="B1277" t="s">
        <v>1502</v>
      </c>
      <c r="C1277" t="s">
        <v>15</v>
      </c>
      <c r="D1277" t="s">
        <v>47</v>
      </c>
      <c r="E1277" t="s">
        <v>42</v>
      </c>
      <c r="F1277">
        <v>3</v>
      </c>
      <c r="G1277">
        <v>183.66</v>
      </c>
      <c r="H1277" t="s">
        <v>28</v>
      </c>
      <c r="I1277" t="s">
        <v>1973</v>
      </c>
      <c r="J1277" t="s">
        <v>20</v>
      </c>
      <c r="K1277" t="s">
        <v>21</v>
      </c>
      <c r="L1277" t="s">
        <v>39</v>
      </c>
      <c r="M1277" t="s">
        <v>84</v>
      </c>
      <c r="N1277">
        <f>Sheet1[[#This Row],[Quantity]]*Sheet1[[#This Row],[UnitPrice]]</f>
        <v>550.98</v>
      </c>
    </row>
    <row r="1278" spans="1:14" x14ac:dyDescent="0.3">
      <c r="A1278" s="1">
        <v>45727</v>
      </c>
      <c r="B1278" t="s">
        <v>603</v>
      </c>
      <c r="C1278" t="s">
        <v>51</v>
      </c>
      <c r="D1278" t="s">
        <v>74</v>
      </c>
      <c r="E1278" t="s">
        <v>27</v>
      </c>
      <c r="F1278">
        <v>6</v>
      </c>
      <c r="G1278">
        <v>119.43</v>
      </c>
      <c r="H1278" t="s">
        <v>36</v>
      </c>
      <c r="I1278" t="s">
        <v>1974</v>
      </c>
      <c r="J1278" t="s">
        <v>58</v>
      </c>
      <c r="K1278" t="s">
        <v>45</v>
      </c>
      <c r="L1278" t="s">
        <v>39</v>
      </c>
      <c r="M1278" t="s">
        <v>84</v>
      </c>
      <c r="N1278">
        <f>Sheet1[[#This Row],[Quantity]]*Sheet1[[#This Row],[UnitPrice]]</f>
        <v>716.58</v>
      </c>
    </row>
    <row r="1279" spans="1:14" x14ac:dyDescent="0.3">
      <c r="A1279" s="1">
        <v>45739</v>
      </c>
      <c r="B1279" t="s">
        <v>418</v>
      </c>
      <c r="C1279" t="s">
        <v>78</v>
      </c>
      <c r="D1279" t="s">
        <v>47</v>
      </c>
      <c r="E1279" t="s">
        <v>52</v>
      </c>
      <c r="F1279">
        <v>6</v>
      </c>
      <c r="G1279">
        <v>282.93</v>
      </c>
      <c r="H1279" t="s">
        <v>18</v>
      </c>
      <c r="I1279" t="s">
        <v>1975</v>
      </c>
      <c r="J1279" t="s">
        <v>44</v>
      </c>
      <c r="K1279" t="s">
        <v>31</v>
      </c>
      <c r="L1279" t="s">
        <v>60</v>
      </c>
      <c r="M1279" t="s">
        <v>61</v>
      </c>
      <c r="N1279">
        <f>Sheet1[[#This Row],[Quantity]]*Sheet1[[#This Row],[UnitPrice]]</f>
        <v>1697.58</v>
      </c>
    </row>
    <row r="1280" spans="1:14" x14ac:dyDescent="0.3">
      <c r="A1280" s="1">
        <v>44971</v>
      </c>
      <c r="B1280" t="s">
        <v>642</v>
      </c>
      <c r="C1280" t="s">
        <v>90</v>
      </c>
      <c r="D1280" t="s">
        <v>47</v>
      </c>
      <c r="E1280" t="s">
        <v>17</v>
      </c>
      <c r="F1280">
        <v>9</v>
      </c>
      <c r="G1280">
        <v>246.69</v>
      </c>
      <c r="H1280" t="s">
        <v>53</v>
      </c>
      <c r="I1280" t="s">
        <v>1976</v>
      </c>
      <c r="J1280" t="s">
        <v>58</v>
      </c>
      <c r="K1280" t="s">
        <v>59</v>
      </c>
      <c r="L1280" t="s">
        <v>60</v>
      </c>
      <c r="M1280" t="s">
        <v>84</v>
      </c>
      <c r="N1280">
        <f>Sheet1[[#This Row],[Quantity]]*Sheet1[[#This Row],[UnitPrice]]</f>
        <v>2220.21</v>
      </c>
    </row>
    <row r="1281" spans="1:14" x14ac:dyDescent="0.3">
      <c r="A1281" s="1">
        <v>45475</v>
      </c>
      <c r="B1281" t="s">
        <v>1977</v>
      </c>
      <c r="C1281" t="s">
        <v>101</v>
      </c>
      <c r="D1281" t="s">
        <v>16</v>
      </c>
      <c r="E1281" t="s">
        <v>17</v>
      </c>
      <c r="F1281">
        <v>7</v>
      </c>
      <c r="G1281">
        <v>269.45</v>
      </c>
      <c r="H1281" t="s">
        <v>18</v>
      </c>
      <c r="I1281" t="s">
        <v>1978</v>
      </c>
      <c r="J1281" t="s">
        <v>44</v>
      </c>
      <c r="K1281" t="s">
        <v>59</v>
      </c>
      <c r="L1281" t="s">
        <v>60</v>
      </c>
      <c r="M1281" t="s">
        <v>84</v>
      </c>
      <c r="N1281">
        <f>Sheet1[[#This Row],[Quantity]]*Sheet1[[#This Row],[UnitPrice]]</f>
        <v>1886.1499999999999</v>
      </c>
    </row>
    <row r="1282" spans="1:14" x14ac:dyDescent="0.3">
      <c r="A1282" s="1">
        <v>45228</v>
      </c>
      <c r="B1282" t="s">
        <v>1265</v>
      </c>
      <c r="C1282" t="s">
        <v>101</v>
      </c>
      <c r="D1282" t="s">
        <v>74</v>
      </c>
      <c r="E1282" t="s">
        <v>27</v>
      </c>
      <c r="F1282">
        <v>6</v>
      </c>
      <c r="G1282">
        <v>346</v>
      </c>
      <c r="H1282" t="s">
        <v>53</v>
      </c>
      <c r="I1282" t="s">
        <v>1979</v>
      </c>
      <c r="J1282" t="s">
        <v>58</v>
      </c>
      <c r="K1282" t="s">
        <v>59</v>
      </c>
      <c r="L1282" t="s">
        <v>39</v>
      </c>
      <c r="M1282" t="s">
        <v>61</v>
      </c>
      <c r="N1282">
        <f>Sheet1[[#This Row],[Quantity]]*Sheet1[[#This Row],[UnitPrice]]</f>
        <v>2076</v>
      </c>
    </row>
    <row r="1283" spans="1:14" x14ac:dyDescent="0.3">
      <c r="A1283" s="1">
        <v>44967</v>
      </c>
      <c r="B1283" t="s">
        <v>824</v>
      </c>
      <c r="C1283" t="s">
        <v>15</v>
      </c>
      <c r="D1283" t="s">
        <v>74</v>
      </c>
      <c r="E1283" t="s">
        <v>52</v>
      </c>
      <c r="F1283">
        <v>8</v>
      </c>
      <c r="G1283">
        <v>272.60000000000002</v>
      </c>
      <c r="H1283" t="s">
        <v>28</v>
      </c>
      <c r="I1283" t="s">
        <v>1980</v>
      </c>
      <c r="J1283" t="s">
        <v>20</v>
      </c>
      <c r="K1283" t="s">
        <v>21</v>
      </c>
      <c r="L1283" t="s">
        <v>60</v>
      </c>
      <c r="M1283" t="s">
        <v>40</v>
      </c>
      <c r="N1283">
        <f>Sheet1[[#This Row],[Quantity]]*Sheet1[[#This Row],[UnitPrice]]</f>
        <v>2180.8000000000002</v>
      </c>
    </row>
    <row r="1284" spans="1:14" x14ac:dyDescent="0.3">
      <c r="A1284" s="1">
        <v>45152</v>
      </c>
      <c r="B1284" t="s">
        <v>787</v>
      </c>
      <c r="C1284" t="s">
        <v>15</v>
      </c>
      <c r="D1284" t="s">
        <v>26</v>
      </c>
      <c r="E1284" t="s">
        <v>27</v>
      </c>
      <c r="F1284">
        <v>9</v>
      </c>
      <c r="G1284">
        <v>17.850000000000001</v>
      </c>
      <c r="H1284" t="s">
        <v>53</v>
      </c>
      <c r="I1284" t="s">
        <v>1981</v>
      </c>
      <c r="J1284" t="s">
        <v>38</v>
      </c>
      <c r="K1284" t="s">
        <v>31</v>
      </c>
      <c r="L1284" t="s">
        <v>22</v>
      </c>
      <c r="M1284" t="s">
        <v>49</v>
      </c>
      <c r="N1284">
        <f>Sheet1[[#This Row],[Quantity]]*Sheet1[[#This Row],[UnitPrice]]</f>
        <v>160.65</v>
      </c>
    </row>
    <row r="1285" spans="1:14" x14ac:dyDescent="0.3">
      <c r="A1285" s="1">
        <v>45098</v>
      </c>
      <c r="B1285" t="s">
        <v>844</v>
      </c>
      <c r="C1285" t="s">
        <v>51</v>
      </c>
      <c r="D1285" t="s">
        <v>16</v>
      </c>
      <c r="E1285" t="s">
        <v>17</v>
      </c>
      <c r="F1285">
        <v>10</v>
      </c>
      <c r="G1285">
        <v>368.15</v>
      </c>
      <c r="H1285" t="s">
        <v>53</v>
      </c>
      <c r="I1285" t="s">
        <v>1982</v>
      </c>
      <c r="J1285" t="s">
        <v>30</v>
      </c>
      <c r="K1285" t="s">
        <v>45</v>
      </c>
      <c r="L1285" t="s">
        <v>60</v>
      </c>
      <c r="M1285" t="s">
        <v>76</v>
      </c>
      <c r="N1285">
        <f>Sheet1[[#This Row],[Quantity]]*Sheet1[[#This Row],[UnitPrice]]</f>
        <v>3681.5</v>
      </c>
    </row>
    <row r="1286" spans="1:14" x14ac:dyDescent="0.3">
      <c r="A1286" s="1">
        <v>45349</v>
      </c>
      <c r="B1286" t="s">
        <v>1304</v>
      </c>
      <c r="C1286" t="s">
        <v>78</v>
      </c>
      <c r="D1286" t="s">
        <v>47</v>
      </c>
      <c r="E1286" t="s">
        <v>64</v>
      </c>
      <c r="F1286">
        <v>7</v>
      </c>
      <c r="G1286">
        <v>253.26</v>
      </c>
      <c r="H1286" t="s">
        <v>53</v>
      </c>
      <c r="I1286" t="s">
        <v>1983</v>
      </c>
      <c r="J1286" t="s">
        <v>30</v>
      </c>
      <c r="K1286" t="s">
        <v>31</v>
      </c>
      <c r="L1286" t="s">
        <v>22</v>
      </c>
      <c r="M1286" t="s">
        <v>84</v>
      </c>
      <c r="N1286">
        <f>Sheet1[[#This Row],[Quantity]]*Sheet1[[#This Row],[UnitPrice]]</f>
        <v>1772.82</v>
      </c>
    </row>
    <row r="1287" spans="1:14" x14ac:dyDescent="0.3">
      <c r="A1287" s="1">
        <v>45432</v>
      </c>
      <c r="B1287" t="s">
        <v>1605</v>
      </c>
      <c r="C1287" t="s">
        <v>51</v>
      </c>
      <c r="D1287" t="s">
        <v>74</v>
      </c>
      <c r="E1287" t="s">
        <v>64</v>
      </c>
      <c r="F1287">
        <v>1</v>
      </c>
      <c r="G1287">
        <v>109.97</v>
      </c>
      <c r="H1287" t="s">
        <v>68</v>
      </c>
      <c r="I1287" t="s">
        <v>1984</v>
      </c>
      <c r="J1287" t="s">
        <v>38</v>
      </c>
      <c r="K1287" t="s">
        <v>31</v>
      </c>
      <c r="L1287" t="s">
        <v>39</v>
      </c>
      <c r="M1287" t="s">
        <v>49</v>
      </c>
      <c r="N1287">
        <f>Sheet1[[#This Row],[Quantity]]*Sheet1[[#This Row],[UnitPrice]]</f>
        <v>109.97</v>
      </c>
    </row>
    <row r="1288" spans="1:14" x14ac:dyDescent="0.3">
      <c r="A1288" s="1">
        <v>45572</v>
      </c>
      <c r="B1288" t="s">
        <v>760</v>
      </c>
      <c r="C1288" t="s">
        <v>73</v>
      </c>
      <c r="D1288" t="s">
        <v>47</v>
      </c>
      <c r="E1288" t="s">
        <v>67</v>
      </c>
      <c r="F1288">
        <v>9</v>
      </c>
      <c r="G1288">
        <v>94.96</v>
      </c>
      <c r="H1288" t="s">
        <v>28</v>
      </c>
      <c r="I1288" t="s">
        <v>1985</v>
      </c>
      <c r="J1288" t="s">
        <v>44</v>
      </c>
      <c r="K1288" t="s">
        <v>45</v>
      </c>
      <c r="L1288" t="s">
        <v>22</v>
      </c>
      <c r="M1288" t="s">
        <v>49</v>
      </c>
      <c r="N1288">
        <f>Sheet1[[#This Row],[Quantity]]*Sheet1[[#This Row],[UnitPrice]]</f>
        <v>854.64</v>
      </c>
    </row>
    <row r="1289" spans="1:14" x14ac:dyDescent="0.3">
      <c r="A1289" s="1">
        <v>45057</v>
      </c>
      <c r="B1289" t="s">
        <v>233</v>
      </c>
      <c r="C1289" t="s">
        <v>34</v>
      </c>
      <c r="D1289" t="s">
        <v>47</v>
      </c>
      <c r="E1289" t="s">
        <v>17</v>
      </c>
      <c r="F1289">
        <v>8</v>
      </c>
      <c r="G1289">
        <v>267.13</v>
      </c>
      <c r="H1289" t="s">
        <v>28</v>
      </c>
      <c r="I1289" t="s">
        <v>1986</v>
      </c>
      <c r="J1289" t="s">
        <v>20</v>
      </c>
      <c r="K1289" t="s">
        <v>45</v>
      </c>
      <c r="L1289" t="s">
        <v>39</v>
      </c>
      <c r="M1289" t="s">
        <v>32</v>
      </c>
      <c r="N1289">
        <f>Sheet1[[#This Row],[Quantity]]*Sheet1[[#This Row],[UnitPrice]]</f>
        <v>2137.04</v>
      </c>
    </row>
    <row r="1290" spans="1:14" x14ac:dyDescent="0.3">
      <c r="A1290" s="1">
        <v>45095</v>
      </c>
      <c r="B1290" t="s">
        <v>1192</v>
      </c>
      <c r="C1290" t="s">
        <v>73</v>
      </c>
      <c r="D1290" t="s">
        <v>74</v>
      </c>
      <c r="E1290" t="s">
        <v>64</v>
      </c>
      <c r="F1290">
        <v>2</v>
      </c>
      <c r="G1290">
        <v>393.8</v>
      </c>
      <c r="H1290" t="s">
        <v>53</v>
      </c>
      <c r="I1290" t="s">
        <v>1987</v>
      </c>
      <c r="J1290" t="s">
        <v>30</v>
      </c>
      <c r="K1290" t="s">
        <v>45</v>
      </c>
      <c r="L1290" t="s">
        <v>60</v>
      </c>
      <c r="M1290" t="s">
        <v>61</v>
      </c>
      <c r="N1290">
        <f>Sheet1[[#This Row],[Quantity]]*Sheet1[[#This Row],[UnitPrice]]</f>
        <v>787.6</v>
      </c>
    </row>
    <row r="1291" spans="1:14" x14ac:dyDescent="0.3">
      <c r="A1291" s="1">
        <v>44989</v>
      </c>
      <c r="B1291" t="s">
        <v>1988</v>
      </c>
      <c r="C1291" t="s">
        <v>56</v>
      </c>
      <c r="D1291" t="s">
        <v>47</v>
      </c>
      <c r="E1291" t="s">
        <v>64</v>
      </c>
      <c r="F1291">
        <v>9</v>
      </c>
      <c r="G1291">
        <v>175.22</v>
      </c>
      <c r="H1291" t="s">
        <v>18</v>
      </c>
      <c r="I1291" t="s">
        <v>1989</v>
      </c>
      <c r="J1291" t="s">
        <v>38</v>
      </c>
      <c r="K1291" t="s">
        <v>59</v>
      </c>
      <c r="L1291" t="s">
        <v>22</v>
      </c>
      <c r="M1291" t="s">
        <v>23</v>
      </c>
      <c r="N1291">
        <f>Sheet1[[#This Row],[Quantity]]*Sheet1[[#This Row],[UnitPrice]]</f>
        <v>1576.98</v>
      </c>
    </row>
    <row r="1292" spans="1:14" x14ac:dyDescent="0.3">
      <c r="A1292" s="1">
        <v>45789</v>
      </c>
      <c r="B1292" t="s">
        <v>176</v>
      </c>
      <c r="C1292" t="s">
        <v>101</v>
      </c>
      <c r="D1292" t="s">
        <v>16</v>
      </c>
      <c r="E1292" t="s">
        <v>27</v>
      </c>
      <c r="F1292">
        <v>3</v>
      </c>
      <c r="G1292">
        <v>104.72</v>
      </c>
      <c r="H1292" t="s">
        <v>18</v>
      </c>
      <c r="I1292" t="s">
        <v>1990</v>
      </c>
      <c r="J1292" t="s">
        <v>38</v>
      </c>
      <c r="K1292" t="s">
        <v>45</v>
      </c>
      <c r="L1292" t="s">
        <v>22</v>
      </c>
      <c r="M1292" t="s">
        <v>49</v>
      </c>
      <c r="N1292">
        <f>Sheet1[[#This Row],[Quantity]]*Sheet1[[#This Row],[UnitPrice]]</f>
        <v>314.15999999999997</v>
      </c>
    </row>
    <row r="1293" spans="1:14" x14ac:dyDescent="0.3">
      <c r="A1293" s="1">
        <v>45480</v>
      </c>
      <c r="B1293" t="s">
        <v>121</v>
      </c>
      <c r="C1293" t="s">
        <v>56</v>
      </c>
      <c r="D1293" t="s">
        <v>74</v>
      </c>
      <c r="E1293" t="s">
        <v>35</v>
      </c>
      <c r="F1293">
        <v>1</v>
      </c>
      <c r="G1293">
        <v>231.89</v>
      </c>
      <c r="H1293" t="s">
        <v>18</v>
      </c>
      <c r="I1293" t="s">
        <v>1991</v>
      </c>
      <c r="J1293" t="s">
        <v>44</v>
      </c>
      <c r="K1293" t="s">
        <v>45</v>
      </c>
      <c r="L1293" t="s">
        <v>22</v>
      </c>
      <c r="M1293" t="s">
        <v>61</v>
      </c>
      <c r="N1293">
        <f>Sheet1[[#This Row],[Quantity]]*Sheet1[[#This Row],[UnitPrice]]</f>
        <v>231.89</v>
      </c>
    </row>
    <row r="1294" spans="1:14" x14ac:dyDescent="0.3">
      <c r="A1294" s="1">
        <v>45215</v>
      </c>
      <c r="B1294" t="s">
        <v>796</v>
      </c>
      <c r="C1294" t="s">
        <v>101</v>
      </c>
      <c r="D1294" t="s">
        <v>26</v>
      </c>
      <c r="E1294" t="s">
        <v>35</v>
      </c>
      <c r="F1294">
        <v>3</v>
      </c>
      <c r="G1294">
        <v>140.36000000000001</v>
      </c>
      <c r="H1294" t="s">
        <v>68</v>
      </c>
      <c r="I1294" t="s">
        <v>1992</v>
      </c>
      <c r="J1294" t="s">
        <v>44</v>
      </c>
      <c r="K1294" t="s">
        <v>59</v>
      </c>
      <c r="L1294" t="s">
        <v>22</v>
      </c>
      <c r="M1294" t="s">
        <v>49</v>
      </c>
      <c r="N1294">
        <f>Sheet1[[#This Row],[Quantity]]*Sheet1[[#This Row],[UnitPrice]]</f>
        <v>421.08000000000004</v>
      </c>
    </row>
    <row r="1295" spans="1:14" x14ac:dyDescent="0.3">
      <c r="A1295" s="1">
        <v>45086</v>
      </c>
      <c r="B1295" t="s">
        <v>1993</v>
      </c>
      <c r="C1295" t="s">
        <v>73</v>
      </c>
      <c r="D1295" t="s">
        <v>47</v>
      </c>
      <c r="E1295" t="s">
        <v>64</v>
      </c>
      <c r="F1295">
        <v>6</v>
      </c>
      <c r="G1295">
        <v>206.9</v>
      </c>
      <c r="H1295" t="s">
        <v>53</v>
      </c>
      <c r="I1295" t="s">
        <v>1994</v>
      </c>
      <c r="J1295" t="s">
        <v>30</v>
      </c>
      <c r="K1295" t="s">
        <v>45</v>
      </c>
      <c r="L1295" t="s">
        <v>22</v>
      </c>
      <c r="M1295" t="s">
        <v>40</v>
      </c>
      <c r="N1295">
        <f>Sheet1[[#This Row],[Quantity]]*Sheet1[[#This Row],[UnitPrice]]</f>
        <v>1241.4000000000001</v>
      </c>
    </row>
    <row r="1296" spans="1:14" x14ac:dyDescent="0.3">
      <c r="A1296" s="1">
        <v>45024</v>
      </c>
      <c r="B1296" t="s">
        <v>1995</v>
      </c>
      <c r="C1296" t="s">
        <v>101</v>
      </c>
      <c r="D1296" t="s">
        <v>26</v>
      </c>
      <c r="E1296" t="s">
        <v>42</v>
      </c>
      <c r="F1296">
        <v>8</v>
      </c>
      <c r="G1296">
        <v>227.59</v>
      </c>
      <c r="H1296" t="s">
        <v>28</v>
      </c>
      <c r="I1296" t="s">
        <v>1996</v>
      </c>
      <c r="J1296" t="s">
        <v>38</v>
      </c>
      <c r="K1296" t="s">
        <v>59</v>
      </c>
      <c r="L1296" t="s">
        <v>22</v>
      </c>
      <c r="M1296" t="s">
        <v>23</v>
      </c>
      <c r="N1296">
        <f>Sheet1[[#This Row],[Quantity]]*Sheet1[[#This Row],[UnitPrice]]</f>
        <v>1820.72</v>
      </c>
    </row>
    <row r="1297" spans="1:14" x14ac:dyDescent="0.3">
      <c r="A1297" s="1">
        <v>45394</v>
      </c>
      <c r="B1297" t="s">
        <v>1203</v>
      </c>
      <c r="C1297" t="s">
        <v>25</v>
      </c>
      <c r="D1297" t="s">
        <v>47</v>
      </c>
      <c r="E1297" t="s">
        <v>17</v>
      </c>
      <c r="F1297">
        <v>7</v>
      </c>
      <c r="G1297">
        <v>34.520000000000003</v>
      </c>
      <c r="H1297" t="s">
        <v>68</v>
      </c>
      <c r="I1297" t="s">
        <v>1997</v>
      </c>
      <c r="J1297" t="s">
        <v>20</v>
      </c>
      <c r="K1297" t="s">
        <v>31</v>
      </c>
      <c r="L1297" t="s">
        <v>22</v>
      </c>
      <c r="M1297" t="s">
        <v>40</v>
      </c>
      <c r="N1297">
        <f>Sheet1[[#This Row],[Quantity]]*Sheet1[[#This Row],[UnitPrice]]</f>
        <v>241.64000000000001</v>
      </c>
    </row>
    <row r="1298" spans="1:14" x14ac:dyDescent="0.3">
      <c r="A1298" s="1">
        <v>45654</v>
      </c>
      <c r="B1298" t="s">
        <v>1241</v>
      </c>
      <c r="C1298" t="s">
        <v>51</v>
      </c>
      <c r="D1298" t="s">
        <v>16</v>
      </c>
      <c r="E1298" t="s">
        <v>35</v>
      </c>
      <c r="F1298">
        <v>3</v>
      </c>
      <c r="G1298">
        <v>15.01</v>
      </c>
      <c r="H1298" t="s">
        <v>18</v>
      </c>
      <c r="I1298" t="s">
        <v>1998</v>
      </c>
      <c r="J1298" t="s">
        <v>38</v>
      </c>
      <c r="K1298" t="s">
        <v>21</v>
      </c>
      <c r="L1298" t="s">
        <v>39</v>
      </c>
      <c r="M1298" t="s">
        <v>23</v>
      </c>
      <c r="N1298">
        <f>Sheet1[[#This Row],[Quantity]]*Sheet1[[#This Row],[UnitPrice]]</f>
        <v>45.03</v>
      </c>
    </row>
    <row r="1299" spans="1:14" x14ac:dyDescent="0.3">
      <c r="A1299" s="1">
        <v>45070</v>
      </c>
      <c r="B1299" t="s">
        <v>1017</v>
      </c>
      <c r="C1299" t="s">
        <v>101</v>
      </c>
      <c r="D1299" t="s">
        <v>47</v>
      </c>
      <c r="E1299" t="s">
        <v>35</v>
      </c>
      <c r="F1299">
        <v>4</v>
      </c>
      <c r="G1299">
        <v>149.80000000000001</v>
      </c>
      <c r="H1299" t="s">
        <v>36</v>
      </c>
      <c r="I1299" t="s">
        <v>1999</v>
      </c>
      <c r="J1299" t="s">
        <v>44</v>
      </c>
      <c r="K1299" t="s">
        <v>21</v>
      </c>
      <c r="L1299" t="s">
        <v>39</v>
      </c>
      <c r="M1299" t="s">
        <v>76</v>
      </c>
      <c r="N1299">
        <f>Sheet1[[#This Row],[Quantity]]*Sheet1[[#This Row],[UnitPrice]]</f>
        <v>599.20000000000005</v>
      </c>
    </row>
    <row r="1300" spans="1:14" x14ac:dyDescent="0.3">
      <c r="A1300" s="1">
        <v>45594</v>
      </c>
      <c r="B1300" t="s">
        <v>1439</v>
      </c>
      <c r="C1300" t="s">
        <v>56</v>
      </c>
      <c r="D1300" t="s">
        <v>47</v>
      </c>
      <c r="E1300" t="s">
        <v>17</v>
      </c>
      <c r="F1300">
        <v>10</v>
      </c>
      <c r="G1300">
        <v>69.23</v>
      </c>
      <c r="H1300" t="s">
        <v>28</v>
      </c>
      <c r="I1300" t="s">
        <v>2000</v>
      </c>
      <c r="J1300" t="s">
        <v>30</v>
      </c>
      <c r="K1300" t="s">
        <v>45</v>
      </c>
      <c r="L1300" t="s">
        <v>22</v>
      </c>
      <c r="M1300" t="s">
        <v>84</v>
      </c>
      <c r="N1300">
        <f>Sheet1[[#This Row],[Quantity]]*Sheet1[[#This Row],[UnitPrice]]</f>
        <v>692.30000000000007</v>
      </c>
    </row>
    <row r="1301" spans="1:14" x14ac:dyDescent="0.3">
      <c r="A1301" s="1">
        <v>44961</v>
      </c>
      <c r="B1301" t="s">
        <v>1003</v>
      </c>
      <c r="C1301" t="s">
        <v>63</v>
      </c>
      <c r="D1301" t="s">
        <v>74</v>
      </c>
      <c r="E1301" t="s">
        <v>42</v>
      </c>
      <c r="F1301">
        <v>5</v>
      </c>
      <c r="G1301">
        <v>264.75</v>
      </c>
      <c r="H1301" t="s">
        <v>36</v>
      </c>
      <c r="I1301" t="s">
        <v>2001</v>
      </c>
      <c r="J1301" t="s">
        <v>30</v>
      </c>
      <c r="K1301" t="s">
        <v>31</v>
      </c>
      <c r="L1301" t="s">
        <v>22</v>
      </c>
      <c r="M1301" t="s">
        <v>23</v>
      </c>
      <c r="N1301">
        <f>Sheet1[[#This Row],[Quantity]]*Sheet1[[#This Row],[UnitPrice]]</f>
        <v>1323.75</v>
      </c>
    </row>
    <row r="1302" spans="1:14" x14ac:dyDescent="0.3">
      <c r="A1302" s="1">
        <v>45714</v>
      </c>
      <c r="B1302" t="s">
        <v>229</v>
      </c>
      <c r="C1302" t="s">
        <v>101</v>
      </c>
      <c r="D1302" t="s">
        <v>26</v>
      </c>
      <c r="E1302" t="s">
        <v>64</v>
      </c>
      <c r="F1302">
        <v>8</v>
      </c>
      <c r="G1302">
        <v>8.98</v>
      </c>
      <c r="H1302" t="s">
        <v>53</v>
      </c>
      <c r="I1302" t="s">
        <v>2002</v>
      </c>
      <c r="J1302" t="s">
        <v>38</v>
      </c>
      <c r="K1302" t="s">
        <v>21</v>
      </c>
      <c r="L1302" t="s">
        <v>39</v>
      </c>
      <c r="M1302" t="s">
        <v>76</v>
      </c>
      <c r="N1302">
        <f>Sheet1[[#This Row],[Quantity]]*Sheet1[[#This Row],[UnitPrice]]</f>
        <v>71.84</v>
      </c>
    </row>
    <row r="1303" spans="1:14" x14ac:dyDescent="0.3">
      <c r="A1303" s="1">
        <v>45799</v>
      </c>
      <c r="B1303" t="s">
        <v>1241</v>
      </c>
      <c r="C1303" t="s">
        <v>34</v>
      </c>
      <c r="D1303" t="s">
        <v>26</v>
      </c>
      <c r="E1303" t="s">
        <v>42</v>
      </c>
      <c r="F1303">
        <v>10</v>
      </c>
      <c r="G1303">
        <v>116.92</v>
      </c>
      <c r="H1303" t="s">
        <v>18</v>
      </c>
      <c r="I1303" t="s">
        <v>2003</v>
      </c>
      <c r="J1303" t="s">
        <v>58</v>
      </c>
      <c r="K1303" t="s">
        <v>21</v>
      </c>
      <c r="L1303" t="s">
        <v>39</v>
      </c>
      <c r="M1303" t="s">
        <v>32</v>
      </c>
      <c r="N1303">
        <f>Sheet1[[#This Row],[Quantity]]*Sheet1[[#This Row],[UnitPrice]]</f>
        <v>1169.2</v>
      </c>
    </row>
    <row r="1304" spans="1:14" x14ac:dyDescent="0.3">
      <c r="A1304" s="1">
        <v>45606</v>
      </c>
      <c r="B1304" t="s">
        <v>620</v>
      </c>
      <c r="C1304" t="s">
        <v>25</v>
      </c>
      <c r="D1304" t="s">
        <v>47</v>
      </c>
      <c r="E1304" t="s">
        <v>42</v>
      </c>
      <c r="F1304">
        <v>8</v>
      </c>
      <c r="G1304">
        <v>286.52</v>
      </c>
      <c r="H1304" t="s">
        <v>68</v>
      </c>
      <c r="I1304" t="s">
        <v>2004</v>
      </c>
      <c r="J1304" t="s">
        <v>44</v>
      </c>
      <c r="K1304" t="s">
        <v>45</v>
      </c>
      <c r="L1304" t="s">
        <v>39</v>
      </c>
      <c r="M1304" t="s">
        <v>61</v>
      </c>
      <c r="N1304">
        <f>Sheet1[[#This Row],[Quantity]]*Sheet1[[#This Row],[UnitPrice]]</f>
        <v>2292.16</v>
      </c>
    </row>
    <row r="1305" spans="1:14" x14ac:dyDescent="0.3">
      <c r="A1305" s="1">
        <v>45716</v>
      </c>
      <c r="B1305" t="s">
        <v>160</v>
      </c>
      <c r="C1305" t="s">
        <v>63</v>
      </c>
      <c r="D1305" t="s">
        <v>16</v>
      </c>
      <c r="E1305" t="s">
        <v>17</v>
      </c>
      <c r="F1305">
        <v>10</v>
      </c>
      <c r="G1305">
        <v>272.01</v>
      </c>
      <c r="H1305" t="s">
        <v>18</v>
      </c>
      <c r="I1305" t="s">
        <v>2005</v>
      </c>
      <c r="J1305" t="s">
        <v>30</v>
      </c>
      <c r="K1305" t="s">
        <v>59</v>
      </c>
      <c r="L1305" t="s">
        <v>22</v>
      </c>
      <c r="M1305" t="s">
        <v>40</v>
      </c>
      <c r="N1305">
        <f>Sheet1[[#This Row],[Quantity]]*Sheet1[[#This Row],[UnitPrice]]</f>
        <v>2720.1</v>
      </c>
    </row>
    <row r="1306" spans="1:14" x14ac:dyDescent="0.3">
      <c r="A1306" s="1">
        <v>45149</v>
      </c>
      <c r="B1306" t="s">
        <v>1236</v>
      </c>
      <c r="C1306" t="s">
        <v>78</v>
      </c>
      <c r="D1306" t="s">
        <v>74</v>
      </c>
      <c r="E1306" t="s">
        <v>64</v>
      </c>
      <c r="F1306">
        <v>4</v>
      </c>
      <c r="G1306">
        <v>382.19</v>
      </c>
      <c r="H1306" t="s">
        <v>36</v>
      </c>
      <c r="I1306" t="s">
        <v>2006</v>
      </c>
      <c r="J1306" t="s">
        <v>58</v>
      </c>
      <c r="K1306" t="s">
        <v>59</v>
      </c>
      <c r="L1306" t="s">
        <v>22</v>
      </c>
      <c r="M1306" t="s">
        <v>40</v>
      </c>
      <c r="N1306">
        <f>Sheet1[[#This Row],[Quantity]]*Sheet1[[#This Row],[UnitPrice]]</f>
        <v>1528.76</v>
      </c>
    </row>
    <row r="1307" spans="1:14" x14ac:dyDescent="0.3">
      <c r="A1307" s="1">
        <v>45489</v>
      </c>
      <c r="B1307" t="s">
        <v>82</v>
      </c>
      <c r="C1307" t="s">
        <v>63</v>
      </c>
      <c r="D1307" t="s">
        <v>74</v>
      </c>
      <c r="E1307" t="s">
        <v>67</v>
      </c>
      <c r="F1307">
        <v>4</v>
      </c>
      <c r="G1307">
        <v>374.29</v>
      </c>
      <c r="H1307" t="s">
        <v>53</v>
      </c>
      <c r="I1307" t="s">
        <v>2007</v>
      </c>
      <c r="J1307" t="s">
        <v>20</v>
      </c>
      <c r="K1307" t="s">
        <v>45</v>
      </c>
      <c r="L1307" t="s">
        <v>22</v>
      </c>
      <c r="M1307" t="s">
        <v>84</v>
      </c>
      <c r="N1307">
        <f>Sheet1[[#This Row],[Quantity]]*Sheet1[[#This Row],[UnitPrice]]</f>
        <v>1497.16</v>
      </c>
    </row>
    <row r="1308" spans="1:14" x14ac:dyDescent="0.3">
      <c r="A1308" s="1">
        <v>45267</v>
      </c>
      <c r="B1308" t="s">
        <v>1033</v>
      </c>
      <c r="C1308" t="s">
        <v>15</v>
      </c>
      <c r="D1308" t="s">
        <v>74</v>
      </c>
      <c r="E1308" t="s">
        <v>42</v>
      </c>
      <c r="F1308">
        <v>8</v>
      </c>
      <c r="G1308">
        <v>148.34</v>
      </c>
      <c r="H1308" t="s">
        <v>68</v>
      </c>
      <c r="I1308" t="s">
        <v>2008</v>
      </c>
      <c r="J1308" t="s">
        <v>58</v>
      </c>
      <c r="K1308" t="s">
        <v>31</v>
      </c>
      <c r="L1308" t="s">
        <v>39</v>
      </c>
      <c r="M1308" t="s">
        <v>32</v>
      </c>
      <c r="N1308">
        <f>Sheet1[[#This Row],[Quantity]]*Sheet1[[#This Row],[UnitPrice]]</f>
        <v>1186.72</v>
      </c>
    </row>
    <row r="1309" spans="1:14" x14ac:dyDescent="0.3">
      <c r="A1309" s="1">
        <v>45442</v>
      </c>
      <c r="B1309" t="s">
        <v>2009</v>
      </c>
      <c r="C1309" t="s">
        <v>63</v>
      </c>
      <c r="D1309" t="s">
        <v>26</v>
      </c>
      <c r="E1309" t="s">
        <v>17</v>
      </c>
      <c r="F1309">
        <v>7</v>
      </c>
      <c r="G1309">
        <v>197.82</v>
      </c>
      <c r="H1309" t="s">
        <v>28</v>
      </c>
      <c r="I1309" t="s">
        <v>2010</v>
      </c>
      <c r="J1309" t="s">
        <v>30</v>
      </c>
      <c r="K1309" t="s">
        <v>45</v>
      </c>
      <c r="L1309" t="s">
        <v>39</v>
      </c>
      <c r="M1309" t="s">
        <v>32</v>
      </c>
      <c r="N1309">
        <f>Sheet1[[#This Row],[Quantity]]*Sheet1[[#This Row],[UnitPrice]]</f>
        <v>1384.74</v>
      </c>
    </row>
    <row r="1310" spans="1:14" x14ac:dyDescent="0.3">
      <c r="A1310" s="1">
        <v>45740</v>
      </c>
      <c r="B1310" t="s">
        <v>85</v>
      </c>
      <c r="C1310" t="s">
        <v>15</v>
      </c>
      <c r="D1310" t="s">
        <v>16</v>
      </c>
      <c r="E1310" t="s">
        <v>27</v>
      </c>
      <c r="F1310">
        <v>2</v>
      </c>
      <c r="G1310">
        <v>309.61</v>
      </c>
      <c r="H1310" t="s">
        <v>18</v>
      </c>
      <c r="I1310" t="s">
        <v>2011</v>
      </c>
      <c r="J1310" t="s">
        <v>38</v>
      </c>
      <c r="K1310" t="s">
        <v>45</v>
      </c>
      <c r="L1310" t="s">
        <v>60</v>
      </c>
      <c r="M1310" t="s">
        <v>49</v>
      </c>
      <c r="N1310">
        <f>Sheet1[[#This Row],[Quantity]]*Sheet1[[#This Row],[UnitPrice]]</f>
        <v>619.22</v>
      </c>
    </row>
    <row r="1311" spans="1:14" x14ac:dyDescent="0.3">
      <c r="A1311" s="1">
        <v>45316</v>
      </c>
      <c r="B1311" t="s">
        <v>292</v>
      </c>
      <c r="C1311" t="s">
        <v>15</v>
      </c>
      <c r="D1311" t="s">
        <v>16</v>
      </c>
      <c r="E1311" t="s">
        <v>64</v>
      </c>
      <c r="F1311">
        <v>5</v>
      </c>
      <c r="G1311">
        <v>195.89</v>
      </c>
      <c r="H1311" t="s">
        <v>28</v>
      </c>
      <c r="I1311" t="s">
        <v>2012</v>
      </c>
      <c r="J1311" t="s">
        <v>44</v>
      </c>
      <c r="K1311" t="s">
        <v>59</v>
      </c>
      <c r="L1311" t="s">
        <v>60</v>
      </c>
      <c r="M1311" t="s">
        <v>32</v>
      </c>
      <c r="N1311">
        <f>Sheet1[[#This Row],[Quantity]]*Sheet1[[#This Row],[UnitPrice]]</f>
        <v>979.44999999999993</v>
      </c>
    </row>
    <row r="1312" spans="1:14" x14ac:dyDescent="0.3">
      <c r="A1312" s="1">
        <v>45408</v>
      </c>
      <c r="B1312" t="s">
        <v>160</v>
      </c>
      <c r="C1312" t="s">
        <v>34</v>
      </c>
      <c r="D1312" t="s">
        <v>26</v>
      </c>
      <c r="E1312" t="s">
        <v>17</v>
      </c>
      <c r="F1312">
        <v>3</v>
      </c>
      <c r="G1312">
        <v>10.99</v>
      </c>
      <c r="H1312" t="s">
        <v>18</v>
      </c>
      <c r="I1312" t="s">
        <v>2013</v>
      </c>
      <c r="J1312" t="s">
        <v>30</v>
      </c>
      <c r="K1312" t="s">
        <v>45</v>
      </c>
      <c r="L1312" t="s">
        <v>22</v>
      </c>
      <c r="M1312" t="s">
        <v>40</v>
      </c>
      <c r="N1312">
        <f>Sheet1[[#This Row],[Quantity]]*Sheet1[[#This Row],[UnitPrice]]</f>
        <v>32.97</v>
      </c>
    </row>
    <row r="1313" spans="1:14" x14ac:dyDescent="0.3">
      <c r="A1313" s="1">
        <v>44964</v>
      </c>
      <c r="B1313" t="s">
        <v>1297</v>
      </c>
      <c r="C1313" t="s">
        <v>90</v>
      </c>
      <c r="D1313" t="s">
        <v>26</v>
      </c>
      <c r="E1313" t="s">
        <v>52</v>
      </c>
      <c r="F1313">
        <v>7</v>
      </c>
      <c r="G1313">
        <v>253.16</v>
      </c>
      <c r="H1313" t="s">
        <v>53</v>
      </c>
      <c r="I1313" t="s">
        <v>2014</v>
      </c>
      <c r="J1313" t="s">
        <v>58</v>
      </c>
      <c r="K1313" t="s">
        <v>59</v>
      </c>
      <c r="L1313" t="s">
        <v>39</v>
      </c>
      <c r="M1313" t="s">
        <v>84</v>
      </c>
      <c r="N1313">
        <f>Sheet1[[#This Row],[Quantity]]*Sheet1[[#This Row],[UnitPrice]]</f>
        <v>1772.12</v>
      </c>
    </row>
    <row r="1314" spans="1:14" x14ac:dyDescent="0.3">
      <c r="A1314" s="1">
        <v>45584</v>
      </c>
      <c r="B1314" t="s">
        <v>311</v>
      </c>
      <c r="C1314" t="s">
        <v>51</v>
      </c>
      <c r="D1314" t="s">
        <v>47</v>
      </c>
      <c r="E1314" t="s">
        <v>17</v>
      </c>
      <c r="F1314">
        <v>3</v>
      </c>
      <c r="G1314">
        <v>76.47</v>
      </c>
      <c r="H1314" t="s">
        <v>28</v>
      </c>
      <c r="I1314" t="s">
        <v>2015</v>
      </c>
      <c r="J1314" t="s">
        <v>58</v>
      </c>
      <c r="K1314" t="s">
        <v>45</v>
      </c>
      <c r="L1314" t="s">
        <v>22</v>
      </c>
      <c r="M1314" t="s">
        <v>23</v>
      </c>
      <c r="N1314">
        <f>Sheet1[[#This Row],[Quantity]]*Sheet1[[#This Row],[UnitPrice]]</f>
        <v>229.41</v>
      </c>
    </row>
    <row r="1315" spans="1:14" x14ac:dyDescent="0.3">
      <c r="A1315" s="1">
        <v>45692</v>
      </c>
      <c r="B1315" t="s">
        <v>735</v>
      </c>
      <c r="C1315" t="s">
        <v>51</v>
      </c>
      <c r="D1315" t="s">
        <v>26</v>
      </c>
      <c r="E1315" t="s">
        <v>35</v>
      </c>
      <c r="F1315">
        <v>1</v>
      </c>
      <c r="G1315">
        <v>11.77</v>
      </c>
      <c r="H1315" t="s">
        <v>28</v>
      </c>
      <c r="I1315" t="s">
        <v>2016</v>
      </c>
      <c r="J1315" t="s">
        <v>44</v>
      </c>
      <c r="K1315" t="s">
        <v>21</v>
      </c>
      <c r="L1315" t="s">
        <v>22</v>
      </c>
      <c r="M1315" t="s">
        <v>84</v>
      </c>
      <c r="N1315">
        <f>Sheet1[[#This Row],[Quantity]]*Sheet1[[#This Row],[UnitPrice]]</f>
        <v>11.77</v>
      </c>
    </row>
    <row r="1316" spans="1:14" x14ac:dyDescent="0.3">
      <c r="A1316" s="1">
        <v>45659</v>
      </c>
      <c r="B1316" t="s">
        <v>1052</v>
      </c>
      <c r="C1316" t="s">
        <v>34</v>
      </c>
      <c r="D1316" t="s">
        <v>16</v>
      </c>
      <c r="E1316" t="s">
        <v>35</v>
      </c>
      <c r="F1316">
        <v>6</v>
      </c>
      <c r="G1316">
        <v>223.9</v>
      </c>
      <c r="H1316" t="s">
        <v>36</v>
      </c>
      <c r="I1316" t="s">
        <v>2017</v>
      </c>
      <c r="J1316" t="s">
        <v>44</v>
      </c>
      <c r="K1316" t="s">
        <v>31</v>
      </c>
      <c r="L1316" t="s">
        <v>22</v>
      </c>
      <c r="M1316" t="s">
        <v>32</v>
      </c>
      <c r="N1316">
        <f>Sheet1[[#This Row],[Quantity]]*Sheet1[[#This Row],[UnitPrice]]</f>
        <v>1343.4</v>
      </c>
    </row>
    <row r="1317" spans="1:14" x14ac:dyDescent="0.3">
      <c r="A1317" s="1">
        <v>45221</v>
      </c>
      <c r="B1317" t="s">
        <v>871</v>
      </c>
      <c r="C1317" t="s">
        <v>101</v>
      </c>
      <c r="D1317" t="s">
        <v>26</v>
      </c>
      <c r="E1317" t="s">
        <v>35</v>
      </c>
      <c r="F1317">
        <v>4</v>
      </c>
      <c r="G1317">
        <v>249.73</v>
      </c>
      <c r="H1317" t="s">
        <v>68</v>
      </c>
      <c r="I1317" t="s">
        <v>2018</v>
      </c>
      <c r="J1317" t="s">
        <v>58</v>
      </c>
      <c r="K1317" t="s">
        <v>45</v>
      </c>
      <c r="L1317" t="s">
        <v>39</v>
      </c>
      <c r="M1317" t="s">
        <v>61</v>
      </c>
      <c r="N1317">
        <f>Sheet1[[#This Row],[Quantity]]*Sheet1[[#This Row],[UnitPrice]]</f>
        <v>998.92</v>
      </c>
    </row>
    <row r="1318" spans="1:14" x14ac:dyDescent="0.3">
      <c r="A1318" s="1">
        <v>45615</v>
      </c>
      <c r="B1318" t="s">
        <v>348</v>
      </c>
      <c r="C1318" t="s">
        <v>25</v>
      </c>
      <c r="D1318" t="s">
        <v>26</v>
      </c>
      <c r="E1318" t="s">
        <v>27</v>
      </c>
      <c r="F1318">
        <v>4</v>
      </c>
      <c r="G1318">
        <v>121.41</v>
      </c>
      <c r="H1318" t="s">
        <v>18</v>
      </c>
      <c r="I1318" t="s">
        <v>2019</v>
      </c>
      <c r="J1318" t="s">
        <v>20</v>
      </c>
      <c r="K1318" t="s">
        <v>31</v>
      </c>
      <c r="L1318" t="s">
        <v>22</v>
      </c>
      <c r="M1318" t="s">
        <v>84</v>
      </c>
      <c r="N1318">
        <f>Sheet1[[#This Row],[Quantity]]*Sheet1[[#This Row],[UnitPrice]]</f>
        <v>485.64</v>
      </c>
    </row>
    <row r="1319" spans="1:14" x14ac:dyDescent="0.3">
      <c r="A1319" s="1">
        <v>45749</v>
      </c>
      <c r="B1319" t="s">
        <v>317</v>
      </c>
      <c r="C1319" t="s">
        <v>73</v>
      </c>
      <c r="D1319" t="s">
        <v>26</v>
      </c>
      <c r="E1319" t="s">
        <v>35</v>
      </c>
      <c r="F1319">
        <v>9</v>
      </c>
      <c r="G1319">
        <v>299.02</v>
      </c>
      <c r="H1319" t="s">
        <v>18</v>
      </c>
      <c r="I1319" t="s">
        <v>2020</v>
      </c>
      <c r="J1319" t="s">
        <v>30</v>
      </c>
      <c r="K1319" t="s">
        <v>31</v>
      </c>
      <c r="L1319" t="s">
        <v>22</v>
      </c>
      <c r="M1319" t="s">
        <v>76</v>
      </c>
      <c r="N1319">
        <f>Sheet1[[#This Row],[Quantity]]*Sheet1[[#This Row],[UnitPrice]]</f>
        <v>2691.18</v>
      </c>
    </row>
    <row r="1320" spans="1:14" x14ac:dyDescent="0.3">
      <c r="A1320" s="1">
        <v>45511</v>
      </c>
      <c r="B1320" t="s">
        <v>129</v>
      </c>
      <c r="C1320" t="s">
        <v>78</v>
      </c>
      <c r="D1320" t="s">
        <v>26</v>
      </c>
      <c r="E1320" t="s">
        <v>17</v>
      </c>
      <c r="F1320">
        <v>1</v>
      </c>
      <c r="G1320">
        <v>99.54</v>
      </c>
      <c r="H1320" t="s">
        <v>53</v>
      </c>
      <c r="I1320" t="s">
        <v>2021</v>
      </c>
      <c r="J1320" t="s">
        <v>30</v>
      </c>
      <c r="K1320" t="s">
        <v>59</v>
      </c>
      <c r="L1320" t="s">
        <v>22</v>
      </c>
      <c r="M1320" t="s">
        <v>76</v>
      </c>
      <c r="N1320">
        <f>Sheet1[[#This Row],[Quantity]]*Sheet1[[#This Row],[UnitPrice]]</f>
        <v>99.54</v>
      </c>
    </row>
    <row r="1321" spans="1:14" x14ac:dyDescent="0.3">
      <c r="A1321" s="1">
        <v>45105</v>
      </c>
      <c r="B1321" t="s">
        <v>473</v>
      </c>
      <c r="C1321" t="s">
        <v>34</v>
      </c>
      <c r="D1321" t="s">
        <v>26</v>
      </c>
      <c r="E1321" t="s">
        <v>17</v>
      </c>
      <c r="F1321">
        <v>2</v>
      </c>
      <c r="G1321">
        <v>73.849999999999994</v>
      </c>
      <c r="H1321" t="s">
        <v>53</v>
      </c>
      <c r="I1321" t="s">
        <v>2022</v>
      </c>
      <c r="J1321" t="s">
        <v>38</v>
      </c>
      <c r="K1321" t="s">
        <v>21</v>
      </c>
      <c r="L1321" t="s">
        <v>22</v>
      </c>
      <c r="M1321" t="s">
        <v>76</v>
      </c>
      <c r="N1321">
        <f>Sheet1[[#This Row],[Quantity]]*Sheet1[[#This Row],[UnitPrice]]</f>
        <v>147.69999999999999</v>
      </c>
    </row>
    <row r="1322" spans="1:14" x14ac:dyDescent="0.3">
      <c r="A1322" s="1">
        <v>45183</v>
      </c>
      <c r="B1322" t="s">
        <v>721</v>
      </c>
      <c r="C1322" t="s">
        <v>15</v>
      </c>
      <c r="D1322" t="s">
        <v>47</v>
      </c>
      <c r="E1322" t="s">
        <v>27</v>
      </c>
      <c r="F1322">
        <v>9</v>
      </c>
      <c r="G1322">
        <v>378.41</v>
      </c>
      <c r="H1322" t="s">
        <v>36</v>
      </c>
      <c r="I1322" t="s">
        <v>2023</v>
      </c>
      <c r="J1322" t="s">
        <v>44</v>
      </c>
      <c r="K1322" t="s">
        <v>31</v>
      </c>
      <c r="L1322" t="s">
        <v>39</v>
      </c>
      <c r="M1322" t="s">
        <v>32</v>
      </c>
      <c r="N1322">
        <f>Sheet1[[#This Row],[Quantity]]*Sheet1[[#This Row],[UnitPrice]]</f>
        <v>3405.69</v>
      </c>
    </row>
    <row r="1323" spans="1:14" x14ac:dyDescent="0.3">
      <c r="A1323" s="1">
        <v>45318</v>
      </c>
      <c r="B1323" t="s">
        <v>1265</v>
      </c>
      <c r="C1323" t="s">
        <v>73</v>
      </c>
      <c r="D1323" t="s">
        <v>26</v>
      </c>
      <c r="E1323" t="s">
        <v>42</v>
      </c>
      <c r="F1323">
        <v>9</v>
      </c>
      <c r="G1323">
        <v>73.88</v>
      </c>
      <c r="H1323" t="s">
        <v>53</v>
      </c>
      <c r="I1323" t="s">
        <v>2024</v>
      </c>
      <c r="J1323" t="s">
        <v>38</v>
      </c>
      <c r="K1323" t="s">
        <v>59</v>
      </c>
      <c r="L1323" t="s">
        <v>39</v>
      </c>
      <c r="M1323" t="s">
        <v>23</v>
      </c>
      <c r="N1323">
        <f>Sheet1[[#This Row],[Quantity]]*Sheet1[[#This Row],[UnitPrice]]</f>
        <v>664.92</v>
      </c>
    </row>
    <row r="1324" spans="1:14" x14ac:dyDescent="0.3">
      <c r="A1324" s="1">
        <v>45083</v>
      </c>
      <c r="B1324" t="s">
        <v>138</v>
      </c>
      <c r="C1324" t="s">
        <v>90</v>
      </c>
      <c r="D1324" t="s">
        <v>16</v>
      </c>
      <c r="E1324" t="s">
        <v>42</v>
      </c>
      <c r="F1324">
        <v>5</v>
      </c>
      <c r="G1324">
        <v>168.94</v>
      </c>
      <c r="H1324" t="s">
        <v>36</v>
      </c>
      <c r="I1324" t="s">
        <v>2025</v>
      </c>
      <c r="J1324" t="s">
        <v>58</v>
      </c>
      <c r="K1324" t="s">
        <v>21</v>
      </c>
      <c r="L1324" t="s">
        <v>39</v>
      </c>
      <c r="M1324" t="s">
        <v>84</v>
      </c>
      <c r="N1324">
        <f>Sheet1[[#This Row],[Quantity]]*Sheet1[[#This Row],[UnitPrice]]</f>
        <v>844.7</v>
      </c>
    </row>
    <row r="1325" spans="1:14" x14ac:dyDescent="0.3">
      <c r="A1325" s="1">
        <v>45048</v>
      </c>
      <c r="B1325" t="s">
        <v>773</v>
      </c>
      <c r="C1325" t="s">
        <v>25</v>
      </c>
      <c r="D1325" t="s">
        <v>16</v>
      </c>
      <c r="E1325" t="s">
        <v>17</v>
      </c>
      <c r="F1325">
        <v>2</v>
      </c>
      <c r="G1325">
        <v>368.37</v>
      </c>
      <c r="H1325" t="s">
        <v>18</v>
      </c>
      <c r="I1325" t="s">
        <v>2026</v>
      </c>
      <c r="J1325" t="s">
        <v>58</v>
      </c>
      <c r="K1325" t="s">
        <v>31</v>
      </c>
      <c r="L1325" t="s">
        <v>39</v>
      </c>
      <c r="M1325" t="s">
        <v>84</v>
      </c>
      <c r="N1325">
        <f>Sheet1[[#This Row],[Quantity]]*Sheet1[[#This Row],[UnitPrice]]</f>
        <v>736.74</v>
      </c>
    </row>
    <row r="1326" spans="1:14" x14ac:dyDescent="0.3">
      <c r="A1326" s="1">
        <v>45135</v>
      </c>
      <c r="B1326" t="s">
        <v>1968</v>
      </c>
      <c r="C1326" t="s">
        <v>78</v>
      </c>
      <c r="D1326" t="s">
        <v>26</v>
      </c>
      <c r="E1326" t="s">
        <v>67</v>
      </c>
      <c r="F1326">
        <v>1</v>
      </c>
      <c r="G1326">
        <v>388.73</v>
      </c>
      <c r="H1326" t="s">
        <v>18</v>
      </c>
      <c r="I1326" t="s">
        <v>2027</v>
      </c>
      <c r="J1326" t="s">
        <v>20</v>
      </c>
      <c r="K1326" t="s">
        <v>59</v>
      </c>
      <c r="L1326" t="s">
        <v>22</v>
      </c>
      <c r="M1326" t="s">
        <v>40</v>
      </c>
      <c r="N1326">
        <f>Sheet1[[#This Row],[Quantity]]*Sheet1[[#This Row],[UnitPrice]]</f>
        <v>388.73</v>
      </c>
    </row>
    <row r="1327" spans="1:14" x14ac:dyDescent="0.3">
      <c r="A1327" s="1">
        <v>45499</v>
      </c>
      <c r="B1327" t="s">
        <v>1486</v>
      </c>
      <c r="C1327" t="s">
        <v>63</v>
      </c>
      <c r="D1327" t="s">
        <v>16</v>
      </c>
      <c r="E1327" t="s">
        <v>67</v>
      </c>
      <c r="F1327">
        <v>5</v>
      </c>
      <c r="G1327">
        <v>393.72</v>
      </c>
      <c r="H1327" t="s">
        <v>68</v>
      </c>
      <c r="I1327" t="s">
        <v>2028</v>
      </c>
      <c r="J1327" t="s">
        <v>20</v>
      </c>
      <c r="K1327" t="s">
        <v>59</v>
      </c>
      <c r="L1327" t="s">
        <v>39</v>
      </c>
      <c r="M1327" t="s">
        <v>40</v>
      </c>
      <c r="N1327">
        <f>Sheet1[[#This Row],[Quantity]]*Sheet1[[#This Row],[UnitPrice]]</f>
        <v>1968.6000000000001</v>
      </c>
    </row>
    <row r="1328" spans="1:14" x14ac:dyDescent="0.3">
      <c r="A1328" s="1">
        <v>45618</v>
      </c>
      <c r="B1328" t="s">
        <v>532</v>
      </c>
      <c r="C1328" t="s">
        <v>25</v>
      </c>
      <c r="D1328" t="s">
        <v>74</v>
      </c>
      <c r="E1328" t="s">
        <v>35</v>
      </c>
      <c r="F1328">
        <v>10</v>
      </c>
      <c r="G1328">
        <v>10.58</v>
      </c>
      <c r="H1328" t="s">
        <v>18</v>
      </c>
      <c r="I1328" t="s">
        <v>2029</v>
      </c>
      <c r="J1328" t="s">
        <v>20</v>
      </c>
      <c r="K1328" t="s">
        <v>45</v>
      </c>
      <c r="L1328" t="s">
        <v>60</v>
      </c>
      <c r="M1328" t="s">
        <v>40</v>
      </c>
      <c r="N1328">
        <f>Sheet1[[#This Row],[Quantity]]*Sheet1[[#This Row],[UnitPrice]]</f>
        <v>105.8</v>
      </c>
    </row>
    <row r="1329" spans="1:14" x14ac:dyDescent="0.3">
      <c r="A1329" s="1">
        <v>45280</v>
      </c>
      <c r="B1329" t="s">
        <v>1223</v>
      </c>
      <c r="C1329" t="s">
        <v>25</v>
      </c>
      <c r="D1329" t="s">
        <v>47</v>
      </c>
      <c r="E1329" t="s">
        <v>42</v>
      </c>
      <c r="F1329">
        <v>6</v>
      </c>
      <c r="G1329">
        <v>344.74</v>
      </c>
      <c r="H1329" t="s">
        <v>28</v>
      </c>
      <c r="I1329" t="s">
        <v>2030</v>
      </c>
      <c r="J1329" t="s">
        <v>44</v>
      </c>
      <c r="K1329" t="s">
        <v>45</v>
      </c>
      <c r="L1329" t="s">
        <v>60</v>
      </c>
      <c r="M1329" t="s">
        <v>76</v>
      </c>
      <c r="N1329">
        <f>Sheet1[[#This Row],[Quantity]]*Sheet1[[#This Row],[UnitPrice]]</f>
        <v>2068.44</v>
      </c>
    </row>
    <row r="1330" spans="1:14" x14ac:dyDescent="0.3">
      <c r="A1330" s="1">
        <v>45520</v>
      </c>
      <c r="B1330" t="s">
        <v>2031</v>
      </c>
      <c r="C1330" t="s">
        <v>56</v>
      </c>
      <c r="D1330" t="s">
        <v>16</v>
      </c>
      <c r="E1330" t="s">
        <v>35</v>
      </c>
      <c r="F1330">
        <v>6</v>
      </c>
      <c r="G1330">
        <v>64.099999999999994</v>
      </c>
      <c r="H1330" t="s">
        <v>36</v>
      </c>
      <c r="I1330" t="s">
        <v>2032</v>
      </c>
      <c r="J1330" t="s">
        <v>58</v>
      </c>
      <c r="K1330" t="s">
        <v>59</v>
      </c>
      <c r="L1330" t="s">
        <v>22</v>
      </c>
      <c r="M1330" t="s">
        <v>40</v>
      </c>
      <c r="N1330">
        <f>Sheet1[[#This Row],[Quantity]]*Sheet1[[#This Row],[UnitPrice]]</f>
        <v>384.59999999999997</v>
      </c>
    </row>
    <row r="1331" spans="1:14" x14ac:dyDescent="0.3">
      <c r="A1331" s="1">
        <v>45329</v>
      </c>
      <c r="B1331" t="s">
        <v>1848</v>
      </c>
      <c r="C1331" t="s">
        <v>63</v>
      </c>
      <c r="D1331" t="s">
        <v>74</v>
      </c>
      <c r="E1331" t="s">
        <v>35</v>
      </c>
      <c r="F1331">
        <v>5</v>
      </c>
      <c r="G1331">
        <v>203.39</v>
      </c>
      <c r="H1331" t="s">
        <v>36</v>
      </c>
      <c r="I1331" t="s">
        <v>2033</v>
      </c>
      <c r="J1331" t="s">
        <v>44</v>
      </c>
      <c r="K1331" t="s">
        <v>45</v>
      </c>
      <c r="L1331" t="s">
        <v>60</v>
      </c>
      <c r="M1331" t="s">
        <v>76</v>
      </c>
      <c r="N1331">
        <f>Sheet1[[#This Row],[Quantity]]*Sheet1[[#This Row],[UnitPrice]]</f>
        <v>1016.9499999999999</v>
      </c>
    </row>
    <row r="1332" spans="1:14" x14ac:dyDescent="0.3">
      <c r="A1332" s="1">
        <v>45565</v>
      </c>
      <c r="B1332" t="s">
        <v>2034</v>
      </c>
      <c r="C1332" t="s">
        <v>73</v>
      </c>
      <c r="D1332" t="s">
        <v>16</v>
      </c>
      <c r="E1332" t="s">
        <v>27</v>
      </c>
      <c r="F1332">
        <v>3</v>
      </c>
      <c r="G1332">
        <v>175.8</v>
      </c>
      <c r="H1332" t="s">
        <v>18</v>
      </c>
      <c r="I1332" t="s">
        <v>2035</v>
      </c>
      <c r="J1332" t="s">
        <v>38</v>
      </c>
      <c r="K1332" t="s">
        <v>21</v>
      </c>
      <c r="L1332" t="s">
        <v>22</v>
      </c>
      <c r="M1332" t="s">
        <v>49</v>
      </c>
      <c r="N1332">
        <f>Sheet1[[#This Row],[Quantity]]*Sheet1[[#This Row],[UnitPrice]]</f>
        <v>527.40000000000009</v>
      </c>
    </row>
    <row r="1333" spans="1:14" x14ac:dyDescent="0.3">
      <c r="A1333" s="1">
        <v>45694</v>
      </c>
      <c r="B1333" t="s">
        <v>2036</v>
      </c>
      <c r="C1333" t="s">
        <v>78</v>
      </c>
      <c r="D1333" t="s">
        <v>47</v>
      </c>
      <c r="E1333" t="s">
        <v>27</v>
      </c>
      <c r="F1333">
        <v>5</v>
      </c>
      <c r="G1333">
        <v>343.61</v>
      </c>
      <c r="H1333" t="s">
        <v>36</v>
      </c>
      <c r="I1333" t="s">
        <v>2037</v>
      </c>
      <c r="J1333" t="s">
        <v>44</v>
      </c>
      <c r="K1333" t="s">
        <v>45</v>
      </c>
      <c r="L1333" t="s">
        <v>22</v>
      </c>
      <c r="M1333" t="s">
        <v>32</v>
      </c>
      <c r="N1333">
        <f>Sheet1[[#This Row],[Quantity]]*Sheet1[[#This Row],[UnitPrice]]</f>
        <v>1718.0500000000002</v>
      </c>
    </row>
    <row r="1334" spans="1:14" x14ac:dyDescent="0.3">
      <c r="A1334" s="1">
        <v>45476</v>
      </c>
      <c r="B1334" t="s">
        <v>1692</v>
      </c>
      <c r="C1334" t="s">
        <v>15</v>
      </c>
      <c r="D1334" t="s">
        <v>26</v>
      </c>
      <c r="E1334" t="s">
        <v>17</v>
      </c>
      <c r="F1334">
        <v>5</v>
      </c>
      <c r="G1334">
        <v>364.79</v>
      </c>
      <c r="H1334" t="s">
        <v>68</v>
      </c>
      <c r="I1334" t="s">
        <v>2038</v>
      </c>
      <c r="J1334" t="s">
        <v>20</v>
      </c>
      <c r="K1334" t="s">
        <v>31</v>
      </c>
      <c r="L1334" t="s">
        <v>60</v>
      </c>
      <c r="M1334" t="s">
        <v>76</v>
      </c>
      <c r="N1334">
        <f>Sheet1[[#This Row],[Quantity]]*Sheet1[[#This Row],[UnitPrice]]</f>
        <v>1823.95</v>
      </c>
    </row>
    <row r="1335" spans="1:14" x14ac:dyDescent="0.3">
      <c r="A1335" s="1">
        <v>45675</v>
      </c>
      <c r="B1335" t="s">
        <v>1717</v>
      </c>
      <c r="C1335" t="s">
        <v>15</v>
      </c>
      <c r="D1335" t="s">
        <v>26</v>
      </c>
      <c r="E1335" t="s">
        <v>27</v>
      </c>
      <c r="F1335">
        <v>9</v>
      </c>
      <c r="G1335">
        <v>92.12</v>
      </c>
      <c r="H1335" t="s">
        <v>68</v>
      </c>
      <c r="I1335" t="s">
        <v>2039</v>
      </c>
      <c r="J1335" t="s">
        <v>30</v>
      </c>
      <c r="K1335" t="s">
        <v>31</v>
      </c>
      <c r="L1335" t="s">
        <v>60</v>
      </c>
      <c r="M1335" t="s">
        <v>23</v>
      </c>
      <c r="N1335">
        <f>Sheet1[[#This Row],[Quantity]]*Sheet1[[#This Row],[UnitPrice]]</f>
        <v>829.08</v>
      </c>
    </row>
    <row r="1336" spans="1:14" x14ac:dyDescent="0.3">
      <c r="A1336" s="1">
        <v>45761</v>
      </c>
      <c r="B1336" t="s">
        <v>2040</v>
      </c>
      <c r="C1336" t="s">
        <v>34</v>
      </c>
      <c r="D1336" t="s">
        <v>16</v>
      </c>
      <c r="E1336" t="s">
        <v>64</v>
      </c>
      <c r="F1336">
        <v>4</v>
      </c>
      <c r="G1336">
        <v>129.88999999999999</v>
      </c>
      <c r="H1336" t="s">
        <v>68</v>
      </c>
      <c r="I1336" t="s">
        <v>2041</v>
      </c>
      <c r="J1336" t="s">
        <v>44</v>
      </c>
      <c r="K1336" t="s">
        <v>59</v>
      </c>
      <c r="L1336" t="s">
        <v>22</v>
      </c>
      <c r="M1336" t="s">
        <v>49</v>
      </c>
      <c r="N1336">
        <f>Sheet1[[#This Row],[Quantity]]*Sheet1[[#This Row],[UnitPrice]]</f>
        <v>519.55999999999995</v>
      </c>
    </row>
    <row r="1337" spans="1:14" x14ac:dyDescent="0.3">
      <c r="A1337" s="1">
        <v>45427</v>
      </c>
      <c r="B1337" t="s">
        <v>526</v>
      </c>
      <c r="C1337" t="s">
        <v>78</v>
      </c>
      <c r="D1337" t="s">
        <v>26</v>
      </c>
      <c r="E1337" t="s">
        <v>17</v>
      </c>
      <c r="F1337">
        <v>4</v>
      </c>
      <c r="G1337">
        <v>354.63</v>
      </c>
      <c r="H1337" t="s">
        <v>68</v>
      </c>
      <c r="I1337" t="s">
        <v>2042</v>
      </c>
      <c r="J1337" t="s">
        <v>58</v>
      </c>
      <c r="K1337" t="s">
        <v>45</v>
      </c>
      <c r="L1337" t="s">
        <v>60</v>
      </c>
      <c r="M1337" t="s">
        <v>76</v>
      </c>
      <c r="N1337">
        <f>Sheet1[[#This Row],[Quantity]]*Sheet1[[#This Row],[UnitPrice]]</f>
        <v>1418.52</v>
      </c>
    </row>
    <row r="1338" spans="1:14" x14ac:dyDescent="0.3">
      <c r="A1338" s="1">
        <v>45356</v>
      </c>
      <c r="B1338" t="s">
        <v>1284</v>
      </c>
      <c r="C1338" t="s">
        <v>63</v>
      </c>
      <c r="D1338" t="s">
        <v>16</v>
      </c>
      <c r="E1338" t="s">
        <v>67</v>
      </c>
      <c r="F1338">
        <v>4</v>
      </c>
      <c r="G1338">
        <v>115.36</v>
      </c>
      <c r="H1338" t="s">
        <v>53</v>
      </c>
      <c r="I1338" t="s">
        <v>2043</v>
      </c>
      <c r="J1338" t="s">
        <v>38</v>
      </c>
      <c r="K1338" t="s">
        <v>59</v>
      </c>
      <c r="L1338" t="s">
        <v>22</v>
      </c>
      <c r="M1338" t="s">
        <v>84</v>
      </c>
      <c r="N1338">
        <f>Sheet1[[#This Row],[Quantity]]*Sheet1[[#This Row],[UnitPrice]]</f>
        <v>461.44</v>
      </c>
    </row>
    <row r="1339" spans="1:14" x14ac:dyDescent="0.3">
      <c r="A1339" s="1">
        <v>45748</v>
      </c>
      <c r="B1339" t="s">
        <v>1081</v>
      </c>
      <c r="C1339" t="s">
        <v>90</v>
      </c>
      <c r="D1339" t="s">
        <v>47</v>
      </c>
      <c r="E1339" t="s">
        <v>64</v>
      </c>
      <c r="F1339">
        <v>5</v>
      </c>
      <c r="G1339">
        <v>20.36</v>
      </c>
      <c r="H1339" t="s">
        <v>53</v>
      </c>
      <c r="I1339" t="s">
        <v>2044</v>
      </c>
      <c r="J1339" t="s">
        <v>58</v>
      </c>
      <c r="K1339" t="s">
        <v>59</v>
      </c>
      <c r="L1339" t="s">
        <v>22</v>
      </c>
      <c r="M1339" t="s">
        <v>84</v>
      </c>
      <c r="N1339">
        <f>Sheet1[[#This Row],[Quantity]]*Sheet1[[#This Row],[UnitPrice]]</f>
        <v>101.8</v>
      </c>
    </row>
    <row r="1340" spans="1:14" x14ac:dyDescent="0.3">
      <c r="A1340" s="1">
        <v>45055</v>
      </c>
      <c r="B1340" t="s">
        <v>306</v>
      </c>
      <c r="C1340" t="s">
        <v>73</v>
      </c>
      <c r="D1340" t="s">
        <v>26</v>
      </c>
      <c r="E1340" t="s">
        <v>27</v>
      </c>
      <c r="F1340">
        <v>2</v>
      </c>
      <c r="G1340">
        <v>89.15</v>
      </c>
      <c r="H1340" t="s">
        <v>28</v>
      </c>
      <c r="I1340" t="s">
        <v>2045</v>
      </c>
      <c r="J1340" t="s">
        <v>44</v>
      </c>
      <c r="K1340" t="s">
        <v>45</v>
      </c>
      <c r="L1340" t="s">
        <v>22</v>
      </c>
      <c r="M1340" t="s">
        <v>84</v>
      </c>
      <c r="N1340">
        <f>Sheet1[[#This Row],[Quantity]]*Sheet1[[#This Row],[UnitPrice]]</f>
        <v>178.3</v>
      </c>
    </row>
    <row r="1341" spans="1:14" x14ac:dyDescent="0.3">
      <c r="A1341" s="1">
        <v>45825</v>
      </c>
      <c r="B1341" t="s">
        <v>1510</v>
      </c>
      <c r="C1341" t="s">
        <v>15</v>
      </c>
      <c r="D1341" t="s">
        <v>16</v>
      </c>
      <c r="E1341" t="s">
        <v>35</v>
      </c>
      <c r="F1341">
        <v>10</v>
      </c>
      <c r="G1341">
        <v>326.45</v>
      </c>
      <c r="H1341" t="s">
        <v>18</v>
      </c>
      <c r="I1341" t="s">
        <v>2046</v>
      </c>
      <c r="J1341" t="s">
        <v>30</v>
      </c>
      <c r="K1341" t="s">
        <v>21</v>
      </c>
      <c r="L1341" t="s">
        <v>39</v>
      </c>
      <c r="M1341" t="s">
        <v>84</v>
      </c>
      <c r="N1341">
        <f>Sheet1[[#This Row],[Quantity]]*Sheet1[[#This Row],[UnitPrice]]</f>
        <v>3264.5</v>
      </c>
    </row>
    <row r="1342" spans="1:14" x14ac:dyDescent="0.3">
      <c r="A1342" s="1">
        <v>45115</v>
      </c>
      <c r="B1342" t="s">
        <v>1731</v>
      </c>
      <c r="C1342" t="s">
        <v>51</v>
      </c>
      <c r="D1342" t="s">
        <v>74</v>
      </c>
      <c r="E1342" t="s">
        <v>17</v>
      </c>
      <c r="F1342">
        <v>9</v>
      </c>
      <c r="G1342">
        <v>224.31</v>
      </c>
      <c r="H1342" t="s">
        <v>36</v>
      </c>
      <c r="I1342" t="s">
        <v>2047</v>
      </c>
      <c r="J1342" t="s">
        <v>58</v>
      </c>
      <c r="K1342" t="s">
        <v>59</v>
      </c>
      <c r="L1342" t="s">
        <v>60</v>
      </c>
      <c r="M1342" t="s">
        <v>23</v>
      </c>
      <c r="N1342">
        <f>Sheet1[[#This Row],[Quantity]]*Sheet1[[#This Row],[UnitPrice]]</f>
        <v>2018.79</v>
      </c>
    </row>
    <row r="1343" spans="1:14" x14ac:dyDescent="0.3">
      <c r="A1343" s="1">
        <v>45053</v>
      </c>
      <c r="B1343" t="s">
        <v>570</v>
      </c>
      <c r="C1343" t="s">
        <v>34</v>
      </c>
      <c r="D1343" t="s">
        <v>16</v>
      </c>
      <c r="E1343" t="s">
        <v>52</v>
      </c>
      <c r="F1343">
        <v>1</v>
      </c>
      <c r="G1343">
        <v>221.96</v>
      </c>
      <c r="H1343" t="s">
        <v>53</v>
      </c>
      <c r="I1343" t="s">
        <v>2048</v>
      </c>
      <c r="J1343" t="s">
        <v>38</v>
      </c>
      <c r="K1343" t="s">
        <v>21</v>
      </c>
      <c r="L1343" t="s">
        <v>39</v>
      </c>
      <c r="M1343" t="s">
        <v>61</v>
      </c>
      <c r="N1343">
        <f>Sheet1[[#This Row],[Quantity]]*Sheet1[[#This Row],[UnitPrice]]</f>
        <v>221.96</v>
      </c>
    </row>
    <row r="1344" spans="1:14" x14ac:dyDescent="0.3">
      <c r="A1344" s="1">
        <v>45162</v>
      </c>
      <c r="B1344" t="s">
        <v>2049</v>
      </c>
      <c r="C1344" t="s">
        <v>15</v>
      </c>
      <c r="D1344" t="s">
        <v>47</v>
      </c>
      <c r="E1344" t="s">
        <v>17</v>
      </c>
      <c r="F1344">
        <v>3</v>
      </c>
      <c r="G1344">
        <v>376.76</v>
      </c>
      <c r="H1344" t="s">
        <v>36</v>
      </c>
      <c r="I1344" t="s">
        <v>2050</v>
      </c>
      <c r="J1344" t="s">
        <v>30</v>
      </c>
      <c r="K1344" t="s">
        <v>59</v>
      </c>
      <c r="L1344" t="s">
        <v>39</v>
      </c>
      <c r="M1344" t="s">
        <v>32</v>
      </c>
      <c r="N1344">
        <f>Sheet1[[#This Row],[Quantity]]*Sheet1[[#This Row],[UnitPrice]]</f>
        <v>1130.28</v>
      </c>
    </row>
    <row r="1345" spans="1:14" x14ac:dyDescent="0.3">
      <c r="A1345" s="1">
        <v>45617</v>
      </c>
      <c r="B1345" t="s">
        <v>827</v>
      </c>
      <c r="C1345" t="s">
        <v>51</v>
      </c>
      <c r="D1345" t="s">
        <v>74</v>
      </c>
      <c r="E1345" t="s">
        <v>64</v>
      </c>
      <c r="F1345">
        <v>8</v>
      </c>
      <c r="G1345">
        <v>152.29</v>
      </c>
      <c r="H1345" t="s">
        <v>68</v>
      </c>
      <c r="I1345" t="s">
        <v>2051</v>
      </c>
      <c r="J1345" t="s">
        <v>58</v>
      </c>
      <c r="K1345" t="s">
        <v>45</v>
      </c>
      <c r="L1345" t="s">
        <v>60</v>
      </c>
      <c r="M1345" t="s">
        <v>32</v>
      </c>
      <c r="N1345">
        <f>Sheet1[[#This Row],[Quantity]]*Sheet1[[#This Row],[UnitPrice]]</f>
        <v>1218.32</v>
      </c>
    </row>
    <row r="1346" spans="1:14" x14ac:dyDescent="0.3">
      <c r="A1346" s="1">
        <v>45193</v>
      </c>
      <c r="B1346" t="s">
        <v>1159</v>
      </c>
      <c r="C1346" t="s">
        <v>90</v>
      </c>
      <c r="D1346" t="s">
        <v>74</v>
      </c>
      <c r="E1346" t="s">
        <v>52</v>
      </c>
      <c r="F1346">
        <v>2</v>
      </c>
      <c r="G1346">
        <v>98.37</v>
      </c>
      <c r="H1346" t="s">
        <v>36</v>
      </c>
      <c r="I1346" t="s">
        <v>2052</v>
      </c>
      <c r="J1346" t="s">
        <v>44</v>
      </c>
      <c r="K1346" t="s">
        <v>45</v>
      </c>
      <c r="L1346" t="s">
        <v>22</v>
      </c>
      <c r="M1346" t="s">
        <v>61</v>
      </c>
      <c r="N1346">
        <f>Sheet1[[#This Row],[Quantity]]*Sheet1[[#This Row],[UnitPrice]]</f>
        <v>196.74</v>
      </c>
    </row>
    <row r="1347" spans="1:14" x14ac:dyDescent="0.3">
      <c r="A1347" s="1">
        <v>44945</v>
      </c>
      <c r="B1347" t="s">
        <v>220</v>
      </c>
      <c r="C1347" t="s">
        <v>73</v>
      </c>
      <c r="D1347" t="s">
        <v>26</v>
      </c>
      <c r="E1347" t="s">
        <v>52</v>
      </c>
      <c r="F1347">
        <v>10</v>
      </c>
      <c r="G1347">
        <v>262.33</v>
      </c>
      <c r="H1347" t="s">
        <v>18</v>
      </c>
      <c r="I1347" t="s">
        <v>2053</v>
      </c>
      <c r="J1347" t="s">
        <v>30</v>
      </c>
      <c r="K1347" t="s">
        <v>31</v>
      </c>
      <c r="L1347" t="s">
        <v>22</v>
      </c>
      <c r="M1347" t="s">
        <v>32</v>
      </c>
      <c r="N1347">
        <f>Sheet1[[#This Row],[Quantity]]*Sheet1[[#This Row],[UnitPrice]]</f>
        <v>2623.2999999999997</v>
      </c>
    </row>
    <row r="1348" spans="1:14" x14ac:dyDescent="0.3">
      <c r="A1348" s="1">
        <v>45711</v>
      </c>
      <c r="B1348" t="s">
        <v>605</v>
      </c>
      <c r="C1348" t="s">
        <v>56</v>
      </c>
      <c r="D1348" t="s">
        <v>16</v>
      </c>
      <c r="E1348" t="s">
        <v>17</v>
      </c>
      <c r="F1348">
        <v>10</v>
      </c>
      <c r="G1348">
        <v>207.55</v>
      </c>
      <c r="H1348" t="s">
        <v>53</v>
      </c>
      <c r="I1348" t="s">
        <v>2054</v>
      </c>
      <c r="J1348" t="s">
        <v>30</v>
      </c>
      <c r="K1348" t="s">
        <v>31</v>
      </c>
      <c r="L1348" t="s">
        <v>39</v>
      </c>
      <c r="M1348" t="s">
        <v>61</v>
      </c>
      <c r="N1348">
        <f>Sheet1[[#This Row],[Quantity]]*Sheet1[[#This Row],[UnitPrice]]</f>
        <v>2075.5</v>
      </c>
    </row>
    <row r="1349" spans="1:14" x14ac:dyDescent="0.3">
      <c r="A1349" s="1">
        <v>45714</v>
      </c>
      <c r="B1349" t="s">
        <v>896</v>
      </c>
      <c r="C1349" t="s">
        <v>73</v>
      </c>
      <c r="D1349" t="s">
        <v>47</v>
      </c>
      <c r="E1349" t="s">
        <v>42</v>
      </c>
      <c r="F1349">
        <v>1</v>
      </c>
      <c r="G1349">
        <v>67.34</v>
      </c>
      <c r="H1349" t="s">
        <v>53</v>
      </c>
      <c r="I1349" t="s">
        <v>2055</v>
      </c>
      <c r="J1349" t="s">
        <v>30</v>
      </c>
      <c r="K1349" t="s">
        <v>45</v>
      </c>
      <c r="L1349" t="s">
        <v>22</v>
      </c>
      <c r="M1349" t="s">
        <v>76</v>
      </c>
      <c r="N1349">
        <f>Sheet1[[#This Row],[Quantity]]*Sheet1[[#This Row],[UnitPrice]]</f>
        <v>67.34</v>
      </c>
    </row>
    <row r="1350" spans="1:14" x14ac:dyDescent="0.3">
      <c r="A1350" s="1">
        <v>45733</v>
      </c>
      <c r="B1350" t="s">
        <v>412</v>
      </c>
      <c r="C1350" t="s">
        <v>63</v>
      </c>
      <c r="D1350" t="s">
        <v>47</v>
      </c>
      <c r="E1350" t="s">
        <v>27</v>
      </c>
      <c r="F1350">
        <v>3</v>
      </c>
      <c r="G1350">
        <v>346.35</v>
      </c>
      <c r="H1350" t="s">
        <v>53</v>
      </c>
      <c r="I1350" t="s">
        <v>2056</v>
      </c>
      <c r="J1350" t="s">
        <v>44</v>
      </c>
      <c r="K1350" t="s">
        <v>21</v>
      </c>
      <c r="L1350" t="s">
        <v>39</v>
      </c>
      <c r="M1350" t="s">
        <v>49</v>
      </c>
      <c r="N1350">
        <f>Sheet1[[#This Row],[Quantity]]*Sheet1[[#This Row],[UnitPrice]]</f>
        <v>1039.0500000000002</v>
      </c>
    </row>
    <row r="1351" spans="1:14" x14ac:dyDescent="0.3">
      <c r="A1351" s="1">
        <v>45561</v>
      </c>
      <c r="B1351" t="s">
        <v>2057</v>
      </c>
      <c r="C1351" t="s">
        <v>34</v>
      </c>
      <c r="D1351" t="s">
        <v>26</v>
      </c>
      <c r="E1351" t="s">
        <v>67</v>
      </c>
      <c r="F1351">
        <v>1</v>
      </c>
      <c r="G1351">
        <v>124.46</v>
      </c>
      <c r="H1351" t="s">
        <v>28</v>
      </c>
      <c r="I1351" t="s">
        <v>2058</v>
      </c>
      <c r="J1351" t="s">
        <v>58</v>
      </c>
      <c r="K1351" t="s">
        <v>59</v>
      </c>
      <c r="L1351" t="s">
        <v>39</v>
      </c>
      <c r="M1351" t="s">
        <v>32</v>
      </c>
      <c r="N1351">
        <f>Sheet1[[#This Row],[Quantity]]*Sheet1[[#This Row],[UnitPrice]]</f>
        <v>124.46</v>
      </c>
    </row>
    <row r="1352" spans="1:14" x14ac:dyDescent="0.3">
      <c r="A1352" s="1">
        <v>45573</v>
      </c>
      <c r="B1352" t="s">
        <v>256</v>
      </c>
      <c r="C1352" t="s">
        <v>101</v>
      </c>
      <c r="D1352" t="s">
        <v>47</v>
      </c>
      <c r="E1352" t="s">
        <v>52</v>
      </c>
      <c r="F1352">
        <v>2</v>
      </c>
      <c r="G1352">
        <v>298.99</v>
      </c>
      <c r="H1352" t="s">
        <v>68</v>
      </c>
      <c r="I1352" t="s">
        <v>2059</v>
      </c>
      <c r="J1352" t="s">
        <v>58</v>
      </c>
      <c r="K1352" t="s">
        <v>21</v>
      </c>
      <c r="L1352" t="s">
        <v>60</v>
      </c>
      <c r="M1352" t="s">
        <v>84</v>
      </c>
      <c r="N1352">
        <f>Sheet1[[#This Row],[Quantity]]*Sheet1[[#This Row],[UnitPrice]]</f>
        <v>597.98</v>
      </c>
    </row>
    <row r="1353" spans="1:14" x14ac:dyDescent="0.3">
      <c r="A1353" s="1">
        <v>45488</v>
      </c>
      <c r="B1353" t="s">
        <v>231</v>
      </c>
      <c r="C1353" t="s">
        <v>90</v>
      </c>
      <c r="D1353" t="s">
        <v>26</v>
      </c>
      <c r="E1353" t="s">
        <v>42</v>
      </c>
      <c r="F1353">
        <v>1</v>
      </c>
      <c r="G1353">
        <v>318.83</v>
      </c>
      <c r="H1353" t="s">
        <v>36</v>
      </c>
      <c r="I1353" t="s">
        <v>2060</v>
      </c>
      <c r="J1353" t="s">
        <v>20</v>
      </c>
      <c r="K1353" t="s">
        <v>21</v>
      </c>
      <c r="L1353" t="s">
        <v>60</v>
      </c>
      <c r="M1353" t="s">
        <v>49</v>
      </c>
      <c r="N1353">
        <f>Sheet1[[#This Row],[Quantity]]*Sheet1[[#This Row],[UnitPrice]]</f>
        <v>318.83</v>
      </c>
    </row>
    <row r="1354" spans="1:14" x14ac:dyDescent="0.3">
      <c r="A1354" s="1">
        <v>45313</v>
      </c>
      <c r="B1354" t="s">
        <v>1346</v>
      </c>
      <c r="C1354" t="s">
        <v>73</v>
      </c>
      <c r="D1354" t="s">
        <v>16</v>
      </c>
      <c r="E1354" t="s">
        <v>35</v>
      </c>
      <c r="F1354">
        <v>4</v>
      </c>
      <c r="G1354">
        <v>107.64</v>
      </c>
      <c r="H1354" t="s">
        <v>28</v>
      </c>
      <c r="I1354" t="s">
        <v>2061</v>
      </c>
      <c r="J1354" t="s">
        <v>38</v>
      </c>
      <c r="K1354" t="s">
        <v>31</v>
      </c>
      <c r="L1354" t="s">
        <v>39</v>
      </c>
      <c r="M1354" t="s">
        <v>49</v>
      </c>
      <c r="N1354">
        <f>Sheet1[[#This Row],[Quantity]]*Sheet1[[#This Row],[UnitPrice]]</f>
        <v>430.56</v>
      </c>
    </row>
    <row r="1355" spans="1:14" x14ac:dyDescent="0.3">
      <c r="A1355" s="1">
        <v>45629</v>
      </c>
      <c r="B1355" t="s">
        <v>463</v>
      </c>
      <c r="C1355" t="s">
        <v>90</v>
      </c>
      <c r="D1355" t="s">
        <v>26</v>
      </c>
      <c r="E1355" t="s">
        <v>67</v>
      </c>
      <c r="F1355">
        <v>5</v>
      </c>
      <c r="G1355">
        <v>96.13</v>
      </c>
      <c r="H1355" t="s">
        <v>28</v>
      </c>
      <c r="I1355" t="s">
        <v>2062</v>
      </c>
      <c r="J1355" t="s">
        <v>58</v>
      </c>
      <c r="K1355" t="s">
        <v>21</v>
      </c>
      <c r="L1355" t="s">
        <v>22</v>
      </c>
      <c r="M1355" t="s">
        <v>84</v>
      </c>
      <c r="N1355">
        <f>Sheet1[[#This Row],[Quantity]]*Sheet1[[#This Row],[UnitPrice]]</f>
        <v>480.65</v>
      </c>
    </row>
    <row r="1356" spans="1:14" x14ac:dyDescent="0.3">
      <c r="A1356" s="1">
        <v>45559</v>
      </c>
      <c r="B1356" t="s">
        <v>2063</v>
      </c>
      <c r="C1356" t="s">
        <v>15</v>
      </c>
      <c r="D1356" t="s">
        <v>47</v>
      </c>
      <c r="E1356" t="s">
        <v>27</v>
      </c>
      <c r="F1356">
        <v>3</v>
      </c>
      <c r="G1356">
        <v>377.63</v>
      </c>
      <c r="H1356" t="s">
        <v>28</v>
      </c>
      <c r="I1356" t="s">
        <v>2064</v>
      </c>
      <c r="J1356" t="s">
        <v>38</v>
      </c>
      <c r="K1356" t="s">
        <v>59</v>
      </c>
      <c r="L1356" t="s">
        <v>22</v>
      </c>
      <c r="M1356" t="s">
        <v>84</v>
      </c>
      <c r="N1356">
        <f>Sheet1[[#This Row],[Quantity]]*Sheet1[[#This Row],[UnitPrice]]</f>
        <v>1132.8899999999999</v>
      </c>
    </row>
    <row r="1357" spans="1:14" x14ac:dyDescent="0.3">
      <c r="A1357" s="1">
        <v>45692</v>
      </c>
      <c r="B1357" t="s">
        <v>1690</v>
      </c>
      <c r="C1357" t="s">
        <v>73</v>
      </c>
      <c r="D1357" t="s">
        <v>47</v>
      </c>
      <c r="E1357" t="s">
        <v>17</v>
      </c>
      <c r="F1357">
        <v>6</v>
      </c>
      <c r="G1357">
        <v>115.95</v>
      </c>
      <c r="H1357" t="s">
        <v>68</v>
      </c>
      <c r="I1357" t="s">
        <v>2065</v>
      </c>
      <c r="J1357" t="s">
        <v>58</v>
      </c>
      <c r="K1357" t="s">
        <v>45</v>
      </c>
      <c r="L1357" t="s">
        <v>39</v>
      </c>
      <c r="M1357" t="s">
        <v>84</v>
      </c>
      <c r="N1357">
        <f>Sheet1[[#This Row],[Quantity]]*Sheet1[[#This Row],[UnitPrice]]</f>
        <v>695.7</v>
      </c>
    </row>
    <row r="1358" spans="1:14" x14ac:dyDescent="0.3">
      <c r="A1358" s="1">
        <v>45829</v>
      </c>
      <c r="B1358" t="s">
        <v>164</v>
      </c>
      <c r="C1358" t="s">
        <v>78</v>
      </c>
      <c r="D1358" t="s">
        <v>47</v>
      </c>
      <c r="E1358" t="s">
        <v>67</v>
      </c>
      <c r="F1358">
        <v>8</v>
      </c>
      <c r="G1358">
        <v>80.38</v>
      </c>
      <c r="H1358" t="s">
        <v>28</v>
      </c>
      <c r="I1358" t="s">
        <v>2066</v>
      </c>
      <c r="J1358" t="s">
        <v>30</v>
      </c>
      <c r="K1358" t="s">
        <v>59</v>
      </c>
      <c r="L1358" t="s">
        <v>39</v>
      </c>
      <c r="M1358" t="s">
        <v>23</v>
      </c>
      <c r="N1358">
        <f>Sheet1[[#This Row],[Quantity]]*Sheet1[[#This Row],[UnitPrice]]</f>
        <v>643.04</v>
      </c>
    </row>
    <row r="1359" spans="1:14" x14ac:dyDescent="0.3">
      <c r="A1359" s="1">
        <v>45050</v>
      </c>
      <c r="B1359" t="s">
        <v>2067</v>
      </c>
      <c r="C1359" t="s">
        <v>73</v>
      </c>
      <c r="D1359" t="s">
        <v>74</v>
      </c>
      <c r="E1359" t="s">
        <v>42</v>
      </c>
      <c r="F1359">
        <v>9</v>
      </c>
      <c r="G1359">
        <v>387.83</v>
      </c>
      <c r="H1359" t="s">
        <v>18</v>
      </c>
      <c r="I1359" t="s">
        <v>2068</v>
      </c>
      <c r="J1359" t="s">
        <v>38</v>
      </c>
      <c r="K1359" t="s">
        <v>21</v>
      </c>
      <c r="L1359" t="s">
        <v>22</v>
      </c>
      <c r="M1359" t="s">
        <v>32</v>
      </c>
      <c r="N1359">
        <f>Sheet1[[#This Row],[Quantity]]*Sheet1[[#This Row],[UnitPrice]]</f>
        <v>3490.47</v>
      </c>
    </row>
    <row r="1360" spans="1:14" x14ac:dyDescent="0.3">
      <c r="A1360" s="1">
        <v>45731</v>
      </c>
      <c r="B1360" t="s">
        <v>200</v>
      </c>
      <c r="C1360" t="s">
        <v>56</v>
      </c>
      <c r="D1360" t="s">
        <v>26</v>
      </c>
      <c r="E1360" t="s">
        <v>17</v>
      </c>
      <c r="F1360">
        <v>8</v>
      </c>
      <c r="G1360">
        <v>142.19999999999999</v>
      </c>
      <c r="H1360" t="s">
        <v>53</v>
      </c>
      <c r="I1360" t="s">
        <v>2069</v>
      </c>
      <c r="J1360" t="s">
        <v>20</v>
      </c>
      <c r="K1360" t="s">
        <v>21</v>
      </c>
      <c r="L1360" t="s">
        <v>22</v>
      </c>
      <c r="M1360" t="s">
        <v>23</v>
      </c>
      <c r="N1360">
        <f>Sheet1[[#This Row],[Quantity]]*Sheet1[[#This Row],[UnitPrice]]</f>
        <v>1137.5999999999999</v>
      </c>
    </row>
    <row r="1361" spans="1:14" x14ac:dyDescent="0.3">
      <c r="A1361" s="1">
        <v>45445</v>
      </c>
      <c r="B1361" t="s">
        <v>1087</v>
      </c>
      <c r="C1361" t="s">
        <v>34</v>
      </c>
      <c r="D1361" t="s">
        <v>26</v>
      </c>
      <c r="E1361" t="s">
        <v>42</v>
      </c>
      <c r="F1361">
        <v>8</v>
      </c>
      <c r="G1361">
        <v>221.86</v>
      </c>
      <c r="H1361" t="s">
        <v>68</v>
      </c>
      <c r="I1361" t="s">
        <v>2070</v>
      </c>
      <c r="J1361" t="s">
        <v>30</v>
      </c>
      <c r="K1361" t="s">
        <v>21</v>
      </c>
      <c r="L1361" t="s">
        <v>22</v>
      </c>
      <c r="M1361" t="s">
        <v>61</v>
      </c>
      <c r="N1361">
        <f>Sheet1[[#This Row],[Quantity]]*Sheet1[[#This Row],[UnitPrice]]</f>
        <v>1774.88</v>
      </c>
    </row>
    <row r="1362" spans="1:14" x14ac:dyDescent="0.3">
      <c r="A1362" s="1">
        <v>45621</v>
      </c>
      <c r="B1362" t="s">
        <v>2071</v>
      </c>
      <c r="C1362" t="s">
        <v>15</v>
      </c>
      <c r="D1362" t="s">
        <v>26</v>
      </c>
      <c r="E1362" t="s">
        <v>67</v>
      </c>
      <c r="F1362">
        <v>3</v>
      </c>
      <c r="G1362">
        <v>331.95</v>
      </c>
      <c r="H1362" t="s">
        <v>68</v>
      </c>
      <c r="I1362" t="s">
        <v>2072</v>
      </c>
      <c r="J1362" t="s">
        <v>20</v>
      </c>
      <c r="K1362" t="s">
        <v>59</v>
      </c>
      <c r="L1362" t="s">
        <v>60</v>
      </c>
      <c r="M1362" t="s">
        <v>49</v>
      </c>
      <c r="N1362">
        <f>Sheet1[[#This Row],[Quantity]]*Sheet1[[#This Row],[UnitPrice]]</f>
        <v>995.84999999999991</v>
      </c>
    </row>
    <row r="1363" spans="1:14" x14ac:dyDescent="0.3">
      <c r="A1363" s="1">
        <v>45458</v>
      </c>
      <c r="B1363" t="s">
        <v>1633</v>
      </c>
      <c r="C1363" t="s">
        <v>90</v>
      </c>
      <c r="D1363" t="s">
        <v>16</v>
      </c>
      <c r="E1363" t="s">
        <v>67</v>
      </c>
      <c r="F1363">
        <v>10</v>
      </c>
      <c r="G1363">
        <v>109.91</v>
      </c>
      <c r="H1363" t="s">
        <v>36</v>
      </c>
      <c r="I1363" t="s">
        <v>2073</v>
      </c>
      <c r="J1363" t="s">
        <v>58</v>
      </c>
      <c r="K1363" t="s">
        <v>45</v>
      </c>
      <c r="L1363" t="s">
        <v>39</v>
      </c>
      <c r="M1363" t="s">
        <v>23</v>
      </c>
      <c r="N1363">
        <f>Sheet1[[#This Row],[Quantity]]*Sheet1[[#This Row],[UnitPrice]]</f>
        <v>1099.0999999999999</v>
      </c>
    </row>
    <row r="1364" spans="1:14" x14ac:dyDescent="0.3">
      <c r="A1364" s="1">
        <v>45030</v>
      </c>
      <c r="B1364" t="s">
        <v>1219</v>
      </c>
      <c r="C1364" t="s">
        <v>63</v>
      </c>
      <c r="D1364" t="s">
        <v>26</v>
      </c>
      <c r="E1364" t="s">
        <v>42</v>
      </c>
      <c r="F1364">
        <v>5</v>
      </c>
      <c r="G1364">
        <v>386.16</v>
      </c>
      <c r="H1364" t="s">
        <v>53</v>
      </c>
      <c r="I1364" t="s">
        <v>2074</v>
      </c>
      <c r="J1364" t="s">
        <v>58</v>
      </c>
      <c r="K1364" t="s">
        <v>21</v>
      </c>
      <c r="L1364" t="s">
        <v>39</v>
      </c>
      <c r="M1364" t="s">
        <v>40</v>
      </c>
      <c r="N1364">
        <f>Sheet1[[#This Row],[Quantity]]*Sheet1[[#This Row],[UnitPrice]]</f>
        <v>1930.8000000000002</v>
      </c>
    </row>
    <row r="1365" spans="1:14" x14ac:dyDescent="0.3">
      <c r="A1365" s="1">
        <v>45181</v>
      </c>
      <c r="B1365" t="s">
        <v>509</v>
      </c>
      <c r="C1365" t="s">
        <v>56</v>
      </c>
      <c r="D1365" t="s">
        <v>47</v>
      </c>
      <c r="E1365" t="s">
        <v>64</v>
      </c>
      <c r="F1365">
        <v>6</v>
      </c>
      <c r="G1365">
        <v>202.43</v>
      </c>
      <c r="H1365" t="s">
        <v>28</v>
      </c>
      <c r="I1365" t="s">
        <v>2075</v>
      </c>
      <c r="J1365" t="s">
        <v>30</v>
      </c>
      <c r="K1365" t="s">
        <v>21</v>
      </c>
      <c r="L1365" t="s">
        <v>22</v>
      </c>
      <c r="M1365" t="s">
        <v>84</v>
      </c>
      <c r="N1365">
        <f>Sheet1[[#This Row],[Quantity]]*Sheet1[[#This Row],[UnitPrice]]</f>
        <v>1214.58</v>
      </c>
    </row>
    <row r="1366" spans="1:14" x14ac:dyDescent="0.3">
      <c r="A1366" s="1">
        <v>45009</v>
      </c>
      <c r="B1366" t="s">
        <v>516</v>
      </c>
      <c r="C1366" t="s">
        <v>34</v>
      </c>
      <c r="D1366" t="s">
        <v>47</v>
      </c>
      <c r="E1366" t="s">
        <v>67</v>
      </c>
      <c r="F1366">
        <v>5</v>
      </c>
      <c r="G1366">
        <v>249.96</v>
      </c>
      <c r="H1366" t="s">
        <v>53</v>
      </c>
      <c r="I1366" t="s">
        <v>2076</v>
      </c>
      <c r="J1366" t="s">
        <v>38</v>
      </c>
      <c r="K1366" t="s">
        <v>59</v>
      </c>
      <c r="L1366" t="s">
        <v>60</v>
      </c>
      <c r="M1366" t="s">
        <v>40</v>
      </c>
      <c r="N1366">
        <f>Sheet1[[#This Row],[Quantity]]*Sheet1[[#This Row],[UnitPrice]]</f>
        <v>1249.8</v>
      </c>
    </row>
    <row r="1367" spans="1:14" x14ac:dyDescent="0.3">
      <c r="A1367" s="1">
        <v>45381</v>
      </c>
      <c r="B1367" t="s">
        <v>2077</v>
      </c>
      <c r="C1367" t="s">
        <v>56</v>
      </c>
      <c r="D1367" t="s">
        <v>26</v>
      </c>
      <c r="E1367" t="s">
        <v>64</v>
      </c>
      <c r="F1367">
        <v>8</v>
      </c>
      <c r="G1367">
        <v>22.18</v>
      </c>
      <c r="H1367" t="s">
        <v>36</v>
      </c>
      <c r="I1367" t="s">
        <v>2078</v>
      </c>
      <c r="J1367" t="s">
        <v>58</v>
      </c>
      <c r="K1367" t="s">
        <v>59</v>
      </c>
      <c r="L1367" t="s">
        <v>22</v>
      </c>
      <c r="M1367" t="s">
        <v>23</v>
      </c>
      <c r="N1367">
        <f>Sheet1[[#This Row],[Quantity]]*Sheet1[[#This Row],[UnitPrice]]</f>
        <v>177.44</v>
      </c>
    </row>
    <row r="1368" spans="1:14" x14ac:dyDescent="0.3">
      <c r="A1368" s="1">
        <v>45006</v>
      </c>
      <c r="B1368" t="s">
        <v>999</v>
      </c>
      <c r="C1368" t="s">
        <v>63</v>
      </c>
      <c r="D1368" t="s">
        <v>74</v>
      </c>
      <c r="E1368" t="s">
        <v>35</v>
      </c>
      <c r="F1368">
        <v>5</v>
      </c>
      <c r="G1368">
        <v>398.19</v>
      </c>
      <c r="H1368" t="s">
        <v>18</v>
      </c>
      <c r="I1368" t="s">
        <v>2079</v>
      </c>
      <c r="J1368" t="s">
        <v>58</v>
      </c>
      <c r="K1368" t="s">
        <v>31</v>
      </c>
      <c r="L1368" t="s">
        <v>60</v>
      </c>
      <c r="M1368" t="s">
        <v>84</v>
      </c>
      <c r="N1368">
        <f>Sheet1[[#This Row],[Quantity]]*Sheet1[[#This Row],[UnitPrice]]</f>
        <v>1990.95</v>
      </c>
    </row>
    <row r="1369" spans="1:14" x14ac:dyDescent="0.3">
      <c r="A1369" s="1">
        <v>45760</v>
      </c>
      <c r="B1369" t="s">
        <v>169</v>
      </c>
      <c r="C1369" t="s">
        <v>78</v>
      </c>
      <c r="D1369" t="s">
        <v>16</v>
      </c>
      <c r="E1369" t="s">
        <v>42</v>
      </c>
      <c r="F1369">
        <v>7</v>
      </c>
      <c r="G1369">
        <v>61.81</v>
      </c>
      <c r="H1369" t="s">
        <v>68</v>
      </c>
      <c r="I1369" t="s">
        <v>2080</v>
      </c>
      <c r="J1369" t="s">
        <v>20</v>
      </c>
      <c r="K1369" t="s">
        <v>59</v>
      </c>
      <c r="L1369" t="s">
        <v>39</v>
      </c>
      <c r="M1369" t="s">
        <v>61</v>
      </c>
      <c r="N1369">
        <f>Sheet1[[#This Row],[Quantity]]*Sheet1[[#This Row],[UnitPrice]]</f>
        <v>432.67</v>
      </c>
    </row>
    <row r="1370" spans="1:14" x14ac:dyDescent="0.3">
      <c r="A1370" s="1">
        <v>45354</v>
      </c>
      <c r="B1370" t="s">
        <v>707</v>
      </c>
      <c r="C1370" t="s">
        <v>15</v>
      </c>
      <c r="D1370" t="s">
        <v>74</v>
      </c>
      <c r="E1370" t="s">
        <v>64</v>
      </c>
      <c r="F1370">
        <v>6</v>
      </c>
      <c r="G1370">
        <v>120.36</v>
      </c>
      <c r="H1370" t="s">
        <v>28</v>
      </c>
      <c r="I1370" t="s">
        <v>2081</v>
      </c>
      <c r="J1370" t="s">
        <v>44</v>
      </c>
      <c r="K1370" t="s">
        <v>45</v>
      </c>
      <c r="L1370" t="s">
        <v>39</v>
      </c>
      <c r="M1370" t="s">
        <v>61</v>
      </c>
      <c r="N1370">
        <f>Sheet1[[#This Row],[Quantity]]*Sheet1[[#This Row],[UnitPrice]]</f>
        <v>722.16</v>
      </c>
    </row>
    <row r="1371" spans="1:14" x14ac:dyDescent="0.3">
      <c r="A1371" s="1">
        <v>45614</v>
      </c>
      <c r="B1371" t="s">
        <v>1210</v>
      </c>
      <c r="C1371" t="s">
        <v>34</v>
      </c>
      <c r="D1371" t="s">
        <v>26</v>
      </c>
      <c r="E1371" t="s">
        <v>42</v>
      </c>
      <c r="F1371">
        <v>1</v>
      </c>
      <c r="G1371">
        <v>371.02</v>
      </c>
      <c r="H1371" t="s">
        <v>28</v>
      </c>
      <c r="I1371" t="s">
        <v>2082</v>
      </c>
      <c r="J1371" t="s">
        <v>20</v>
      </c>
      <c r="K1371" t="s">
        <v>59</v>
      </c>
      <c r="L1371" t="s">
        <v>22</v>
      </c>
      <c r="M1371" t="s">
        <v>49</v>
      </c>
      <c r="N1371">
        <f>Sheet1[[#This Row],[Quantity]]*Sheet1[[#This Row],[UnitPrice]]</f>
        <v>371.02</v>
      </c>
    </row>
    <row r="1372" spans="1:14" x14ac:dyDescent="0.3">
      <c r="A1372" s="1">
        <v>45019</v>
      </c>
      <c r="B1372" t="s">
        <v>313</v>
      </c>
      <c r="C1372" t="s">
        <v>73</v>
      </c>
      <c r="D1372" t="s">
        <v>47</v>
      </c>
      <c r="E1372" t="s">
        <v>17</v>
      </c>
      <c r="F1372">
        <v>9</v>
      </c>
      <c r="G1372">
        <v>67.98</v>
      </c>
      <c r="H1372" t="s">
        <v>68</v>
      </c>
      <c r="I1372" t="s">
        <v>2083</v>
      </c>
      <c r="J1372" t="s">
        <v>58</v>
      </c>
      <c r="K1372" t="s">
        <v>31</v>
      </c>
      <c r="L1372" t="s">
        <v>22</v>
      </c>
      <c r="M1372" t="s">
        <v>49</v>
      </c>
      <c r="N1372">
        <f>Sheet1[[#This Row],[Quantity]]*Sheet1[[#This Row],[UnitPrice]]</f>
        <v>611.82000000000005</v>
      </c>
    </row>
    <row r="1373" spans="1:14" x14ac:dyDescent="0.3">
      <c r="A1373" s="1">
        <v>45228</v>
      </c>
      <c r="B1373" t="s">
        <v>608</v>
      </c>
      <c r="C1373" t="s">
        <v>15</v>
      </c>
      <c r="D1373" t="s">
        <v>74</v>
      </c>
      <c r="E1373" t="s">
        <v>42</v>
      </c>
      <c r="F1373">
        <v>7</v>
      </c>
      <c r="G1373">
        <v>194.84</v>
      </c>
      <c r="H1373" t="s">
        <v>28</v>
      </c>
      <c r="I1373" t="s">
        <v>2084</v>
      </c>
      <c r="J1373" t="s">
        <v>38</v>
      </c>
      <c r="K1373" t="s">
        <v>45</v>
      </c>
      <c r="L1373" t="s">
        <v>60</v>
      </c>
      <c r="M1373" t="s">
        <v>61</v>
      </c>
      <c r="N1373">
        <f>Sheet1[[#This Row],[Quantity]]*Sheet1[[#This Row],[UnitPrice]]</f>
        <v>1363.88</v>
      </c>
    </row>
    <row r="1374" spans="1:14" x14ac:dyDescent="0.3">
      <c r="A1374" s="1">
        <v>45543</v>
      </c>
      <c r="B1374" t="s">
        <v>2085</v>
      </c>
      <c r="C1374" t="s">
        <v>73</v>
      </c>
      <c r="D1374" t="s">
        <v>47</v>
      </c>
      <c r="E1374" t="s">
        <v>64</v>
      </c>
      <c r="F1374">
        <v>2</v>
      </c>
      <c r="G1374">
        <v>301.23</v>
      </c>
      <c r="H1374" t="s">
        <v>28</v>
      </c>
      <c r="I1374" t="s">
        <v>2086</v>
      </c>
      <c r="J1374" t="s">
        <v>20</v>
      </c>
      <c r="K1374" t="s">
        <v>31</v>
      </c>
      <c r="L1374" t="s">
        <v>60</v>
      </c>
      <c r="M1374" t="s">
        <v>61</v>
      </c>
      <c r="N1374">
        <f>Sheet1[[#This Row],[Quantity]]*Sheet1[[#This Row],[UnitPrice]]</f>
        <v>602.46</v>
      </c>
    </row>
    <row r="1375" spans="1:14" x14ac:dyDescent="0.3">
      <c r="A1375" s="1">
        <v>45789</v>
      </c>
      <c r="B1375" t="s">
        <v>2087</v>
      </c>
      <c r="C1375" t="s">
        <v>34</v>
      </c>
      <c r="D1375" t="s">
        <v>16</v>
      </c>
      <c r="E1375" t="s">
        <v>64</v>
      </c>
      <c r="F1375">
        <v>6</v>
      </c>
      <c r="G1375">
        <v>284.08</v>
      </c>
      <c r="H1375" t="s">
        <v>36</v>
      </c>
      <c r="I1375" t="s">
        <v>2088</v>
      </c>
      <c r="J1375" t="s">
        <v>30</v>
      </c>
      <c r="K1375" t="s">
        <v>45</v>
      </c>
      <c r="L1375" t="s">
        <v>60</v>
      </c>
      <c r="M1375" t="s">
        <v>49</v>
      </c>
      <c r="N1375">
        <f>Sheet1[[#This Row],[Quantity]]*Sheet1[[#This Row],[UnitPrice]]</f>
        <v>1704.48</v>
      </c>
    </row>
    <row r="1376" spans="1:14" x14ac:dyDescent="0.3">
      <c r="A1376" s="1">
        <v>45252</v>
      </c>
      <c r="B1376" t="s">
        <v>113</v>
      </c>
      <c r="C1376" t="s">
        <v>63</v>
      </c>
      <c r="D1376" t="s">
        <v>26</v>
      </c>
      <c r="E1376" t="s">
        <v>35</v>
      </c>
      <c r="F1376">
        <v>4</v>
      </c>
      <c r="G1376">
        <v>220.45</v>
      </c>
      <c r="H1376" t="s">
        <v>53</v>
      </c>
      <c r="I1376" t="s">
        <v>2089</v>
      </c>
      <c r="J1376" t="s">
        <v>30</v>
      </c>
      <c r="K1376" t="s">
        <v>59</v>
      </c>
      <c r="L1376" t="s">
        <v>39</v>
      </c>
      <c r="M1376" t="s">
        <v>76</v>
      </c>
      <c r="N1376">
        <f>Sheet1[[#This Row],[Quantity]]*Sheet1[[#This Row],[UnitPrice]]</f>
        <v>881.8</v>
      </c>
    </row>
    <row r="1377" spans="1:14" x14ac:dyDescent="0.3">
      <c r="A1377" s="1">
        <v>45710</v>
      </c>
      <c r="B1377" t="s">
        <v>463</v>
      </c>
      <c r="C1377" t="s">
        <v>101</v>
      </c>
      <c r="D1377" t="s">
        <v>47</v>
      </c>
      <c r="E1377" t="s">
        <v>52</v>
      </c>
      <c r="F1377">
        <v>5</v>
      </c>
      <c r="G1377">
        <v>254.06</v>
      </c>
      <c r="H1377" t="s">
        <v>28</v>
      </c>
      <c r="I1377" t="s">
        <v>2090</v>
      </c>
      <c r="J1377" t="s">
        <v>38</v>
      </c>
      <c r="K1377" t="s">
        <v>59</v>
      </c>
      <c r="L1377" t="s">
        <v>22</v>
      </c>
      <c r="M1377" t="s">
        <v>23</v>
      </c>
      <c r="N1377">
        <f>Sheet1[[#This Row],[Quantity]]*Sheet1[[#This Row],[UnitPrice]]</f>
        <v>1270.3</v>
      </c>
    </row>
    <row r="1378" spans="1:14" x14ac:dyDescent="0.3">
      <c r="A1378" s="1">
        <v>45280</v>
      </c>
      <c r="B1378" t="s">
        <v>536</v>
      </c>
      <c r="C1378" t="s">
        <v>73</v>
      </c>
      <c r="D1378" t="s">
        <v>26</v>
      </c>
      <c r="E1378" t="s">
        <v>27</v>
      </c>
      <c r="F1378">
        <v>6</v>
      </c>
      <c r="G1378">
        <v>194.11</v>
      </c>
      <c r="H1378" t="s">
        <v>28</v>
      </c>
      <c r="I1378" t="s">
        <v>2091</v>
      </c>
      <c r="J1378" t="s">
        <v>58</v>
      </c>
      <c r="K1378" t="s">
        <v>31</v>
      </c>
      <c r="L1378" t="s">
        <v>22</v>
      </c>
      <c r="M1378" t="s">
        <v>76</v>
      </c>
      <c r="N1378">
        <f>Sheet1[[#This Row],[Quantity]]*Sheet1[[#This Row],[UnitPrice]]</f>
        <v>1164.6600000000001</v>
      </c>
    </row>
    <row r="1379" spans="1:14" x14ac:dyDescent="0.3">
      <c r="A1379" s="1">
        <v>45030</v>
      </c>
      <c r="B1379" t="s">
        <v>1346</v>
      </c>
      <c r="C1379" t="s">
        <v>73</v>
      </c>
      <c r="D1379" t="s">
        <v>26</v>
      </c>
      <c r="E1379" t="s">
        <v>42</v>
      </c>
      <c r="F1379">
        <v>4</v>
      </c>
      <c r="G1379">
        <v>324.27999999999997</v>
      </c>
      <c r="H1379" t="s">
        <v>18</v>
      </c>
      <c r="I1379" t="s">
        <v>2092</v>
      </c>
      <c r="J1379" t="s">
        <v>30</v>
      </c>
      <c r="K1379" t="s">
        <v>59</v>
      </c>
      <c r="L1379" t="s">
        <v>39</v>
      </c>
      <c r="M1379" t="s">
        <v>40</v>
      </c>
      <c r="N1379">
        <f>Sheet1[[#This Row],[Quantity]]*Sheet1[[#This Row],[UnitPrice]]</f>
        <v>1297.1199999999999</v>
      </c>
    </row>
    <row r="1380" spans="1:14" x14ac:dyDescent="0.3">
      <c r="A1380" s="1">
        <v>45252</v>
      </c>
      <c r="B1380" t="s">
        <v>123</v>
      </c>
      <c r="C1380" t="s">
        <v>25</v>
      </c>
      <c r="D1380" t="s">
        <v>47</v>
      </c>
      <c r="E1380" t="s">
        <v>42</v>
      </c>
      <c r="F1380">
        <v>1</v>
      </c>
      <c r="G1380">
        <v>390.76</v>
      </c>
      <c r="H1380" t="s">
        <v>28</v>
      </c>
      <c r="I1380" t="s">
        <v>2093</v>
      </c>
      <c r="J1380" t="s">
        <v>30</v>
      </c>
      <c r="K1380" t="s">
        <v>45</v>
      </c>
      <c r="L1380" t="s">
        <v>39</v>
      </c>
      <c r="M1380" t="s">
        <v>76</v>
      </c>
      <c r="N1380">
        <f>Sheet1[[#This Row],[Quantity]]*Sheet1[[#This Row],[UnitPrice]]</f>
        <v>390.76</v>
      </c>
    </row>
    <row r="1381" spans="1:14" x14ac:dyDescent="0.3">
      <c r="A1381" s="1">
        <v>45338</v>
      </c>
      <c r="B1381" t="s">
        <v>1061</v>
      </c>
      <c r="C1381" t="s">
        <v>101</v>
      </c>
      <c r="D1381" t="s">
        <v>74</v>
      </c>
      <c r="E1381" t="s">
        <v>27</v>
      </c>
      <c r="F1381">
        <v>3</v>
      </c>
      <c r="G1381">
        <v>24.64</v>
      </c>
      <c r="H1381" t="s">
        <v>68</v>
      </c>
      <c r="I1381" t="s">
        <v>2094</v>
      </c>
      <c r="J1381" t="s">
        <v>38</v>
      </c>
      <c r="K1381" t="s">
        <v>21</v>
      </c>
      <c r="L1381" t="s">
        <v>39</v>
      </c>
      <c r="M1381" t="s">
        <v>40</v>
      </c>
      <c r="N1381">
        <f>Sheet1[[#This Row],[Quantity]]*Sheet1[[#This Row],[UnitPrice]]</f>
        <v>73.92</v>
      </c>
    </row>
    <row r="1382" spans="1:14" x14ac:dyDescent="0.3">
      <c r="A1382" s="1">
        <v>45813</v>
      </c>
      <c r="B1382" t="s">
        <v>1838</v>
      </c>
      <c r="C1382" t="s">
        <v>90</v>
      </c>
      <c r="D1382" t="s">
        <v>74</v>
      </c>
      <c r="E1382" t="s">
        <v>27</v>
      </c>
      <c r="F1382">
        <v>1</v>
      </c>
      <c r="G1382">
        <v>263.08999999999997</v>
      </c>
      <c r="H1382" t="s">
        <v>28</v>
      </c>
      <c r="I1382" t="s">
        <v>2095</v>
      </c>
      <c r="J1382" t="s">
        <v>30</v>
      </c>
      <c r="K1382" t="s">
        <v>59</v>
      </c>
      <c r="L1382" t="s">
        <v>39</v>
      </c>
      <c r="M1382" t="s">
        <v>32</v>
      </c>
      <c r="N1382">
        <f>Sheet1[[#This Row],[Quantity]]*Sheet1[[#This Row],[UnitPrice]]</f>
        <v>263.08999999999997</v>
      </c>
    </row>
    <row r="1383" spans="1:14" x14ac:dyDescent="0.3">
      <c r="A1383" s="1">
        <v>44928</v>
      </c>
      <c r="B1383" t="s">
        <v>2096</v>
      </c>
      <c r="C1383" t="s">
        <v>56</v>
      </c>
      <c r="D1383" t="s">
        <v>26</v>
      </c>
      <c r="E1383" t="s">
        <v>27</v>
      </c>
      <c r="F1383">
        <v>6</v>
      </c>
      <c r="G1383">
        <v>345.68</v>
      </c>
      <c r="H1383" t="s">
        <v>53</v>
      </c>
      <c r="I1383" t="s">
        <v>2097</v>
      </c>
      <c r="J1383" t="s">
        <v>20</v>
      </c>
      <c r="K1383" t="s">
        <v>59</v>
      </c>
      <c r="L1383" t="s">
        <v>39</v>
      </c>
      <c r="M1383" t="s">
        <v>49</v>
      </c>
      <c r="N1383">
        <f>Sheet1[[#This Row],[Quantity]]*Sheet1[[#This Row],[UnitPrice]]</f>
        <v>2074.08</v>
      </c>
    </row>
    <row r="1384" spans="1:14" x14ac:dyDescent="0.3">
      <c r="A1384" s="1">
        <v>45235</v>
      </c>
      <c r="B1384" t="s">
        <v>477</v>
      </c>
      <c r="C1384" t="s">
        <v>101</v>
      </c>
      <c r="D1384" t="s">
        <v>26</v>
      </c>
      <c r="E1384" t="s">
        <v>52</v>
      </c>
      <c r="F1384">
        <v>1</v>
      </c>
      <c r="G1384">
        <v>197.46</v>
      </c>
      <c r="H1384" t="s">
        <v>68</v>
      </c>
      <c r="I1384" t="s">
        <v>2098</v>
      </c>
      <c r="J1384" t="s">
        <v>30</v>
      </c>
      <c r="K1384" t="s">
        <v>45</v>
      </c>
      <c r="L1384" t="s">
        <v>22</v>
      </c>
      <c r="M1384" t="s">
        <v>61</v>
      </c>
      <c r="N1384">
        <f>Sheet1[[#This Row],[Quantity]]*Sheet1[[#This Row],[UnitPrice]]</f>
        <v>197.46</v>
      </c>
    </row>
    <row r="1385" spans="1:14" x14ac:dyDescent="0.3">
      <c r="A1385" s="1">
        <v>45399</v>
      </c>
      <c r="B1385" t="s">
        <v>150</v>
      </c>
      <c r="C1385" t="s">
        <v>34</v>
      </c>
      <c r="D1385" t="s">
        <v>47</v>
      </c>
      <c r="E1385" t="s">
        <v>27</v>
      </c>
      <c r="F1385">
        <v>7</v>
      </c>
      <c r="G1385">
        <v>285.29000000000002</v>
      </c>
      <c r="H1385" t="s">
        <v>68</v>
      </c>
      <c r="I1385" t="s">
        <v>2099</v>
      </c>
      <c r="J1385" t="s">
        <v>58</v>
      </c>
      <c r="K1385" t="s">
        <v>59</v>
      </c>
      <c r="L1385" t="s">
        <v>39</v>
      </c>
      <c r="M1385" t="s">
        <v>76</v>
      </c>
      <c r="N1385">
        <f>Sheet1[[#This Row],[Quantity]]*Sheet1[[#This Row],[UnitPrice]]</f>
        <v>1997.0300000000002</v>
      </c>
    </row>
    <row r="1386" spans="1:14" x14ac:dyDescent="0.3">
      <c r="A1386" s="1">
        <v>45023</v>
      </c>
      <c r="B1386" t="s">
        <v>1341</v>
      </c>
      <c r="C1386" t="s">
        <v>63</v>
      </c>
      <c r="D1386" t="s">
        <v>74</v>
      </c>
      <c r="E1386" t="s">
        <v>67</v>
      </c>
      <c r="F1386">
        <v>9</v>
      </c>
      <c r="G1386">
        <v>265.26</v>
      </c>
      <c r="H1386" t="s">
        <v>18</v>
      </c>
      <c r="I1386" t="s">
        <v>2100</v>
      </c>
      <c r="J1386" t="s">
        <v>30</v>
      </c>
      <c r="K1386" t="s">
        <v>45</v>
      </c>
      <c r="L1386" t="s">
        <v>39</v>
      </c>
      <c r="M1386" t="s">
        <v>40</v>
      </c>
      <c r="N1386">
        <f>Sheet1[[#This Row],[Quantity]]*Sheet1[[#This Row],[UnitPrice]]</f>
        <v>2387.34</v>
      </c>
    </row>
    <row r="1387" spans="1:14" x14ac:dyDescent="0.3">
      <c r="A1387" s="1">
        <v>44971</v>
      </c>
      <c r="B1387" t="s">
        <v>1037</v>
      </c>
      <c r="C1387" t="s">
        <v>51</v>
      </c>
      <c r="D1387" t="s">
        <v>16</v>
      </c>
      <c r="E1387" t="s">
        <v>35</v>
      </c>
      <c r="F1387">
        <v>9</v>
      </c>
      <c r="G1387">
        <v>86.8</v>
      </c>
      <c r="H1387" t="s">
        <v>18</v>
      </c>
      <c r="I1387" t="s">
        <v>2101</v>
      </c>
      <c r="J1387" t="s">
        <v>38</v>
      </c>
      <c r="K1387" t="s">
        <v>21</v>
      </c>
      <c r="L1387" t="s">
        <v>39</v>
      </c>
      <c r="M1387" t="s">
        <v>84</v>
      </c>
      <c r="N1387">
        <f>Sheet1[[#This Row],[Quantity]]*Sheet1[[#This Row],[UnitPrice]]</f>
        <v>781.19999999999993</v>
      </c>
    </row>
    <row r="1388" spans="1:14" x14ac:dyDescent="0.3">
      <c r="A1388" s="1">
        <v>45355</v>
      </c>
      <c r="B1388" t="s">
        <v>1365</v>
      </c>
      <c r="C1388" t="s">
        <v>56</v>
      </c>
      <c r="D1388" t="s">
        <v>74</v>
      </c>
      <c r="E1388" t="s">
        <v>67</v>
      </c>
      <c r="F1388">
        <v>5</v>
      </c>
      <c r="G1388">
        <v>128.22</v>
      </c>
      <c r="H1388" t="s">
        <v>36</v>
      </c>
      <c r="I1388" t="s">
        <v>2102</v>
      </c>
      <c r="J1388" t="s">
        <v>20</v>
      </c>
      <c r="K1388" t="s">
        <v>31</v>
      </c>
      <c r="L1388" t="s">
        <v>60</v>
      </c>
      <c r="M1388" t="s">
        <v>49</v>
      </c>
      <c r="N1388">
        <f>Sheet1[[#This Row],[Quantity]]*Sheet1[[#This Row],[UnitPrice]]</f>
        <v>641.1</v>
      </c>
    </row>
    <row r="1389" spans="1:14" x14ac:dyDescent="0.3">
      <c r="A1389" s="1">
        <v>45679</v>
      </c>
      <c r="B1389" t="s">
        <v>444</v>
      </c>
      <c r="C1389" t="s">
        <v>15</v>
      </c>
      <c r="D1389" t="s">
        <v>74</v>
      </c>
      <c r="E1389" t="s">
        <v>67</v>
      </c>
      <c r="F1389">
        <v>4</v>
      </c>
      <c r="G1389">
        <v>217.45</v>
      </c>
      <c r="H1389" t="s">
        <v>68</v>
      </c>
      <c r="I1389" t="s">
        <v>2103</v>
      </c>
      <c r="J1389" t="s">
        <v>38</v>
      </c>
      <c r="K1389" t="s">
        <v>31</v>
      </c>
      <c r="L1389" t="s">
        <v>22</v>
      </c>
      <c r="M1389" t="s">
        <v>76</v>
      </c>
      <c r="N1389">
        <f>Sheet1[[#This Row],[Quantity]]*Sheet1[[#This Row],[UnitPrice]]</f>
        <v>869.8</v>
      </c>
    </row>
    <row r="1390" spans="1:14" x14ac:dyDescent="0.3">
      <c r="A1390" s="1">
        <v>44980</v>
      </c>
      <c r="B1390" t="s">
        <v>2104</v>
      </c>
      <c r="C1390" t="s">
        <v>90</v>
      </c>
      <c r="D1390" t="s">
        <v>47</v>
      </c>
      <c r="E1390" t="s">
        <v>52</v>
      </c>
      <c r="F1390">
        <v>2</v>
      </c>
      <c r="G1390">
        <v>27.39</v>
      </c>
      <c r="H1390" t="s">
        <v>53</v>
      </c>
      <c r="I1390" t="s">
        <v>2105</v>
      </c>
      <c r="J1390" t="s">
        <v>44</v>
      </c>
      <c r="K1390" t="s">
        <v>59</v>
      </c>
      <c r="L1390" t="s">
        <v>39</v>
      </c>
      <c r="M1390" t="s">
        <v>32</v>
      </c>
      <c r="N1390">
        <f>Sheet1[[#This Row],[Quantity]]*Sheet1[[#This Row],[UnitPrice]]</f>
        <v>54.78</v>
      </c>
    </row>
    <row r="1391" spans="1:14" x14ac:dyDescent="0.3">
      <c r="A1391" s="1">
        <v>44987</v>
      </c>
      <c r="B1391" t="s">
        <v>559</v>
      </c>
      <c r="C1391" t="s">
        <v>15</v>
      </c>
      <c r="D1391" t="s">
        <v>47</v>
      </c>
      <c r="E1391" t="s">
        <v>35</v>
      </c>
      <c r="F1391">
        <v>7</v>
      </c>
      <c r="G1391">
        <v>293.82</v>
      </c>
      <c r="H1391" t="s">
        <v>28</v>
      </c>
      <c r="I1391" t="s">
        <v>2106</v>
      </c>
      <c r="J1391" t="s">
        <v>20</v>
      </c>
      <c r="K1391" t="s">
        <v>31</v>
      </c>
      <c r="L1391" t="s">
        <v>39</v>
      </c>
      <c r="M1391" t="s">
        <v>32</v>
      </c>
      <c r="N1391">
        <f>Sheet1[[#This Row],[Quantity]]*Sheet1[[#This Row],[UnitPrice]]</f>
        <v>2056.7399999999998</v>
      </c>
    </row>
    <row r="1392" spans="1:14" x14ac:dyDescent="0.3">
      <c r="A1392" s="1">
        <v>45285</v>
      </c>
      <c r="B1392" t="s">
        <v>651</v>
      </c>
      <c r="C1392" t="s">
        <v>56</v>
      </c>
      <c r="D1392" t="s">
        <v>47</v>
      </c>
      <c r="E1392" t="s">
        <v>42</v>
      </c>
      <c r="F1392">
        <v>4</v>
      </c>
      <c r="G1392">
        <v>310.24</v>
      </c>
      <c r="H1392" t="s">
        <v>36</v>
      </c>
      <c r="I1392" t="s">
        <v>2107</v>
      </c>
      <c r="J1392" t="s">
        <v>58</v>
      </c>
      <c r="K1392" t="s">
        <v>59</v>
      </c>
      <c r="L1392" t="s">
        <v>22</v>
      </c>
      <c r="M1392" t="s">
        <v>49</v>
      </c>
      <c r="N1392">
        <f>Sheet1[[#This Row],[Quantity]]*Sheet1[[#This Row],[UnitPrice]]</f>
        <v>1240.96</v>
      </c>
    </row>
    <row r="1393" spans="1:14" x14ac:dyDescent="0.3">
      <c r="A1393" s="1">
        <v>45726</v>
      </c>
      <c r="B1393" t="s">
        <v>431</v>
      </c>
      <c r="C1393" t="s">
        <v>15</v>
      </c>
      <c r="D1393" t="s">
        <v>74</v>
      </c>
      <c r="E1393" t="s">
        <v>27</v>
      </c>
      <c r="F1393">
        <v>8</v>
      </c>
      <c r="G1393">
        <v>339.18</v>
      </c>
      <c r="H1393" t="s">
        <v>53</v>
      </c>
      <c r="I1393" t="s">
        <v>2108</v>
      </c>
      <c r="J1393" t="s">
        <v>58</v>
      </c>
      <c r="K1393" t="s">
        <v>31</v>
      </c>
      <c r="L1393" t="s">
        <v>22</v>
      </c>
      <c r="M1393" t="s">
        <v>49</v>
      </c>
      <c r="N1393">
        <f>Sheet1[[#This Row],[Quantity]]*Sheet1[[#This Row],[UnitPrice]]</f>
        <v>2713.44</v>
      </c>
    </row>
    <row r="1394" spans="1:14" x14ac:dyDescent="0.3">
      <c r="A1394" s="1">
        <v>45246</v>
      </c>
      <c r="B1394" t="s">
        <v>1205</v>
      </c>
      <c r="C1394" t="s">
        <v>25</v>
      </c>
      <c r="D1394" t="s">
        <v>26</v>
      </c>
      <c r="E1394" t="s">
        <v>27</v>
      </c>
      <c r="F1394">
        <v>8</v>
      </c>
      <c r="G1394">
        <v>118.09</v>
      </c>
      <c r="H1394" t="s">
        <v>68</v>
      </c>
      <c r="I1394" t="s">
        <v>2109</v>
      </c>
      <c r="J1394" t="s">
        <v>38</v>
      </c>
      <c r="K1394" t="s">
        <v>59</v>
      </c>
      <c r="L1394" t="s">
        <v>39</v>
      </c>
      <c r="M1394" t="s">
        <v>32</v>
      </c>
      <c r="N1394">
        <f>Sheet1[[#This Row],[Quantity]]*Sheet1[[#This Row],[UnitPrice]]</f>
        <v>944.72</v>
      </c>
    </row>
    <row r="1395" spans="1:14" x14ac:dyDescent="0.3">
      <c r="A1395" s="1">
        <v>45529</v>
      </c>
      <c r="B1395" t="s">
        <v>522</v>
      </c>
      <c r="C1395" t="s">
        <v>90</v>
      </c>
      <c r="D1395" t="s">
        <v>26</v>
      </c>
      <c r="E1395" t="s">
        <v>17</v>
      </c>
      <c r="F1395">
        <v>8</v>
      </c>
      <c r="G1395">
        <v>138.79</v>
      </c>
      <c r="H1395" t="s">
        <v>28</v>
      </c>
      <c r="I1395" t="s">
        <v>2110</v>
      </c>
      <c r="J1395" t="s">
        <v>44</v>
      </c>
      <c r="K1395" t="s">
        <v>31</v>
      </c>
      <c r="L1395" t="s">
        <v>22</v>
      </c>
      <c r="M1395" t="s">
        <v>61</v>
      </c>
      <c r="N1395">
        <f>Sheet1[[#This Row],[Quantity]]*Sheet1[[#This Row],[UnitPrice]]</f>
        <v>1110.32</v>
      </c>
    </row>
    <row r="1396" spans="1:14" x14ac:dyDescent="0.3">
      <c r="A1396" s="1">
        <v>45261</v>
      </c>
      <c r="B1396" t="s">
        <v>683</v>
      </c>
      <c r="C1396" t="s">
        <v>15</v>
      </c>
      <c r="D1396" t="s">
        <v>47</v>
      </c>
      <c r="E1396" t="s">
        <v>27</v>
      </c>
      <c r="F1396">
        <v>8</v>
      </c>
      <c r="G1396">
        <v>264.55</v>
      </c>
      <c r="H1396" t="s">
        <v>36</v>
      </c>
      <c r="I1396" t="s">
        <v>2111</v>
      </c>
      <c r="J1396" t="s">
        <v>38</v>
      </c>
      <c r="K1396" t="s">
        <v>45</v>
      </c>
      <c r="L1396" t="s">
        <v>39</v>
      </c>
      <c r="M1396" t="s">
        <v>40</v>
      </c>
      <c r="N1396">
        <f>Sheet1[[#This Row],[Quantity]]*Sheet1[[#This Row],[UnitPrice]]</f>
        <v>2116.4</v>
      </c>
    </row>
    <row r="1397" spans="1:14" x14ac:dyDescent="0.3">
      <c r="A1397" s="1">
        <v>45789</v>
      </c>
      <c r="B1397" t="s">
        <v>1307</v>
      </c>
      <c r="C1397" t="s">
        <v>73</v>
      </c>
      <c r="D1397" t="s">
        <v>74</v>
      </c>
      <c r="E1397" t="s">
        <v>52</v>
      </c>
      <c r="F1397">
        <v>3</v>
      </c>
      <c r="G1397">
        <v>396.2</v>
      </c>
      <c r="H1397" t="s">
        <v>36</v>
      </c>
      <c r="I1397" t="s">
        <v>2112</v>
      </c>
      <c r="J1397" t="s">
        <v>30</v>
      </c>
      <c r="K1397" t="s">
        <v>21</v>
      </c>
      <c r="L1397" t="s">
        <v>22</v>
      </c>
      <c r="M1397" t="s">
        <v>49</v>
      </c>
      <c r="N1397">
        <f>Sheet1[[#This Row],[Quantity]]*Sheet1[[#This Row],[UnitPrice]]</f>
        <v>1188.5999999999999</v>
      </c>
    </row>
    <row r="1398" spans="1:14" x14ac:dyDescent="0.3">
      <c r="A1398" s="1">
        <v>45694</v>
      </c>
      <c r="B1398" t="s">
        <v>2113</v>
      </c>
      <c r="C1398" t="s">
        <v>51</v>
      </c>
      <c r="D1398" t="s">
        <v>47</v>
      </c>
      <c r="E1398" t="s">
        <v>17</v>
      </c>
      <c r="F1398">
        <v>4</v>
      </c>
      <c r="G1398">
        <v>22.53</v>
      </c>
      <c r="H1398" t="s">
        <v>53</v>
      </c>
      <c r="I1398" t="s">
        <v>2114</v>
      </c>
      <c r="J1398" t="s">
        <v>30</v>
      </c>
      <c r="K1398" t="s">
        <v>21</v>
      </c>
      <c r="L1398" t="s">
        <v>39</v>
      </c>
      <c r="M1398" t="s">
        <v>32</v>
      </c>
      <c r="N1398">
        <f>Sheet1[[#This Row],[Quantity]]*Sheet1[[#This Row],[UnitPrice]]</f>
        <v>90.12</v>
      </c>
    </row>
    <row r="1399" spans="1:14" x14ac:dyDescent="0.3">
      <c r="A1399" s="1">
        <v>45466</v>
      </c>
      <c r="B1399" t="s">
        <v>1180</v>
      </c>
      <c r="C1399" t="s">
        <v>25</v>
      </c>
      <c r="D1399" t="s">
        <v>26</v>
      </c>
      <c r="E1399" t="s">
        <v>67</v>
      </c>
      <c r="F1399">
        <v>8</v>
      </c>
      <c r="G1399">
        <v>343.26</v>
      </c>
      <c r="H1399" t="s">
        <v>68</v>
      </c>
      <c r="I1399" t="s">
        <v>2115</v>
      </c>
      <c r="J1399" t="s">
        <v>30</v>
      </c>
      <c r="K1399" t="s">
        <v>59</v>
      </c>
      <c r="L1399" t="s">
        <v>39</v>
      </c>
      <c r="M1399" t="s">
        <v>61</v>
      </c>
      <c r="N1399">
        <f>Sheet1[[#This Row],[Quantity]]*Sheet1[[#This Row],[UnitPrice]]</f>
        <v>2746.08</v>
      </c>
    </row>
    <row r="1400" spans="1:14" x14ac:dyDescent="0.3">
      <c r="A1400" s="1">
        <v>45544</v>
      </c>
      <c r="B1400" t="s">
        <v>2116</v>
      </c>
      <c r="C1400" t="s">
        <v>73</v>
      </c>
      <c r="D1400" t="s">
        <v>16</v>
      </c>
      <c r="E1400" t="s">
        <v>35</v>
      </c>
      <c r="F1400">
        <v>10</v>
      </c>
      <c r="G1400">
        <v>6.88</v>
      </c>
      <c r="H1400" t="s">
        <v>18</v>
      </c>
      <c r="I1400" t="s">
        <v>2117</v>
      </c>
      <c r="J1400" t="s">
        <v>30</v>
      </c>
      <c r="K1400" t="s">
        <v>59</v>
      </c>
      <c r="L1400" t="s">
        <v>22</v>
      </c>
      <c r="M1400" t="s">
        <v>49</v>
      </c>
      <c r="N1400">
        <f>Sheet1[[#This Row],[Quantity]]*Sheet1[[#This Row],[UnitPrice]]</f>
        <v>68.8</v>
      </c>
    </row>
    <row r="1401" spans="1:14" x14ac:dyDescent="0.3">
      <c r="A1401" s="1">
        <v>45228</v>
      </c>
      <c r="B1401" t="s">
        <v>2118</v>
      </c>
      <c r="C1401" t="s">
        <v>78</v>
      </c>
      <c r="D1401" t="s">
        <v>26</v>
      </c>
      <c r="E1401" t="s">
        <v>67</v>
      </c>
      <c r="F1401">
        <v>4</v>
      </c>
      <c r="G1401">
        <v>361.29</v>
      </c>
      <c r="H1401" t="s">
        <v>36</v>
      </c>
      <c r="I1401" t="s">
        <v>2119</v>
      </c>
      <c r="J1401" t="s">
        <v>30</v>
      </c>
      <c r="K1401" t="s">
        <v>59</v>
      </c>
      <c r="L1401" t="s">
        <v>60</v>
      </c>
      <c r="M1401" t="s">
        <v>61</v>
      </c>
      <c r="N1401">
        <f>Sheet1[[#This Row],[Quantity]]*Sheet1[[#This Row],[UnitPrice]]</f>
        <v>1445.16</v>
      </c>
    </row>
    <row r="1402" spans="1:14" x14ac:dyDescent="0.3">
      <c r="A1402" s="1">
        <v>45542</v>
      </c>
      <c r="B1402" t="s">
        <v>660</v>
      </c>
      <c r="C1402" t="s">
        <v>78</v>
      </c>
      <c r="D1402" t="s">
        <v>16</v>
      </c>
      <c r="E1402" t="s">
        <v>67</v>
      </c>
      <c r="F1402">
        <v>8</v>
      </c>
      <c r="G1402">
        <v>21.46</v>
      </c>
      <c r="H1402" t="s">
        <v>68</v>
      </c>
      <c r="I1402" t="s">
        <v>2120</v>
      </c>
      <c r="J1402" t="s">
        <v>30</v>
      </c>
      <c r="K1402" t="s">
        <v>59</v>
      </c>
      <c r="L1402" t="s">
        <v>39</v>
      </c>
      <c r="M1402" t="s">
        <v>23</v>
      </c>
      <c r="N1402">
        <f>Sheet1[[#This Row],[Quantity]]*Sheet1[[#This Row],[UnitPrice]]</f>
        <v>171.68</v>
      </c>
    </row>
    <row r="1403" spans="1:14" x14ac:dyDescent="0.3">
      <c r="A1403" s="1">
        <v>45181</v>
      </c>
      <c r="B1403" t="s">
        <v>922</v>
      </c>
      <c r="C1403" t="s">
        <v>56</v>
      </c>
      <c r="D1403" t="s">
        <v>26</v>
      </c>
      <c r="E1403" t="s">
        <v>17</v>
      </c>
      <c r="F1403">
        <v>1</v>
      </c>
      <c r="G1403">
        <v>14.39</v>
      </c>
      <c r="H1403" t="s">
        <v>18</v>
      </c>
      <c r="I1403" t="s">
        <v>2121</v>
      </c>
      <c r="J1403" t="s">
        <v>44</v>
      </c>
      <c r="K1403" t="s">
        <v>45</v>
      </c>
      <c r="L1403" t="s">
        <v>60</v>
      </c>
      <c r="M1403" t="s">
        <v>84</v>
      </c>
      <c r="N1403">
        <f>Sheet1[[#This Row],[Quantity]]*Sheet1[[#This Row],[UnitPrice]]</f>
        <v>14.39</v>
      </c>
    </row>
    <row r="1404" spans="1:14" x14ac:dyDescent="0.3">
      <c r="A1404" s="1">
        <v>45442</v>
      </c>
      <c r="B1404" t="s">
        <v>361</v>
      </c>
      <c r="C1404" t="s">
        <v>101</v>
      </c>
      <c r="D1404" t="s">
        <v>74</v>
      </c>
      <c r="E1404" t="s">
        <v>17</v>
      </c>
      <c r="F1404">
        <v>8</v>
      </c>
      <c r="G1404">
        <v>213.66</v>
      </c>
      <c r="H1404" t="s">
        <v>28</v>
      </c>
      <c r="I1404" t="s">
        <v>2122</v>
      </c>
      <c r="J1404" t="s">
        <v>30</v>
      </c>
      <c r="K1404" t="s">
        <v>31</v>
      </c>
      <c r="L1404" t="s">
        <v>39</v>
      </c>
      <c r="M1404" t="s">
        <v>32</v>
      </c>
      <c r="N1404">
        <f>Sheet1[[#This Row],[Quantity]]*Sheet1[[#This Row],[UnitPrice]]</f>
        <v>1709.28</v>
      </c>
    </row>
    <row r="1405" spans="1:14" x14ac:dyDescent="0.3">
      <c r="A1405" s="1">
        <v>45763</v>
      </c>
      <c r="B1405" t="s">
        <v>373</v>
      </c>
      <c r="C1405" t="s">
        <v>78</v>
      </c>
      <c r="D1405" t="s">
        <v>16</v>
      </c>
      <c r="E1405" t="s">
        <v>17</v>
      </c>
      <c r="F1405">
        <v>9</v>
      </c>
      <c r="G1405">
        <v>148.82</v>
      </c>
      <c r="H1405" t="s">
        <v>18</v>
      </c>
      <c r="I1405" t="s">
        <v>2123</v>
      </c>
      <c r="J1405" t="s">
        <v>58</v>
      </c>
      <c r="K1405" t="s">
        <v>45</v>
      </c>
      <c r="L1405" t="s">
        <v>39</v>
      </c>
      <c r="M1405" t="s">
        <v>76</v>
      </c>
      <c r="N1405">
        <f>Sheet1[[#This Row],[Quantity]]*Sheet1[[#This Row],[UnitPrice]]</f>
        <v>1339.3799999999999</v>
      </c>
    </row>
    <row r="1406" spans="1:14" x14ac:dyDescent="0.3">
      <c r="A1406" s="1">
        <v>44930</v>
      </c>
      <c r="B1406" t="s">
        <v>469</v>
      </c>
      <c r="C1406" t="s">
        <v>90</v>
      </c>
      <c r="D1406" t="s">
        <v>74</v>
      </c>
      <c r="E1406" t="s">
        <v>67</v>
      </c>
      <c r="F1406">
        <v>2</v>
      </c>
      <c r="G1406">
        <v>222.24</v>
      </c>
      <c r="H1406" t="s">
        <v>68</v>
      </c>
      <c r="I1406" t="s">
        <v>2124</v>
      </c>
      <c r="J1406" t="s">
        <v>38</v>
      </c>
      <c r="K1406" t="s">
        <v>59</v>
      </c>
      <c r="L1406" t="s">
        <v>39</v>
      </c>
      <c r="M1406" t="s">
        <v>76</v>
      </c>
      <c r="N1406">
        <f>Sheet1[[#This Row],[Quantity]]*Sheet1[[#This Row],[UnitPrice]]</f>
        <v>444.48</v>
      </c>
    </row>
    <row r="1407" spans="1:14" x14ac:dyDescent="0.3">
      <c r="A1407" s="1">
        <v>45022</v>
      </c>
      <c r="B1407" t="s">
        <v>876</v>
      </c>
      <c r="C1407" t="s">
        <v>78</v>
      </c>
      <c r="D1407" t="s">
        <v>26</v>
      </c>
      <c r="E1407" t="s">
        <v>17</v>
      </c>
      <c r="F1407">
        <v>1</v>
      </c>
      <c r="G1407">
        <v>126.75</v>
      </c>
      <c r="H1407" t="s">
        <v>68</v>
      </c>
      <c r="I1407" t="s">
        <v>2125</v>
      </c>
      <c r="J1407" t="s">
        <v>20</v>
      </c>
      <c r="K1407" t="s">
        <v>45</v>
      </c>
      <c r="L1407" t="s">
        <v>39</v>
      </c>
      <c r="M1407" t="s">
        <v>32</v>
      </c>
      <c r="N1407">
        <f>Sheet1[[#This Row],[Quantity]]*Sheet1[[#This Row],[UnitPrice]]</f>
        <v>126.75</v>
      </c>
    </row>
    <row r="1408" spans="1:14" x14ac:dyDescent="0.3">
      <c r="A1408" s="1">
        <v>44938</v>
      </c>
      <c r="B1408" t="s">
        <v>724</v>
      </c>
      <c r="C1408" t="s">
        <v>78</v>
      </c>
      <c r="D1408" t="s">
        <v>74</v>
      </c>
      <c r="E1408" t="s">
        <v>52</v>
      </c>
      <c r="F1408">
        <v>10</v>
      </c>
      <c r="G1408">
        <v>5.01</v>
      </c>
      <c r="H1408" t="s">
        <v>53</v>
      </c>
      <c r="I1408" t="s">
        <v>2126</v>
      </c>
      <c r="J1408" t="s">
        <v>20</v>
      </c>
      <c r="K1408" t="s">
        <v>59</v>
      </c>
      <c r="L1408" t="s">
        <v>39</v>
      </c>
      <c r="M1408" t="s">
        <v>32</v>
      </c>
      <c r="N1408">
        <f>Sheet1[[#This Row],[Quantity]]*Sheet1[[#This Row],[UnitPrice]]</f>
        <v>50.099999999999994</v>
      </c>
    </row>
    <row r="1409" spans="1:14" x14ac:dyDescent="0.3">
      <c r="A1409" s="1">
        <v>45519</v>
      </c>
      <c r="B1409" t="s">
        <v>2127</v>
      </c>
      <c r="C1409" t="s">
        <v>90</v>
      </c>
      <c r="D1409" t="s">
        <v>26</v>
      </c>
      <c r="E1409" t="s">
        <v>27</v>
      </c>
      <c r="F1409">
        <v>7</v>
      </c>
      <c r="G1409">
        <v>21.35</v>
      </c>
      <c r="H1409" t="s">
        <v>18</v>
      </c>
      <c r="I1409" t="s">
        <v>2128</v>
      </c>
      <c r="J1409" t="s">
        <v>38</v>
      </c>
      <c r="K1409" t="s">
        <v>31</v>
      </c>
      <c r="L1409" t="s">
        <v>60</v>
      </c>
      <c r="M1409" t="s">
        <v>32</v>
      </c>
      <c r="N1409">
        <f>Sheet1[[#This Row],[Quantity]]*Sheet1[[#This Row],[UnitPrice]]</f>
        <v>149.45000000000002</v>
      </c>
    </row>
    <row r="1410" spans="1:14" x14ac:dyDescent="0.3">
      <c r="A1410" s="1">
        <v>45697</v>
      </c>
      <c r="B1410" t="s">
        <v>1045</v>
      </c>
      <c r="C1410" t="s">
        <v>78</v>
      </c>
      <c r="D1410" t="s">
        <v>16</v>
      </c>
      <c r="E1410" t="s">
        <v>42</v>
      </c>
      <c r="F1410">
        <v>4</v>
      </c>
      <c r="G1410">
        <v>35.97</v>
      </c>
      <c r="H1410" t="s">
        <v>36</v>
      </c>
      <c r="I1410" t="s">
        <v>2129</v>
      </c>
      <c r="J1410" t="s">
        <v>58</v>
      </c>
      <c r="K1410" t="s">
        <v>45</v>
      </c>
      <c r="L1410" t="s">
        <v>22</v>
      </c>
      <c r="M1410" t="s">
        <v>61</v>
      </c>
      <c r="N1410">
        <f>Sheet1[[#This Row],[Quantity]]*Sheet1[[#This Row],[UnitPrice]]</f>
        <v>143.88</v>
      </c>
    </row>
    <row r="1411" spans="1:14" x14ac:dyDescent="0.3">
      <c r="A1411" s="1">
        <v>45380</v>
      </c>
      <c r="B1411" t="s">
        <v>440</v>
      </c>
      <c r="C1411" t="s">
        <v>51</v>
      </c>
      <c r="D1411" t="s">
        <v>26</v>
      </c>
      <c r="E1411" t="s">
        <v>64</v>
      </c>
      <c r="F1411">
        <v>7</v>
      </c>
      <c r="G1411">
        <v>88.35</v>
      </c>
      <c r="H1411" t="s">
        <v>68</v>
      </c>
      <c r="I1411" t="s">
        <v>2130</v>
      </c>
      <c r="J1411" t="s">
        <v>30</v>
      </c>
      <c r="K1411" t="s">
        <v>21</v>
      </c>
      <c r="L1411" t="s">
        <v>39</v>
      </c>
      <c r="M1411" t="s">
        <v>40</v>
      </c>
      <c r="N1411">
        <f>Sheet1[[#This Row],[Quantity]]*Sheet1[[#This Row],[UnitPrice]]</f>
        <v>618.44999999999993</v>
      </c>
    </row>
    <row r="1412" spans="1:14" x14ac:dyDescent="0.3">
      <c r="A1412" s="1">
        <v>45512</v>
      </c>
      <c r="B1412" t="s">
        <v>1243</v>
      </c>
      <c r="C1412" t="s">
        <v>73</v>
      </c>
      <c r="D1412" t="s">
        <v>26</v>
      </c>
      <c r="E1412" t="s">
        <v>17</v>
      </c>
      <c r="F1412">
        <v>10</v>
      </c>
      <c r="G1412">
        <v>65.430000000000007</v>
      </c>
      <c r="H1412" t="s">
        <v>36</v>
      </c>
      <c r="I1412" t="s">
        <v>2131</v>
      </c>
      <c r="J1412" t="s">
        <v>20</v>
      </c>
      <c r="K1412" t="s">
        <v>21</v>
      </c>
      <c r="L1412" t="s">
        <v>60</v>
      </c>
      <c r="M1412" t="s">
        <v>32</v>
      </c>
      <c r="N1412">
        <f>Sheet1[[#This Row],[Quantity]]*Sheet1[[#This Row],[UnitPrice]]</f>
        <v>654.30000000000007</v>
      </c>
    </row>
    <row r="1413" spans="1:14" x14ac:dyDescent="0.3">
      <c r="A1413" s="1">
        <v>45032</v>
      </c>
      <c r="B1413" t="s">
        <v>1199</v>
      </c>
      <c r="C1413" t="s">
        <v>63</v>
      </c>
      <c r="D1413" t="s">
        <v>74</v>
      </c>
      <c r="E1413" t="s">
        <v>42</v>
      </c>
      <c r="F1413">
        <v>10</v>
      </c>
      <c r="G1413">
        <v>111.29</v>
      </c>
      <c r="H1413" t="s">
        <v>68</v>
      </c>
      <c r="I1413" t="s">
        <v>2132</v>
      </c>
      <c r="J1413" t="s">
        <v>58</v>
      </c>
      <c r="K1413" t="s">
        <v>21</v>
      </c>
      <c r="L1413" t="s">
        <v>22</v>
      </c>
      <c r="M1413" t="s">
        <v>61</v>
      </c>
      <c r="N1413">
        <f>Sheet1[[#This Row],[Quantity]]*Sheet1[[#This Row],[UnitPrice]]</f>
        <v>1112.9000000000001</v>
      </c>
    </row>
    <row r="1414" spans="1:14" x14ac:dyDescent="0.3">
      <c r="A1414" s="1">
        <v>44990</v>
      </c>
      <c r="B1414" t="s">
        <v>321</v>
      </c>
      <c r="C1414" t="s">
        <v>78</v>
      </c>
      <c r="D1414" t="s">
        <v>26</v>
      </c>
      <c r="E1414" t="s">
        <v>42</v>
      </c>
      <c r="F1414">
        <v>4</v>
      </c>
      <c r="G1414">
        <v>61.35</v>
      </c>
      <c r="H1414" t="s">
        <v>36</v>
      </c>
      <c r="I1414" t="s">
        <v>2133</v>
      </c>
      <c r="J1414" t="s">
        <v>30</v>
      </c>
      <c r="K1414" t="s">
        <v>59</v>
      </c>
      <c r="L1414" t="s">
        <v>22</v>
      </c>
      <c r="M1414" t="s">
        <v>61</v>
      </c>
      <c r="N1414">
        <f>Sheet1[[#This Row],[Quantity]]*Sheet1[[#This Row],[UnitPrice]]</f>
        <v>245.4</v>
      </c>
    </row>
    <row r="1415" spans="1:14" x14ac:dyDescent="0.3">
      <c r="A1415" s="1">
        <v>45193</v>
      </c>
      <c r="B1415" t="s">
        <v>444</v>
      </c>
      <c r="C1415" t="s">
        <v>34</v>
      </c>
      <c r="D1415" t="s">
        <v>16</v>
      </c>
      <c r="E1415" t="s">
        <v>17</v>
      </c>
      <c r="F1415">
        <v>9</v>
      </c>
      <c r="G1415">
        <v>62.14</v>
      </c>
      <c r="H1415" t="s">
        <v>36</v>
      </c>
      <c r="I1415" t="s">
        <v>2134</v>
      </c>
      <c r="J1415" t="s">
        <v>20</v>
      </c>
      <c r="K1415" t="s">
        <v>31</v>
      </c>
      <c r="L1415" t="s">
        <v>22</v>
      </c>
      <c r="M1415" t="s">
        <v>61</v>
      </c>
      <c r="N1415">
        <f>Sheet1[[#This Row],[Quantity]]*Sheet1[[#This Row],[UnitPrice]]</f>
        <v>559.26</v>
      </c>
    </row>
    <row r="1416" spans="1:14" x14ac:dyDescent="0.3">
      <c r="A1416" s="1">
        <v>45176</v>
      </c>
      <c r="B1416" t="s">
        <v>577</v>
      </c>
      <c r="C1416" t="s">
        <v>101</v>
      </c>
      <c r="D1416" t="s">
        <v>47</v>
      </c>
      <c r="E1416" t="s">
        <v>17</v>
      </c>
      <c r="F1416">
        <v>8</v>
      </c>
      <c r="G1416">
        <v>259.17</v>
      </c>
      <c r="H1416" t="s">
        <v>68</v>
      </c>
      <c r="I1416" t="s">
        <v>2135</v>
      </c>
      <c r="J1416" t="s">
        <v>44</v>
      </c>
      <c r="K1416" t="s">
        <v>59</v>
      </c>
      <c r="L1416" t="s">
        <v>39</v>
      </c>
      <c r="M1416" t="s">
        <v>32</v>
      </c>
      <c r="N1416">
        <f>Sheet1[[#This Row],[Quantity]]*Sheet1[[#This Row],[UnitPrice]]</f>
        <v>2073.36</v>
      </c>
    </row>
    <row r="1417" spans="1:14" x14ac:dyDescent="0.3">
      <c r="A1417" s="1">
        <v>45012</v>
      </c>
      <c r="B1417" t="s">
        <v>2136</v>
      </c>
      <c r="C1417" t="s">
        <v>101</v>
      </c>
      <c r="D1417" t="s">
        <v>74</v>
      </c>
      <c r="E1417" t="s">
        <v>35</v>
      </c>
      <c r="F1417">
        <v>10</v>
      </c>
      <c r="G1417">
        <v>78.33</v>
      </c>
      <c r="H1417" t="s">
        <v>18</v>
      </c>
      <c r="I1417" t="s">
        <v>2137</v>
      </c>
      <c r="J1417" t="s">
        <v>44</v>
      </c>
      <c r="K1417" t="s">
        <v>21</v>
      </c>
      <c r="L1417" t="s">
        <v>39</v>
      </c>
      <c r="M1417" t="s">
        <v>49</v>
      </c>
      <c r="N1417">
        <f>Sheet1[[#This Row],[Quantity]]*Sheet1[[#This Row],[UnitPrice]]</f>
        <v>783.3</v>
      </c>
    </row>
    <row r="1418" spans="1:14" x14ac:dyDescent="0.3">
      <c r="A1418" s="1">
        <v>45598</v>
      </c>
      <c r="B1418" t="s">
        <v>164</v>
      </c>
      <c r="C1418" t="s">
        <v>34</v>
      </c>
      <c r="D1418" t="s">
        <v>16</v>
      </c>
      <c r="E1418" t="s">
        <v>27</v>
      </c>
      <c r="F1418">
        <v>6</v>
      </c>
      <c r="G1418">
        <v>374.8</v>
      </c>
      <c r="H1418" t="s">
        <v>53</v>
      </c>
      <c r="I1418" t="s">
        <v>2138</v>
      </c>
      <c r="J1418" t="s">
        <v>30</v>
      </c>
      <c r="K1418" t="s">
        <v>31</v>
      </c>
      <c r="L1418" t="s">
        <v>39</v>
      </c>
      <c r="M1418" t="s">
        <v>23</v>
      </c>
      <c r="N1418">
        <f>Sheet1[[#This Row],[Quantity]]*Sheet1[[#This Row],[UnitPrice]]</f>
        <v>2248.8000000000002</v>
      </c>
    </row>
    <row r="1419" spans="1:14" x14ac:dyDescent="0.3">
      <c r="A1419" s="1">
        <v>45725</v>
      </c>
      <c r="B1419" t="s">
        <v>1017</v>
      </c>
      <c r="C1419" t="s">
        <v>63</v>
      </c>
      <c r="D1419" t="s">
        <v>16</v>
      </c>
      <c r="E1419" t="s">
        <v>64</v>
      </c>
      <c r="F1419">
        <v>4</v>
      </c>
      <c r="G1419">
        <v>30.68</v>
      </c>
      <c r="H1419" t="s">
        <v>53</v>
      </c>
      <c r="I1419" t="s">
        <v>2139</v>
      </c>
      <c r="J1419" t="s">
        <v>44</v>
      </c>
      <c r="K1419" t="s">
        <v>45</v>
      </c>
      <c r="L1419" t="s">
        <v>39</v>
      </c>
      <c r="M1419" t="s">
        <v>61</v>
      </c>
      <c r="N1419">
        <f>Sheet1[[#This Row],[Quantity]]*Sheet1[[#This Row],[UnitPrice]]</f>
        <v>122.72</v>
      </c>
    </row>
    <row r="1420" spans="1:14" x14ac:dyDescent="0.3">
      <c r="A1420" s="1">
        <v>45244</v>
      </c>
      <c r="B1420" t="s">
        <v>2140</v>
      </c>
      <c r="C1420" t="s">
        <v>90</v>
      </c>
      <c r="D1420" t="s">
        <v>47</v>
      </c>
      <c r="E1420" t="s">
        <v>67</v>
      </c>
      <c r="F1420">
        <v>10</v>
      </c>
      <c r="G1420">
        <v>324.62</v>
      </c>
      <c r="H1420" t="s">
        <v>18</v>
      </c>
      <c r="I1420" t="s">
        <v>2141</v>
      </c>
      <c r="J1420" t="s">
        <v>30</v>
      </c>
      <c r="K1420" t="s">
        <v>59</v>
      </c>
      <c r="L1420" t="s">
        <v>60</v>
      </c>
      <c r="M1420" t="s">
        <v>84</v>
      </c>
      <c r="N1420">
        <f>Sheet1[[#This Row],[Quantity]]*Sheet1[[#This Row],[UnitPrice]]</f>
        <v>3246.2</v>
      </c>
    </row>
    <row r="1421" spans="1:14" x14ac:dyDescent="0.3">
      <c r="A1421" s="1">
        <v>45209</v>
      </c>
      <c r="B1421" t="s">
        <v>436</v>
      </c>
      <c r="C1421" t="s">
        <v>56</v>
      </c>
      <c r="D1421" t="s">
        <v>74</v>
      </c>
      <c r="E1421" t="s">
        <v>67</v>
      </c>
      <c r="F1421">
        <v>2</v>
      </c>
      <c r="G1421">
        <v>259.89</v>
      </c>
      <c r="H1421" t="s">
        <v>68</v>
      </c>
      <c r="I1421" t="s">
        <v>2142</v>
      </c>
      <c r="J1421" t="s">
        <v>44</v>
      </c>
      <c r="K1421" t="s">
        <v>45</v>
      </c>
      <c r="L1421" t="s">
        <v>39</v>
      </c>
      <c r="M1421" t="s">
        <v>84</v>
      </c>
      <c r="N1421">
        <f>Sheet1[[#This Row],[Quantity]]*Sheet1[[#This Row],[UnitPrice]]</f>
        <v>519.78</v>
      </c>
    </row>
    <row r="1422" spans="1:14" x14ac:dyDescent="0.3">
      <c r="A1422" s="1">
        <v>45725</v>
      </c>
      <c r="B1422" t="s">
        <v>225</v>
      </c>
      <c r="C1422" t="s">
        <v>63</v>
      </c>
      <c r="D1422" t="s">
        <v>26</v>
      </c>
      <c r="E1422" t="s">
        <v>42</v>
      </c>
      <c r="F1422">
        <v>3</v>
      </c>
      <c r="G1422">
        <v>51.13</v>
      </c>
      <c r="H1422" t="s">
        <v>36</v>
      </c>
      <c r="I1422" t="s">
        <v>2143</v>
      </c>
      <c r="J1422" t="s">
        <v>20</v>
      </c>
      <c r="K1422" t="s">
        <v>21</v>
      </c>
      <c r="L1422" t="s">
        <v>60</v>
      </c>
      <c r="M1422" t="s">
        <v>61</v>
      </c>
      <c r="N1422">
        <f>Sheet1[[#This Row],[Quantity]]*Sheet1[[#This Row],[UnitPrice]]</f>
        <v>153.39000000000001</v>
      </c>
    </row>
    <row r="1423" spans="1:14" x14ac:dyDescent="0.3">
      <c r="A1423" s="1">
        <v>45733</v>
      </c>
      <c r="B1423" t="s">
        <v>752</v>
      </c>
      <c r="C1423" t="s">
        <v>63</v>
      </c>
      <c r="D1423" t="s">
        <v>74</v>
      </c>
      <c r="E1423" t="s">
        <v>35</v>
      </c>
      <c r="F1423">
        <v>10</v>
      </c>
      <c r="G1423">
        <v>138.80000000000001</v>
      </c>
      <c r="H1423" t="s">
        <v>28</v>
      </c>
      <c r="I1423" t="s">
        <v>2144</v>
      </c>
      <c r="J1423" t="s">
        <v>38</v>
      </c>
      <c r="K1423" t="s">
        <v>31</v>
      </c>
      <c r="L1423" t="s">
        <v>22</v>
      </c>
      <c r="M1423" t="s">
        <v>49</v>
      </c>
      <c r="N1423">
        <f>Sheet1[[#This Row],[Quantity]]*Sheet1[[#This Row],[UnitPrice]]</f>
        <v>1388</v>
      </c>
    </row>
    <row r="1424" spans="1:14" x14ac:dyDescent="0.3">
      <c r="A1424" s="1">
        <v>45197</v>
      </c>
      <c r="B1424" t="s">
        <v>1111</v>
      </c>
      <c r="C1424" t="s">
        <v>101</v>
      </c>
      <c r="D1424" t="s">
        <v>74</v>
      </c>
      <c r="E1424" t="s">
        <v>27</v>
      </c>
      <c r="F1424">
        <v>7</v>
      </c>
      <c r="G1424">
        <v>94.41</v>
      </c>
      <c r="H1424" t="s">
        <v>36</v>
      </c>
      <c r="I1424" t="s">
        <v>2145</v>
      </c>
      <c r="J1424" t="s">
        <v>30</v>
      </c>
      <c r="K1424" t="s">
        <v>45</v>
      </c>
      <c r="L1424" t="s">
        <v>22</v>
      </c>
      <c r="M1424" t="s">
        <v>32</v>
      </c>
      <c r="N1424">
        <f>Sheet1[[#This Row],[Quantity]]*Sheet1[[#This Row],[UnitPrice]]</f>
        <v>660.87</v>
      </c>
    </row>
    <row r="1425" spans="1:14" x14ac:dyDescent="0.3">
      <c r="A1425" s="1">
        <v>45161</v>
      </c>
      <c r="B1425" t="s">
        <v>608</v>
      </c>
      <c r="C1425" t="s">
        <v>51</v>
      </c>
      <c r="D1425" t="s">
        <v>47</v>
      </c>
      <c r="E1425" t="s">
        <v>52</v>
      </c>
      <c r="F1425">
        <v>8</v>
      </c>
      <c r="G1425">
        <v>284.04000000000002</v>
      </c>
      <c r="H1425" t="s">
        <v>36</v>
      </c>
      <c r="I1425" t="s">
        <v>2146</v>
      </c>
      <c r="J1425" t="s">
        <v>58</v>
      </c>
      <c r="K1425" t="s">
        <v>31</v>
      </c>
      <c r="L1425" t="s">
        <v>60</v>
      </c>
      <c r="M1425" t="s">
        <v>76</v>
      </c>
      <c r="N1425">
        <f>Sheet1[[#This Row],[Quantity]]*Sheet1[[#This Row],[UnitPrice]]</f>
        <v>2272.3200000000002</v>
      </c>
    </row>
    <row r="1426" spans="1:14" x14ac:dyDescent="0.3">
      <c r="A1426" s="1">
        <v>45557</v>
      </c>
      <c r="B1426" t="s">
        <v>2147</v>
      </c>
      <c r="C1426" t="s">
        <v>90</v>
      </c>
      <c r="D1426" t="s">
        <v>74</v>
      </c>
      <c r="E1426" t="s">
        <v>35</v>
      </c>
      <c r="F1426">
        <v>1</v>
      </c>
      <c r="G1426">
        <v>397.79</v>
      </c>
      <c r="H1426" t="s">
        <v>53</v>
      </c>
      <c r="I1426" t="s">
        <v>2148</v>
      </c>
      <c r="J1426" t="s">
        <v>58</v>
      </c>
      <c r="K1426" t="s">
        <v>59</v>
      </c>
      <c r="L1426" t="s">
        <v>39</v>
      </c>
      <c r="M1426" t="s">
        <v>61</v>
      </c>
      <c r="N1426">
        <f>Sheet1[[#This Row],[Quantity]]*Sheet1[[#This Row],[UnitPrice]]</f>
        <v>397.79</v>
      </c>
    </row>
    <row r="1427" spans="1:14" x14ac:dyDescent="0.3">
      <c r="A1427" s="1">
        <v>45129</v>
      </c>
      <c r="B1427" t="s">
        <v>1343</v>
      </c>
      <c r="C1427" t="s">
        <v>51</v>
      </c>
      <c r="D1427" t="s">
        <v>26</v>
      </c>
      <c r="E1427" t="s">
        <v>17</v>
      </c>
      <c r="F1427">
        <v>5</v>
      </c>
      <c r="G1427">
        <v>255.76</v>
      </c>
      <c r="H1427" t="s">
        <v>53</v>
      </c>
      <c r="I1427" t="s">
        <v>2149</v>
      </c>
      <c r="J1427" t="s">
        <v>20</v>
      </c>
      <c r="K1427" t="s">
        <v>21</v>
      </c>
      <c r="L1427" t="s">
        <v>22</v>
      </c>
      <c r="M1427" t="s">
        <v>23</v>
      </c>
      <c r="N1427">
        <f>Sheet1[[#This Row],[Quantity]]*Sheet1[[#This Row],[UnitPrice]]</f>
        <v>1278.8</v>
      </c>
    </row>
    <row r="1428" spans="1:14" x14ac:dyDescent="0.3">
      <c r="A1428" s="1">
        <v>44997</v>
      </c>
      <c r="B1428" t="s">
        <v>2150</v>
      </c>
      <c r="C1428" t="s">
        <v>63</v>
      </c>
      <c r="D1428" t="s">
        <v>74</v>
      </c>
      <c r="E1428" t="s">
        <v>52</v>
      </c>
      <c r="F1428">
        <v>9</v>
      </c>
      <c r="G1428">
        <v>106.58</v>
      </c>
      <c r="H1428" t="s">
        <v>18</v>
      </c>
      <c r="I1428" t="s">
        <v>2151</v>
      </c>
      <c r="J1428" t="s">
        <v>38</v>
      </c>
      <c r="K1428" t="s">
        <v>45</v>
      </c>
      <c r="L1428" t="s">
        <v>39</v>
      </c>
      <c r="M1428" t="s">
        <v>61</v>
      </c>
      <c r="N1428">
        <f>Sheet1[[#This Row],[Quantity]]*Sheet1[[#This Row],[UnitPrice]]</f>
        <v>959.22</v>
      </c>
    </row>
    <row r="1429" spans="1:14" x14ac:dyDescent="0.3">
      <c r="A1429" s="1">
        <v>45121</v>
      </c>
      <c r="B1429" t="s">
        <v>77</v>
      </c>
      <c r="C1429" t="s">
        <v>101</v>
      </c>
      <c r="D1429" t="s">
        <v>74</v>
      </c>
      <c r="E1429" t="s">
        <v>27</v>
      </c>
      <c r="F1429">
        <v>3</v>
      </c>
      <c r="G1429">
        <v>19.16</v>
      </c>
      <c r="H1429" t="s">
        <v>68</v>
      </c>
      <c r="I1429" t="s">
        <v>2152</v>
      </c>
      <c r="J1429" t="s">
        <v>44</v>
      </c>
      <c r="K1429" t="s">
        <v>21</v>
      </c>
      <c r="L1429" t="s">
        <v>22</v>
      </c>
      <c r="M1429" t="s">
        <v>40</v>
      </c>
      <c r="N1429">
        <f>Sheet1[[#This Row],[Quantity]]*Sheet1[[#This Row],[UnitPrice]]</f>
        <v>57.480000000000004</v>
      </c>
    </row>
    <row r="1430" spans="1:14" x14ac:dyDescent="0.3">
      <c r="A1430" s="1">
        <v>45278</v>
      </c>
      <c r="B1430" t="s">
        <v>896</v>
      </c>
      <c r="C1430" t="s">
        <v>25</v>
      </c>
      <c r="D1430" t="s">
        <v>47</v>
      </c>
      <c r="E1430" t="s">
        <v>52</v>
      </c>
      <c r="F1430">
        <v>4</v>
      </c>
      <c r="G1430">
        <v>58.36</v>
      </c>
      <c r="H1430" t="s">
        <v>53</v>
      </c>
      <c r="I1430" t="s">
        <v>2153</v>
      </c>
      <c r="J1430" t="s">
        <v>38</v>
      </c>
      <c r="K1430" t="s">
        <v>45</v>
      </c>
      <c r="L1430" t="s">
        <v>22</v>
      </c>
      <c r="M1430" t="s">
        <v>49</v>
      </c>
      <c r="N1430">
        <f>Sheet1[[#This Row],[Quantity]]*Sheet1[[#This Row],[UnitPrice]]</f>
        <v>233.44</v>
      </c>
    </row>
    <row r="1431" spans="1:14" x14ac:dyDescent="0.3">
      <c r="A1431" s="1">
        <v>44976</v>
      </c>
      <c r="B1431" t="s">
        <v>1161</v>
      </c>
      <c r="C1431" t="s">
        <v>90</v>
      </c>
      <c r="D1431" t="s">
        <v>16</v>
      </c>
      <c r="E1431" t="s">
        <v>67</v>
      </c>
      <c r="F1431">
        <v>6</v>
      </c>
      <c r="G1431">
        <v>59.09</v>
      </c>
      <c r="H1431" t="s">
        <v>36</v>
      </c>
      <c r="I1431" t="s">
        <v>2154</v>
      </c>
      <c r="J1431" t="s">
        <v>44</v>
      </c>
      <c r="K1431" t="s">
        <v>21</v>
      </c>
      <c r="L1431" t="s">
        <v>22</v>
      </c>
      <c r="M1431" t="s">
        <v>61</v>
      </c>
      <c r="N1431">
        <f>Sheet1[[#This Row],[Quantity]]*Sheet1[[#This Row],[UnitPrice]]</f>
        <v>354.54</v>
      </c>
    </row>
    <row r="1432" spans="1:14" x14ac:dyDescent="0.3">
      <c r="A1432" s="1">
        <v>44956</v>
      </c>
      <c r="B1432" t="s">
        <v>771</v>
      </c>
      <c r="C1432" t="s">
        <v>25</v>
      </c>
      <c r="D1432" t="s">
        <v>26</v>
      </c>
      <c r="E1432" t="s">
        <v>52</v>
      </c>
      <c r="F1432">
        <v>8</v>
      </c>
      <c r="G1432">
        <v>129.80000000000001</v>
      </c>
      <c r="H1432" t="s">
        <v>28</v>
      </c>
      <c r="I1432" t="s">
        <v>2155</v>
      </c>
      <c r="J1432" t="s">
        <v>30</v>
      </c>
      <c r="K1432" t="s">
        <v>59</v>
      </c>
      <c r="L1432" t="s">
        <v>60</v>
      </c>
      <c r="M1432" t="s">
        <v>49</v>
      </c>
      <c r="N1432">
        <f>Sheet1[[#This Row],[Quantity]]*Sheet1[[#This Row],[UnitPrice]]</f>
        <v>1038.4000000000001</v>
      </c>
    </row>
    <row r="1433" spans="1:14" x14ac:dyDescent="0.3">
      <c r="A1433" s="1">
        <v>45390</v>
      </c>
      <c r="B1433" t="s">
        <v>1705</v>
      </c>
      <c r="C1433" t="s">
        <v>56</v>
      </c>
      <c r="D1433" t="s">
        <v>26</v>
      </c>
      <c r="E1433" t="s">
        <v>17</v>
      </c>
      <c r="F1433">
        <v>6</v>
      </c>
      <c r="G1433">
        <v>368.76</v>
      </c>
      <c r="H1433" t="s">
        <v>18</v>
      </c>
      <c r="I1433" t="s">
        <v>2156</v>
      </c>
      <c r="J1433" t="s">
        <v>44</v>
      </c>
      <c r="K1433" t="s">
        <v>59</v>
      </c>
      <c r="L1433" t="s">
        <v>39</v>
      </c>
      <c r="M1433" t="s">
        <v>49</v>
      </c>
      <c r="N1433">
        <f>Sheet1[[#This Row],[Quantity]]*Sheet1[[#This Row],[UnitPrice]]</f>
        <v>2212.56</v>
      </c>
    </row>
    <row r="1434" spans="1:14" x14ac:dyDescent="0.3">
      <c r="A1434" s="1">
        <v>45020</v>
      </c>
      <c r="B1434" t="s">
        <v>2157</v>
      </c>
      <c r="C1434" t="s">
        <v>56</v>
      </c>
      <c r="D1434" t="s">
        <v>47</v>
      </c>
      <c r="E1434" t="s">
        <v>27</v>
      </c>
      <c r="F1434">
        <v>6</v>
      </c>
      <c r="G1434">
        <v>372.35</v>
      </c>
      <c r="H1434" t="s">
        <v>36</v>
      </c>
      <c r="I1434" t="s">
        <v>2158</v>
      </c>
      <c r="J1434" t="s">
        <v>38</v>
      </c>
      <c r="K1434" t="s">
        <v>31</v>
      </c>
      <c r="L1434" t="s">
        <v>22</v>
      </c>
      <c r="M1434" t="s">
        <v>84</v>
      </c>
      <c r="N1434">
        <f>Sheet1[[#This Row],[Quantity]]*Sheet1[[#This Row],[UnitPrice]]</f>
        <v>2234.1000000000004</v>
      </c>
    </row>
    <row r="1435" spans="1:14" x14ac:dyDescent="0.3">
      <c r="A1435" s="1">
        <v>44953</v>
      </c>
      <c r="B1435" t="s">
        <v>2159</v>
      </c>
      <c r="C1435" t="s">
        <v>78</v>
      </c>
      <c r="D1435" t="s">
        <v>26</v>
      </c>
      <c r="E1435" t="s">
        <v>35</v>
      </c>
      <c r="F1435">
        <v>7</v>
      </c>
      <c r="G1435">
        <v>205.34</v>
      </c>
      <c r="H1435" t="s">
        <v>28</v>
      </c>
      <c r="I1435" t="s">
        <v>2160</v>
      </c>
      <c r="J1435" t="s">
        <v>30</v>
      </c>
      <c r="K1435" t="s">
        <v>59</v>
      </c>
      <c r="L1435" t="s">
        <v>22</v>
      </c>
      <c r="M1435" t="s">
        <v>40</v>
      </c>
      <c r="N1435">
        <f>Sheet1[[#This Row],[Quantity]]*Sheet1[[#This Row],[UnitPrice]]</f>
        <v>1437.38</v>
      </c>
    </row>
    <row r="1436" spans="1:14" x14ac:dyDescent="0.3">
      <c r="A1436" s="1">
        <v>45836</v>
      </c>
      <c r="B1436" t="s">
        <v>444</v>
      </c>
      <c r="C1436" t="s">
        <v>56</v>
      </c>
      <c r="D1436" t="s">
        <v>26</v>
      </c>
      <c r="E1436" t="s">
        <v>52</v>
      </c>
      <c r="F1436">
        <v>2</v>
      </c>
      <c r="G1436">
        <v>360.62</v>
      </c>
      <c r="H1436" t="s">
        <v>53</v>
      </c>
      <c r="I1436" t="s">
        <v>2161</v>
      </c>
      <c r="J1436" t="s">
        <v>30</v>
      </c>
      <c r="K1436" t="s">
        <v>21</v>
      </c>
      <c r="L1436" t="s">
        <v>22</v>
      </c>
      <c r="M1436" t="s">
        <v>23</v>
      </c>
      <c r="N1436">
        <f>Sheet1[[#This Row],[Quantity]]*Sheet1[[#This Row],[UnitPrice]]</f>
        <v>721.24</v>
      </c>
    </row>
    <row r="1437" spans="1:14" x14ac:dyDescent="0.3">
      <c r="A1437" s="1">
        <v>45611</v>
      </c>
      <c r="B1437" t="s">
        <v>620</v>
      </c>
      <c r="C1437" t="s">
        <v>101</v>
      </c>
      <c r="D1437" t="s">
        <v>47</v>
      </c>
      <c r="E1437" t="s">
        <v>27</v>
      </c>
      <c r="F1437">
        <v>2</v>
      </c>
      <c r="G1437">
        <v>92.46</v>
      </c>
      <c r="H1437" t="s">
        <v>36</v>
      </c>
      <c r="I1437" t="s">
        <v>2162</v>
      </c>
      <c r="J1437" t="s">
        <v>58</v>
      </c>
      <c r="K1437" t="s">
        <v>31</v>
      </c>
      <c r="L1437" t="s">
        <v>39</v>
      </c>
      <c r="M1437" t="s">
        <v>40</v>
      </c>
      <c r="N1437">
        <f>Sheet1[[#This Row],[Quantity]]*Sheet1[[#This Row],[UnitPrice]]</f>
        <v>184.92</v>
      </c>
    </row>
    <row r="1438" spans="1:14" x14ac:dyDescent="0.3">
      <c r="A1438" s="1">
        <v>45658</v>
      </c>
      <c r="B1438" t="s">
        <v>776</v>
      </c>
      <c r="C1438" t="s">
        <v>15</v>
      </c>
      <c r="D1438" t="s">
        <v>16</v>
      </c>
      <c r="E1438" t="s">
        <v>52</v>
      </c>
      <c r="F1438">
        <v>5</v>
      </c>
      <c r="G1438">
        <v>270.68</v>
      </c>
      <c r="H1438" t="s">
        <v>68</v>
      </c>
      <c r="I1438" t="s">
        <v>2163</v>
      </c>
      <c r="J1438" t="s">
        <v>20</v>
      </c>
      <c r="K1438" t="s">
        <v>21</v>
      </c>
      <c r="L1438" t="s">
        <v>22</v>
      </c>
      <c r="M1438" t="s">
        <v>76</v>
      </c>
      <c r="N1438">
        <f>Sheet1[[#This Row],[Quantity]]*Sheet1[[#This Row],[UnitPrice]]</f>
        <v>1353.4</v>
      </c>
    </row>
    <row r="1439" spans="1:14" x14ac:dyDescent="0.3">
      <c r="A1439" s="1">
        <v>45396</v>
      </c>
      <c r="B1439" t="s">
        <v>123</v>
      </c>
      <c r="C1439" t="s">
        <v>90</v>
      </c>
      <c r="D1439" t="s">
        <v>16</v>
      </c>
      <c r="E1439" t="s">
        <v>17</v>
      </c>
      <c r="F1439">
        <v>6</v>
      </c>
      <c r="G1439">
        <v>111.11</v>
      </c>
      <c r="H1439" t="s">
        <v>36</v>
      </c>
      <c r="I1439" t="s">
        <v>2164</v>
      </c>
      <c r="J1439" t="s">
        <v>38</v>
      </c>
      <c r="K1439" t="s">
        <v>45</v>
      </c>
      <c r="L1439" t="s">
        <v>39</v>
      </c>
      <c r="M1439" t="s">
        <v>61</v>
      </c>
      <c r="N1439">
        <f>Sheet1[[#This Row],[Quantity]]*Sheet1[[#This Row],[UnitPrice]]</f>
        <v>666.66</v>
      </c>
    </row>
    <row r="1440" spans="1:14" x14ac:dyDescent="0.3">
      <c r="A1440" s="1">
        <v>45726</v>
      </c>
      <c r="B1440" t="s">
        <v>1017</v>
      </c>
      <c r="C1440" t="s">
        <v>34</v>
      </c>
      <c r="D1440" t="s">
        <v>16</v>
      </c>
      <c r="E1440" t="s">
        <v>17</v>
      </c>
      <c r="F1440">
        <v>9</v>
      </c>
      <c r="G1440">
        <v>46.66</v>
      </c>
      <c r="H1440" t="s">
        <v>53</v>
      </c>
      <c r="I1440" t="s">
        <v>2165</v>
      </c>
      <c r="J1440" t="s">
        <v>38</v>
      </c>
      <c r="K1440" t="s">
        <v>31</v>
      </c>
      <c r="L1440" t="s">
        <v>39</v>
      </c>
      <c r="M1440" t="s">
        <v>49</v>
      </c>
      <c r="N1440">
        <f>Sheet1[[#This Row],[Quantity]]*Sheet1[[#This Row],[UnitPrice]]</f>
        <v>419.93999999999994</v>
      </c>
    </row>
    <row r="1441" spans="1:14" x14ac:dyDescent="0.3">
      <c r="A1441" s="1">
        <v>45627</v>
      </c>
      <c r="B1441" t="s">
        <v>754</v>
      </c>
      <c r="C1441" t="s">
        <v>25</v>
      </c>
      <c r="D1441" t="s">
        <v>74</v>
      </c>
      <c r="E1441" t="s">
        <v>35</v>
      </c>
      <c r="F1441">
        <v>2</v>
      </c>
      <c r="G1441">
        <v>264.18</v>
      </c>
      <c r="H1441" t="s">
        <v>28</v>
      </c>
      <c r="I1441" t="s">
        <v>2166</v>
      </c>
      <c r="J1441" t="s">
        <v>30</v>
      </c>
      <c r="K1441" t="s">
        <v>31</v>
      </c>
      <c r="L1441" t="s">
        <v>39</v>
      </c>
      <c r="M1441" t="s">
        <v>61</v>
      </c>
      <c r="N1441">
        <f>Sheet1[[#This Row],[Quantity]]*Sheet1[[#This Row],[UnitPrice]]</f>
        <v>528.36</v>
      </c>
    </row>
    <row r="1442" spans="1:14" x14ac:dyDescent="0.3">
      <c r="A1442" s="1">
        <v>45026</v>
      </c>
      <c r="B1442" t="s">
        <v>1667</v>
      </c>
      <c r="C1442" t="s">
        <v>34</v>
      </c>
      <c r="D1442" t="s">
        <v>47</v>
      </c>
      <c r="E1442" t="s">
        <v>42</v>
      </c>
      <c r="F1442">
        <v>3</v>
      </c>
      <c r="G1442">
        <v>245.07</v>
      </c>
      <c r="H1442" t="s">
        <v>68</v>
      </c>
      <c r="I1442" t="s">
        <v>2167</v>
      </c>
      <c r="J1442" t="s">
        <v>30</v>
      </c>
      <c r="K1442" t="s">
        <v>21</v>
      </c>
      <c r="L1442" t="s">
        <v>39</v>
      </c>
      <c r="M1442" t="s">
        <v>49</v>
      </c>
      <c r="N1442">
        <f>Sheet1[[#This Row],[Quantity]]*Sheet1[[#This Row],[UnitPrice]]</f>
        <v>735.21</v>
      </c>
    </row>
    <row r="1443" spans="1:14" x14ac:dyDescent="0.3">
      <c r="A1443" s="1">
        <v>45817</v>
      </c>
      <c r="B1443" t="s">
        <v>244</v>
      </c>
      <c r="C1443" t="s">
        <v>73</v>
      </c>
      <c r="D1443" t="s">
        <v>74</v>
      </c>
      <c r="E1443" t="s">
        <v>64</v>
      </c>
      <c r="F1443">
        <v>10</v>
      </c>
      <c r="G1443">
        <v>186.28</v>
      </c>
      <c r="H1443" t="s">
        <v>18</v>
      </c>
      <c r="I1443" t="s">
        <v>2168</v>
      </c>
      <c r="J1443" t="s">
        <v>30</v>
      </c>
      <c r="K1443" t="s">
        <v>45</v>
      </c>
      <c r="L1443" t="s">
        <v>22</v>
      </c>
      <c r="M1443" t="s">
        <v>49</v>
      </c>
      <c r="N1443">
        <f>Sheet1[[#This Row],[Quantity]]*Sheet1[[#This Row],[UnitPrice]]</f>
        <v>1862.8</v>
      </c>
    </row>
    <row r="1444" spans="1:14" x14ac:dyDescent="0.3">
      <c r="A1444" s="1">
        <v>45728</v>
      </c>
      <c r="B1444" t="s">
        <v>1352</v>
      </c>
      <c r="C1444" t="s">
        <v>90</v>
      </c>
      <c r="D1444" t="s">
        <v>26</v>
      </c>
      <c r="E1444" t="s">
        <v>52</v>
      </c>
      <c r="F1444">
        <v>10</v>
      </c>
      <c r="G1444">
        <v>314.97000000000003</v>
      </c>
      <c r="H1444" t="s">
        <v>53</v>
      </c>
      <c r="I1444" t="s">
        <v>2169</v>
      </c>
      <c r="J1444" t="s">
        <v>58</v>
      </c>
      <c r="K1444" t="s">
        <v>31</v>
      </c>
      <c r="L1444" t="s">
        <v>39</v>
      </c>
      <c r="M1444" t="s">
        <v>76</v>
      </c>
      <c r="N1444">
        <f>Sheet1[[#This Row],[Quantity]]*Sheet1[[#This Row],[UnitPrice]]</f>
        <v>3149.7000000000003</v>
      </c>
    </row>
    <row r="1445" spans="1:14" x14ac:dyDescent="0.3">
      <c r="A1445" s="1">
        <v>45541</v>
      </c>
      <c r="B1445" t="s">
        <v>2104</v>
      </c>
      <c r="C1445" t="s">
        <v>15</v>
      </c>
      <c r="D1445" t="s">
        <v>74</v>
      </c>
      <c r="E1445" t="s">
        <v>27</v>
      </c>
      <c r="F1445">
        <v>2</v>
      </c>
      <c r="G1445">
        <v>241.93</v>
      </c>
      <c r="H1445" t="s">
        <v>53</v>
      </c>
      <c r="I1445" t="s">
        <v>2170</v>
      </c>
      <c r="J1445" t="s">
        <v>20</v>
      </c>
      <c r="K1445" t="s">
        <v>59</v>
      </c>
      <c r="L1445" t="s">
        <v>39</v>
      </c>
      <c r="M1445" t="s">
        <v>40</v>
      </c>
      <c r="N1445">
        <f>Sheet1[[#This Row],[Quantity]]*Sheet1[[#This Row],[UnitPrice]]</f>
        <v>483.86</v>
      </c>
    </row>
    <row r="1446" spans="1:14" x14ac:dyDescent="0.3">
      <c r="A1446" s="1">
        <v>45514</v>
      </c>
      <c r="B1446" t="s">
        <v>653</v>
      </c>
      <c r="C1446" t="s">
        <v>78</v>
      </c>
      <c r="D1446" t="s">
        <v>16</v>
      </c>
      <c r="E1446" t="s">
        <v>27</v>
      </c>
      <c r="F1446">
        <v>7</v>
      </c>
      <c r="G1446">
        <v>149.77000000000001</v>
      </c>
      <c r="H1446" t="s">
        <v>36</v>
      </c>
      <c r="I1446" t="s">
        <v>2171</v>
      </c>
      <c r="J1446" t="s">
        <v>20</v>
      </c>
      <c r="K1446" t="s">
        <v>31</v>
      </c>
      <c r="L1446" t="s">
        <v>60</v>
      </c>
      <c r="M1446" t="s">
        <v>23</v>
      </c>
      <c r="N1446">
        <f>Sheet1[[#This Row],[Quantity]]*Sheet1[[#This Row],[UnitPrice]]</f>
        <v>1048.3900000000001</v>
      </c>
    </row>
    <row r="1447" spans="1:14" x14ac:dyDescent="0.3">
      <c r="A1447" s="1">
        <v>45298</v>
      </c>
      <c r="B1447" t="s">
        <v>2172</v>
      </c>
      <c r="C1447" t="s">
        <v>56</v>
      </c>
      <c r="D1447" t="s">
        <v>47</v>
      </c>
      <c r="E1447" t="s">
        <v>42</v>
      </c>
      <c r="F1447">
        <v>5</v>
      </c>
      <c r="G1447">
        <v>353.76</v>
      </c>
      <c r="H1447" t="s">
        <v>18</v>
      </c>
      <c r="I1447" t="s">
        <v>2173</v>
      </c>
      <c r="J1447" t="s">
        <v>58</v>
      </c>
      <c r="K1447" t="s">
        <v>21</v>
      </c>
      <c r="L1447" t="s">
        <v>22</v>
      </c>
      <c r="M1447" t="s">
        <v>61</v>
      </c>
      <c r="N1447">
        <f>Sheet1[[#This Row],[Quantity]]*Sheet1[[#This Row],[UnitPrice]]</f>
        <v>1768.8</v>
      </c>
    </row>
    <row r="1448" spans="1:14" x14ac:dyDescent="0.3">
      <c r="A1448" s="1">
        <v>45071</v>
      </c>
      <c r="B1448" t="s">
        <v>1729</v>
      </c>
      <c r="C1448" t="s">
        <v>15</v>
      </c>
      <c r="D1448" t="s">
        <v>47</v>
      </c>
      <c r="E1448" t="s">
        <v>67</v>
      </c>
      <c r="F1448">
        <v>3</v>
      </c>
      <c r="G1448">
        <v>74.84</v>
      </c>
      <c r="H1448" t="s">
        <v>36</v>
      </c>
      <c r="I1448" t="s">
        <v>2174</v>
      </c>
      <c r="J1448" t="s">
        <v>58</v>
      </c>
      <c r="K1448" t="s">
        <v>21</v>
      </c>
      <c r="L1448" t="s">
        <v>22</v>
      </c>
      <c r="M1448" t="s">
        <v>32</v>
      </c>
      <c r="N1448">
        <f>Sheet1[[#This Row],[Quantity]]*Sheet1[[#This Row],[UnitPrice]]</f>
        <v>224.52</v>
      </c>
    </row>
    <row r="1449" spans="1:14" x14ac:dyDescent="0.3">
      <c r="A1449" s="1">
        <v>45269</v>
      </c>
      <c r="B1449" t="s">
        <v>824</v>
      </c>
      <c r="C1449" t="s">
        <v>63</v>
      </c>
      <c r="D1449" t="s">
        <v>47</v>
      </c>
      <c r="E1449" t="s">
        <v>67</v>
      </c>
      <c r="F1449">
        <v>2</v>
      </c>
      <c r="G1449">
        <v>121.05</v>
      </c>
      <c r="H1449" t="s">
        <v>68</v>
      </c>
      <c r="I1449" t="s">
        <v>2175</v>
      </c>
      <c r="J1449" t="s">
        <v>38</v>
      </c>
      <c r="K1449" t="s">
        <v>45</v>
      </c>
      <c r="L1449" t="s">
        <v>60</v>
      </c>
      <c r="M1449" t="s">
        <v>23</v>
      </c>
      <c r="N1449">
        <f>Sheet1[[#This Row],[Quantity]]*Sheet1[[#This Row],[UnitPrice]]</f>
        <v>242.1</v>
      </c>
    </row>
    <row r="1450" spans="1:14" x14ac:dyDescent="0.3">
      <c r="A1450" s="1">
        <v>45058</v>
      </c>
      <c r="B1450" t="s">
        <v>1161</v>
      </c>
      <c r="C1450" t="s">
        <v>34</v>
      </c>
      <c r="D1450" t="s">
        <v>74</v>
      </c>
      <c r="E1450" t="s">
        <v>17</v>
      </c>
      <c r="F1450">
        <v>7</v>
      </c>
      <c r="G1450">
        <v>277.36</v>
      </c>
      <c r="H1450" t="s">
        <v>36</v>
      </c>
      <c r="I1450" t="s">
        <v>2176</v>
      </c>
      <c r="J1450" t="s">
        <v>20</v>
      </c>
      <c r="K1450" t="s">
        <v>31</v>
      </c>
      <c r="L1450" t="s">
        <v>22</v>
      </c>
      <c r="M1450" t="s">
        <v>40</v>
      </c>
      <c r="N1450">
        <f>Sheet1[[#This Row],[Quantity]]*Sheet1[[#This Row],[UnitPrice]]</f>
        <v>1941.52</v>
      </c>
    </row>
    <row r="1451" spans="1:14" x14ac:dyDescent="0.3">
      <c r="A1451" s="1">
        <v>45372</v>
      </c>
      <c r="B1451" t="s">
        <v>514</v>
      </c>
      <c r="C1451" t="s">
        <v>51</v>
      </c>
      <c r="D1451" t="s">
        <v>26</v>
      </c>
      <c r="E1451" t="s">
        <v>52</v>
      </c>
      <c r="F1451">
        <v>9</v>
      </c>
      <c r="G1451">
        <v>330.57</v>
      </c>
      <c r="H1451" t="s">
        <v>18</v>
      </c>
      <c r="I1451" t="s">
        <v>2177</v>
      </c>
      <c r="J1451" t="s">
        <v>30</v>
      </c>
      <c r="K1451" t="s">
        <v>45</v>
      </c>
      <c r="L1451" t="s">
        <v>60</v>
      </c>
      <c r="M1451" t="s">
        <v>32</v>
      </c>
      <c r="N1451">
        <f>Sheet1[[#This Row],[Quantity]]*Sheet1[[#This Row],[UnitPrice]]</f>
        <v>2975.13</v>
      </c>
    </row>
    <row r="1452" spans="1:14" x14ac:dyDescent="0.3">
      <c r="A1452" s="1">
        <v>44948</v>
      </c>
      <c r="B1452" t="s">
        <v>1100</v>
      </c>
      <c r="C1452" t="s">
        <v>25</v>
      </c>
      <c r="D1452" t="s">
        <v>47</v>
      </c>
      <c r="E1452" t="s">
        <v>17</v>
      </c>
      <c r="F1452">
        <v>4</v>
      </c>
      <c r="G1452">
        <v>49.38</v>
      </c>
      <c r="H1452" t="s">
        <v>18</v>
      </c>
      <c r="I1452" t="s">
        <v>2178</v>
      </c>
      <c r="J1452" t="s">
        <v>30</v>
      </c>
      <c r="K1452" t="s">
        <v>59</v>
      </c>
      <c r="L1452" t="s">
        <v>22</v>
      </c>
      <c r="M1452" t="s">
        <v>61</v>
      </c>
      <c r="N1452">
        <f>Sheet1[[#This Row],[Quantity]]*Sheet1[[#This Row],[UnitPrice]]</f>
        <v>197.52</v>
      </c>
    </row>
    <row r="1453" spans="1:14" x14ac:dyDescent="0.3">
      <c r="A1453" s="1">
        <v>45128</v>
      </c>
      <c r="B1453" t="s">
        <v>1153</v>
      </c>
      <c r="C1453" t="s">
        <v>15</v>
      </c>
      <c r="D1453" t="s">
        <v>16</v>
      </c>
      <c r="E1453" t="s">
        <v>35</v>
      </c>
      <c r="F1453">
        <v>6</v>
      </c>
      <c r="G1453">
        <v>200.88</v>
      </c>
      <c r="H1453" t="s">
        <v>53</v>
      </c>
      <c r="I1453" t="s">
        <v>2179</v>
      </c>
      <c r="J1453" t="s">
        <v>20</v>
      </c>
      <c r="K1453" t="s">
        <v>45</v>
      </c>
      <c r="L1453" t="s">
        <v>39</v>
      </c>
      <c r="M1453" t="s">
        <v>40</v>
      </c>
      <c r="N1453">
        <f>Sheet1[[#This Row],[Quantity]]*Sheet1[[#This Row],[UnitPrice]]</f>
        <v>1205.28</v>
      </c>
    </row>
    <row r="1454" spans="1:14" x14ac:dyDescent="0.3">
      <c r="A1454" s="1">
        <v>45647</v>
      </c>
      <c r="B1454" t="s">
        <v>1234</v>
      </c>
      <c r="C1454" t="s">
        <v>78</v>
      </c>
      <c r="D1454" t="s">
        <v>74</v>
      </c>
      <c r="E1454" t="s">
        <v>64</v>
      </c>
      <c r="F1454">
        <v>6</v>
      </c>
      <c r="G1454">
        <v>348.36</v>
      </c>
      <c r="H1454" t="s">
        <v>36</v>
      </c>
      <c r="I1454" t="s">
        <v>2180</v>
      </c>
      <c r="J1454" t="s">
        <v>44</v>
      </c>
      <c r="K1454" t="s">
        <v>31</v>
      </c>
      <c r="L1454" t="s">
        <v>22</v>
      </c>
      <c r="M1454" t="s">
        <v>23</v>
      </c>
      <c r="N1454">
        <f>Sheet1[[#This Row],[Quantity]]*Sheet1[[#This Row],[UnitPrice]]</f>
        <v>2090.16</v>
      </c>
    </row>
    <row r="1455" spans="1:14" x14ac:dyDescent="0.3">
      <c r="A1455" s="1">
        <v>45024</v>
      </c>
      <c r="B1455" t="s">
        <v>999</v>
      </c>
      <c r="C1455" t="s">
        <v>15</v>
      </c>
      <c r="D1455" t="s">
        <v>47</v>
      </c>
      <c r="E1455" t="s">
        <v>35</v>
      </c>
      <c r="F1455">
        <v>3</v>
      </c>
      <c r="G1455">
        <v>335.86</v>
      </c>
      <c r="H1455" t="s">
        <v>28</v>
      </c>
      <c r="I1455" t="s">
        <v>2181</v>
      </c>
      <c r="J1455" t="s">
        <v>44</v>
      </c>
      <c r="K1455" t="s">
        <v>45</v>
      </c>
      <c r="L1455" t="s">
        <v>60</v>
      </c>
      <c r="M1455" t="s">
        <v>23</v>
      </c>
      <c r="N1455">
        <f>Sheet1[[#This Row],[Quantity]]*Sheet1[[#This Row],[UnitPrice]]</f>
        <v>1007.58</v>
      </c>
    </row>
    <row r="1456" spans="1:14" x14ac:dyDescent="0.3">
      <c r="A1456" s="1">
        <v>45462</v>
      </c>
      <c r="B1456" t="s">
        <v>993</v>
      </c>
      <c r="C1456" t="s">
        <v>101</v>
      </c>
      <c r="D1456" t="s">
        <v>16</v>
      </c>
      <c r="E1456" t="s">
        <v>17</v>
      </c>
      <c r="F1456">
        <v>5</v>
      </c>
      <c r="G1456">
        <v>31.82</v>
      </c>
      <c r="H1456" t="s">
        <v>18</v>
      </c>
      <c r="I1456" t="s">
        <v>2182</v>
      </c>
      <c r="J1456" t="s">
        <v>44</v>
      </c>
      <c r="K1456" t="s">
        <v>45</v>
      </c>
      <c r="L1456" t="s">
        <v>39</v>
      </c>
      <c r="M1456" t="s">
        <v>76</v>
      </c>
      <c r="N1456">
        <f>Sheet1[[#This Row],[Quantity]]*Sheet1[[#This Row],[UnitPrice]]</f>
        <v>159.1</v>
      </c>
    </row>
    <row r="1457" spans="1:14" x14ac:dyDescent="0.3">
      <c r="A1457" s="1">
        <v>45056</v>
      </c>
      <c r="B1457" t="s">
        <v>850</v>
      </c>
      <c r="C1457" t="s">
        <v>34</v>
      </c>
      <c r="D1457" t="s">
        <v>16</v>
      </c>
      <c r="E1457" t="s">
        <v>42</v>
      </c>
      <c r="F1457">
        <v>9</v>
      </c>
      <c r="G1457">
        <v>104.52</v>
      </c>
      <c r="H1457" t="s">
        <v>28</v>
      </c>
      <c r="I1457" t="s">
        <v>2183</v>
      </c>
      <c r="J1457" t="s">
        <v>20</v>
      </c>
      <c r="K1457" t="s">
        <v>59</v>
      </c>
      <c r="L1457" t="s">
        <v>22</v>
      </c>
      <c r="M1457" t="s">
        <v>76</v>
      </c>
      <c r="N1457">
        <f>Sheet1[[#This Row],[Quantity]]*Sheet1[[#This Row],[UnitPrice]]</f>
        <v>940.68</v>
      </c>
    </row>
    <row r="1458" spans="1:14" x14ac:dyDescent="0.3">
      <c r="A1458" s="1">
        <v>45088</v>
      </c>
      <c r="B1458" t="s">
        <v>456</v>
      </c>
      <c r="C1458" t="s">
        <v>63</v>
      </c>
      <c r="D1458" t="s">
        <v>74</v>
      </c>
      <c r="E1458" t="s">
        <v>27</v>
      </c>
      <c r="F1458">
        <v>3</v>
      </c>
      <c r="G1458">
        <v>275.63</v>
      </c>
      <c r="H1458" t="s">
        <v>36</v>
      </c>
      <c r="I1458" t="s">
        <v>2184</v>
      </c>
      <c r="J1458" t="s">
        <v>44</v>
      </c>
      <c r="K1458" t="s">
        <v>21</v>
      </c>
      <c r="L1458" t="s">
        <v>39</v>
      </c>
      <c r="M1458" t="s">
        <v>61</v>
      </c>
      <c r="N1458">
        <f>Sheet1[[#This Row],[Quantity]]*Sheet1[[#This Row],[UnitPrice]]</f>
        <v>826.89</v>
      </c>
    </row>
    <row r="1459" spans="1:14" x14ac:dyDescent="0.3">
      <c r="A1459" s="1">
        <v>45486</v>
      </c>
      <c r="B1459" t="s">
        <v>180</v>
      </c>
      <c r="C1459" t="s">
        <v>63</v>
      </c>
      <c r="D1459" t="s">
        <v>47</v>
      </c>
      <c r="E1459" t="s">
        <v>67</v>
      </c>
      <c r="F1459">
        <v>6</v>
      </c>
      <c r="G1459">
        <v>296.97000000000003</v>
      </c>
      <c r="H1459" t="s">
        <v>36</v>
      </c>
      <c r="I1459" t="s">
        <v>2185</v>
      </c>
      <c r="J1459" t="s">
        <v>58</v>
      </c>
      <c r="K1459" t="s">
        <v>31</v>
      </c>
      <c r="L1459" t="s">
        <v>39</v>
      </c>
      <c r="M1459" t="s">
        <v>23</v>
      </c>
      <c r="N1459">
        <f>Sheet1[[#This Row],[Quantity]]*Sheet1[[#This Row],[UnitPrice]]</f>
        <v>1781.8200000000002</v>
      </c>
    </row>
    <row r="1460" spans="1:14" x14ac:dyDescent="0.3">
      <c r="A1460" s="1">
        <v>45309</v>
      </c>
      <c r="B1460" t="s">
        <v>2186</v>
      </c>
      <c r="C1460" t="s">
        <v>34</v>
      </c>
      <c r="D1460" t="s">
        <v>47</v>
      </c>
      <c r="E1460" t="s">
        <v>42</v>
      </c>
      <c r="F1460">
        <v>5</v>
      </c>
      <c r="G1460">
        <v>331.32</v>
      </c>
      <c r="H1460" t="s">
        <v>36</v>
      </c>
      <c r="I1460" t="s">
        <v>2187</v>
      </c>
      <c r="J1460" t="s">
        <v>58</v>
      </c>
      <c r="K1460" t="s">
        <v>45</v>
      </c>
      <c r="L1460" t="s">
        <v>22</v>
      </c>
      <c r="M1460" t="s">
        <v>32</v>
      </c>
      <c r="N1460">
        <f>Sheet1[[#This Row],[Quantity]]*Sheet1[[#This Row],[UnitPrice]]</f>
        <v>1656.6</v>
      </c>
    </row>
    <row r="1461" spans="1:14" x14ac:dyDescent="0.3">
      <c r="A1461" s="1">
        <v>45205</v>
      </c>
      <c r="B1461" t="s">
        <v>2188</v>
      </c>
      <c r="C1461" t="s">
        <v>25</v>
      </c>
      <c r="D1461" t="s">
        <v>74</v>
      </c>
      <c r="E1461" t="s">
        <v>27</v>
      </c>
      <c r="F1461">
        <v>2</v>
      </c>
      <c r="G1461">
        <v>51.53</v>
      </c>
      <c r="H1461" t="s">
        <v>53</v>
      </c>
      <c r="I1461" t="s">
        <v>2189</v>
      </c>
      <c r="J1461" t="s">
        <v>20</v>
      </c>
      <c r="K1461" t="s">
        <v>59</v>
      </c>
      <c r="L1461" t="s">
        <v>39</v>
      </c>
      <c r="M1461" t="s">
        <v>40</v>
      </c>
      <c r="N1461">
        <f>Sheet1[[#This Row],[Quantity]]*Sheet1[[#This Row],[UnitPrice]]</f>
        <v>103.06</v>
      </c>
    </row>
    <row r="1462" spans="1:14" x14ac:dyDescent="0.3">
      <c r="A1462" s="1">
        <v>44999</v>
      </c>
      <c r="B1462" t="s">
        <v>1078</v>
      </c>
      <c r="C1462" t="s">
        <v>15</v>
      </c>
      <c r="D1462" t="s">
        <v>16</v>
      </c>
      <c r="E1462" t="s">
        <v>52</v>
      </c>
      <c r="F1462">
        <v>2</v>
      </c>
      <c r="G1462">
        <v>271.74</v>
      </c>
      <c r="H1462" t="s">
        <v>53</v>
      </c>
      <c r="I1462" t="s">
        <v>2190</v>
      </c>
      <c r="J1462" t="s">
        <v>20</v>
      </c>
      <c r="K1462" t="s">
        <v>45</v>
      </c>
      <c r="L1462" t="s">
        <v>60</v>
      </c>
      <c r="M1462" t="s">
        <v>84</v>
      </c>
      <c r="N1462">
        <f>Sheet1[[#This Row],[Quantity]]*Sheet1[[#This Row],[UnitPrice]]</f>
        <v>543.48</v>
      </c>
    </row>
    <row r="1463" spans="1:14" x14ac:dyDescent="0.3">
      <c r="A1463" s="1">
        <v>44997</v>
      </c>
      <c r="B1463" t="s">
        <v>850</v>
      </c>
      <c r="C1463" t="s">
        <v>78</v>
      </c>
      <c r="D1463" t="s">
        <v>47</v>
      </c>
      <c r="E1463" t="s">
        <v>67</v>
      </c>
      <c r="F1463">
        <v>2</v>
      </c>
      <c r="G1463">
        <v>293.07</v>
      </c>
      <c r="H1463" t="s">
        <v>68</v>
      </c>
      <c r="I1463" t="s">
        <v>2191</v>
      </c>
      <c r="J1463" t="s">
        <v>38</v>
      </c>
      <c r="K1463" t="s">
        <v>21</v>
      </c>
      <c r="L1463" t="s">
        <v>22</v>
      </c>
      <c r="M1463" t="s">
        <v>61</v>
      </c>
      <c r="N1463">
        <f>Sheet1[[#This Row],[Quantity]]*Sheet1[[#This Row],[UnitPrice]]</f>
        <v>586.14</v>
      </c>
    </row>
    <row r="1464" spans="1:14" x14ac:dyDescent="0.3">
      <c r="A1464" s="1">
        <v>45200</v>
      </c>
      <c r="B1464" t="s">
        <v>2192</v>
      </c>
      <c r="C1464" t="s">
        <v>56</v>
      </c>
      <c r="D1464" t="s">
        <v>16</v>
      </c>
      <c r="E1464" t="s">
        <v>27</v>
      </c>
      <c r="F1464">
        <v>7</v>
      </c>
      <c r="G1464">
        <v>361.77</v>
      </c>
      <c r="H1464" t="s">
        <v>18</v>
      </c>
      <c r="I1464" t="s">
        <v>2193</v>
      </c>
      <c r="J1464" t="s">
        <v>20</v>
      </c>
      <c r="K1464" t="s">
        <v>45</v>
      </c>
      <c r="L1464" t="s">
        <v>22</v>
      </c>
      <c r="M1464" t="s">
        <v>61</v>
      </c>
      <c r="N1464">
        <f>Sheet1[[#This Row],[Quantity]]*Sheet1[[#This Row],[UnitPrice]]</f>
        <v>2532.39</v>
      </c>
    </row>
    <row r="1465" spans="1:14" x14ac:dyDescent="0.3">
      <c r="A1465" s="1">
        <v>45267</v>
      </c>
      <c r="B1465" t="s">
        <v>2194</v>
      </c>
      <c r="C1465" t="s">
        <v>101</v>
      </c>
      <c r="D1465" t="s">
        <v>47</v>
      </c>
      <c r="E1465" t="s">
        <v>17</v>
      </c>
      <c r="F1465">
        <v>6</v>
      </c>
      <c r="G1465">
        <v>272.26</v>
      </c>
      <c r="H1465" t="s">
        <v>18</v>
      </c>
      <c r="I1465" t="s">
        <v>2195</v>
      </c>
      <c r="J1465" t="s">
        <v>44</v>
      </c>
      <c r="K1465" t="s">
        <v>21</v>
      </c>
      <c r="L1465" t="s">
        <v>22</v>
      </c>
      <c r="M1465" t="s">
        <v>32</v>
      </c>
      <c r="N1465">
        <f>Sheet1[[#This Row],[Quantity]]*Sheet1[[#This Row],[UnitPrice]]</f>
        <v>1633.56</v>
      </c>
    </row>
    <row r="1466" spans="1:14" x14ac:dyDescent="0.3">
      <c r="A1466" s="1">
        <v>45111</v>
      </c>
      <c r="B1466" t="s">
        <v>509</v>
      </c>
      <c r="C1466" t="s">
        <v>78</v>
      </c>
      <c r="D1466" t="s">
        <v>16</v>
      </c>
      <c r="E1466" t="s">
        <v>64</v>
      </c>
      <c r="F1466">
        <v>6</v>
      </c>
      <c r="G1466">
        <v>104.02</v>
      </c>
      <c r="H1466" t="s">
        <v>36</v>
      </c>
      <c r="I1466" t="s">
        <v>2196</v>
      </c>
      <c r="J1466" t="s">
        <v>20</v>
      </c>
      <c r="K1466" t="s">
        <v>45</v>
      </c>
      <c r="L1466" t="s">
        <v>22</v>
      </c>
      <c r="M1466" t="s">
        <v>84</v>
      </c>
      <c r="N1466">
        <f>Sheet1[[#This Row],[Quantity]]*Sheet1[[#This Row],[UnitPrice]]</f>
        <v>624.12</v>
      </c>
    </row>
    <row r="1467" spans="1:14" x14ac:dyDescent="0.3">
      <c r="A1467" s="1">
        <v>45789</v>
      </c>
      <c r="B1467" t="s">
        <v>135</v>
      </c>
      <c r="C1467" t="s">
        <v>15</v>
      </c>
      <c r="D1467" t="s">
        <v>26</v>
      </c>
      <c r="E1467" t="s">
        <v>52</v>
      </c>
      <c r="F1467">
        <v>5</v>
      </c>
      <c r="G1467">
        <v>357.77</v>
      </c>
      <c r="H1467" t="s">
        <v>36</v>
      </c>
      <c r="I1467" t="s">
        <v>2197</v>
      </c>
      <c r="J1467" t="s">
        <v>20</v>
      </c>
      <c r="K1467" t="s">
        <v>31</v>
      </c>
      <c r="L1467" t="s">
        <v>39</v>
      </c>
      <c r="M1467" t="s">
        <v>49</v>
      </c>
      <c r="N1467">
        <f>Sheet1[[#This Row],[Quantity]]*Sheet1[[#This Row],[UnitPrice]]</f>
        <v>1788.85</v>
      </c>
    </row>
    <row r="1468" spans="1:14" x14ac:dyDescent="0.3">
      <c r="A1468" s="1">
        <v>45445</v>
      </c>
      <c r="B1468" t="s">
        <v>1106</v>
      </c>
      <c r="C1468" t="s">
        <v>101</v>
      </c>
      <c r="D1468" t="s">
        <v>74</v>
      </c>
      <c r="E1468" t="s">
        <v>42</v>
      </c>
      <c r="F1468">
        <v>3</v>
      </c>
      <c r="G1468">
        <v>362.96</v>
      </c>
      <c r="H1468" t="s">
        <v>28</v>
      </c>
      <c r="I1468" t="s">
        <v>2198</v>
      </c>
      <c r="J1468" t="s">
        <v>58</v>
      </c>
      <c r="K1468" t="s">
        <v>21</v>
      </c>
      <c r="L1468" t="s">
        <v>39</v>
      </c>
      <c r="M1468" t="s">
        <v>61</v>
      </c>
      <c r="N1468">
        <f>Sheet1[[#This Row],[Quantity]]*Sheet1[[#This Row],[UnitPrice]]</f>
        <v>1088.8799999999999</v>
      </c>
    </row>
    <row r="1469" spans="1:14" x14ac:dyDescent="0.3">
      <c r="A1469" s="1">
        <v>45116</v>
      </c>
      <c r="B1469" t="s">
        <v>931</v>
      </c>
      <c r="C1469" t="s">
        <v>25</v>
      </c>
      <c r="D1469" t="s">
        <v>47</v>
      </c>
      <c r="E1469" t="s">
        <v>27</v>
      </c>
      <c r="F1469">
        <v>3</v>
      </c>
      <c r="G1469">
        <v>20.37</v>
      </c>
      <c r="H1469" t="s">
        <v>36</v>
      </c>
      <c r="I1469" t="s">
        <v>2199</v>
      </c>
      <c r="J1469" t="s">
        <v>44</v>
      </c>
      <c r="K1469" t="s">
        <v>31</v>
      </c>
      <c r="L1469" t="s">
        <v>22</v>
      </c>
      <c r="M1469" t="s">
        <v>61</v>
      </c>
      <c r="N1469">
        <f>Sheet1[[#This Row],[Quantity]]*Sheet1[[#This Row],[UnitPrice]]</f>
        <v>61.11</v>
      </c>
    </row>
    <row r="1470" spans="1:14" x14ac:dyDescent="0.3">
      <c r="A1470" s="1">
        <v>45484</v>
      </c>
      <c r="B1470" t="s">
        <v>1219</v>
      </c>
      <c r="C1470" t="s">
        <v>56</v>
      </c>
      <c r="D1470" t="s">
        <v>47</v>
      </c>
      <c r="E1470" t="s">
        <v>52</v>
      </c>
      <c r="F1470">
        <v>9</v>
      </c>
      <c r="G1470">
        <v>278.29000000000002</v>
      </c>
      <c r="H1470" t="s">
        <v>53</v>
      </c>
      <c r="I1470" t="s">
        <v>2200</v>
      </c>
      <c r="J1470" t="s">
        <v>30</v>
      </c>
      <c r="K1470" t="s">
        <v>21</v>
      </c>
      <c r="L1470" t="s">
        <v>39</v>
      </c>
      <c r="M1470" t="s">
        <v>32</v>
      </c>
      <c r="N1470">
        <f>Sheet1[[#This Row],[Quantity]]*Sheet1[[#This Row],[UnitPrice]]</f>
        <v>2504.61</v>
      </c>
    </row>
    <row r="1471" spans="1:14" x14ac:dyDescent="0.3">
      <c r="A1471" s="1">
        <v>45043</v>
      </c>
      <c r="B1471" t="s">
        <v>1248</v>
      </c>
      <c r="C1471" t="s">
        <v>90</v>
      </c>
      <c r="D1471" t="s">
        <v>16</v>
      </c>
      <c r="E1471" t="s">
        <v>67</v>
      </c>
      <c r="F1471">
        <v>8</v>
      </c>
      <c r="G1471">
        <v>127.29</v>
      </c>
      <c r="H1471" t="s">
        <v>36</v>
      </c>
      <c r="I1471" t="s">
        <v>2201</v>
      </c>
      <c r="J1471" t="s">
        <v>30</v>
      </c>
      <c r="K1471" t="s">
        <v>31</v>
      </c>
      <c r="L1471" t="s">
        <v>60</v>
      </c>
      <c r="M1471" t="s">
        <v>32</v>
      </c>
      <c r="N1471">
        <f>Sheet1[[#This Row],[Quantity]]*Sheet1[[#This Row],[UnitPrice]]</f>
        <v>1018.32</v>
      </c>
    </row>
    <row r="1472" spans="1:14" x14ac:dyDescent="0.3">
      <c r="A1472" s="1">
        <v>45286</v>
      </c>
      <c r="B1472" t="s">
        <v>1029</v>
      </c>
      <c r="C1472" t="s">
        <v>73</v>
      </c>
      <c r="D1472" t="s">
        <v>74</v>
      </c>
      <c r="E1472" t="s">
        <v>67</v>
      </c>
      <c r="F1472">
        <v>10</v>
      </c>
      <c r="G1472">
        <v>364.16</v>
      </c>
      <c r="H1472" t="s">
        <v>28</v>
      </c>
      <c r="I1472" t="s">
        <v>2202</v>
      </c>
      <c r="J1472" t="s">
        <v>20</v>
      </c>
      <c r="K1472" t="s">
        <v>45</v>
      </c>
      <c r="L1472" t="s">
        <v>60</v>
      </c>
      <c r="M1472" t="s">
        <v>84</v>
      </c>
      <c r="N1472">
        <f>Sheet1[[#This Row],[Quantity]]*Sheet1[[#This Row],[UnitPrice]]</f>
        <v>3641.6000000000004</v>
      </c>
    </row>
    <row r="1473" spans="1:14" x14ac:dyDescent="0.3">
      <c r="A1473" s="1">
        <v>45470</v>
      </c>
      <c r="B1473" t="s">
        <v>1642</v>
      </c>
      <c r="C1473" t="s">
        <v>25</v>
      </c>
      <c r="D1473" t="s">
        <v>26</v>
      </c>
      <c r="E1473" t="s">
        <v>17</v>
      </c>
      <c r="F1473">
        <v>3</v>
      </c>
      <c r="G1473">
        <v>122.45</v>
      </c>
      <c r="H1473" t="s">
        <v>68</v>
      </c>
      <c r="I1473" t="s">
        <v>2203</v>
      </c>
      <c r="J1473" t="s">
        <v>58</v>
      </c>
      <c r="K1473" t="s">
        <v>21</v>
      </c>
      <c r="L1473" t="s">
        <v>22</v>
      </c>
      <c r="M1473" t="s">
        <v>32</v>
      </c>
      <c r="N1473">
        <f>Sheet1[[#This Row],[Quantity]]*Sheet1[[#This Row],[UnitPrice]]</f>
        <v>367.35</v>
      </c>
    </row>
    <row r="1474" spans="1:14" x14ac:dyDescent="0.3">
      <c r="A1474" s="1">
        <v>45227</v>
      </c>
      <c r="B1474" t="s">
        <v>1192</v>
      </c>
      <c r="C1474" t="s">
        <v>51</v>
      </c>
      <c r="D1474" t="s">
        <v>74</v>
      </c>
      <c r="E1474" t="s">
        <v>64</v>
      </c>
      <c r="F1474">
        <v>10</v>
      </c>
      <c r="G1474">
        <v>221.44</v>
      </c>
      <c r="H1474" t="s">
        <v>18</v>
      </c>
      <c r="I1474" t="s">
        <v>2204</v>
      </c>
      <c r="J1474" t="s">
        <v>44</v>
      </c>
      <c r="K1474" t="s">
        <v>59</v>
      </c>
      <c r="L1474" t="s">
        <v>60</v>
      </c>
      <c r="M1474" t="s">
        <v>23</v>
      </c>
      <c r="N1474">
        <f>Sheet1[[#This Row],[Quantity]]*Sheet1[[#This Row],[UnitPrice]]</f>
        <v>2214.4</v>
      </c>
    </row>
    <row r="1475" spans="1:14" x14ac:dyDescent="0.3">
      <c r="A1475" s="1">
        <v>44944</v>
      </c>
      <c r="B1475" t="s">
        <v>500</v>
      </c>
      <c r="C1475" t="s">
        <v>25</v>
      </c>
      <c r="D1475" t="s">
        <v>74</v>
      </c>
      <c r="E1475" t="s">
        <v>52</v>
      </c>
      <c r="F1475">
        <v>3</v>
      </c>
      <c r="G1475">
        <v>129.41</v>
      </c>
      <c r="H1475" t="s">
        <v>18</v>
      </c>
      <c r="I1475" t="s">
        <v>2205</v>
      </c>
      <c r="J1475" t="s">
        <v>58</v>
      </c>
      <c r="K1475" t="s">
        <v>59</v>
      </c>
      <c r="L1475" t="s">
        <v>60</v>
      </c>
      <c r="M1475" t="s">
        <v>76</v>
      </c>
      <c r="N1475">
        <f>Sheet1[[#This Row],[Quantity]]*Sheet1[[#This Row],[UnitPrice]]</f>
        <v>388.23</v>
      </c>
    </row>
    <row r="1476" spans="1:14" x14ac:dyDescent="0.3">
      <c r="A1476" s="1">
        <v>45666</v>
      </c>
      <c r="B1476" t="s">
        <v>1003</v>
      </c>
      <c r="C1476" t="s">
        <v>56</v>
      </c>
      <c r="D1476" t="s">
        <v>26</v>
      </c>
      <c r="E1476" t="s">
        <v>17</v>
      </c>
      <c r="F1476">
        <v>4</v>
      </c>
      <c r="G1476">
        <v>194.44</v>
      </c>
      <c r="H1476" t="s">
        <v>28</v>
      </c>
      <c r="I1476" t="s">
        <v>2206</v>
      </c>
      <c r="J1476" t="s">
        <v>38</v>
      </c>
      <c r="K1476" t="s">
        <v>31</v>
      </c>
      <c r="L1476" t="s">
        <v>22</v>
      </c>
      <c r="M1476" t="s">
        <v>32</v>
      </c>
      <c r="N1476">
        <f>Sheet1[[#This Row],[Quantity]]*Sheet1[[#This Row],[UnitPrice]]</f>
        <v>777.76</v>
      </c>
    </row>
    <row r="1477" spans="1:14" x14ac:dyDescent="0.3">
      <c r="A1477" s="1">
        <v>45662</v>
      </c>
      <c r="B1477" t="s">
        <v>579</v>
      </c>
      <c r="C1477" t="s">
        <v>101</v>
      </c>
      <c r="D1477" t="s">
        <v>26</v>
      </c>
      <c r="E1477" t="s">
        <v>27</v>
      </c>
      <c r="F1477">
        <v>10</v>
      </c>
      <c r="G1477">
        <v>7.42</v>
      </c>
      <c r="H1477" t="s">
        <v>28</v>
      </c>
      <c r="I1477" t="s">
        <v>2207</v>
      </c>
      <c r="J1477" t="s">
        <v>58</v>
      </c>
      <c r="K1477" t="s">
        <v>31</v>
      </c>
      <c r="L1477" t="s">
        <v>39</v>
      </c>
      <c r="M1477" t="s">
        <v>61</v>
      </c>
      <c r="N1477">
        <f>Sheet1[[#This Row],[Quantity]]*Sheet1[[#This Row],[UnitPrice]]</f>
        <v>74.2</v>
      </c>
    </row>
    <row r="1478" spans="1:14" x14ac:dyDescent="0.3">
      <c r="A1478" s="1">
        <v>45179</v>
      </c>
      <c r="B1478" t="s">
        <v>2159</v>
      </c>
      <c r="C1478" t="s">
        <v>90</v>
      </c>
      <c r="D1478" t="s">
        <v>47</v>
      </c>
      <c r="E1478" t="s">
        <v>67</v>
      </c>
      <c r="F1478">
        <v>8</v>
      </c>
      <c r="G1478">
        <v>222.24</v>
      </c>
      <c r="H1478" t="s">
        <v>28</v>
      </c>
      <c r="I1478" t="s">
        <v>2208</v>
      </c>
      <c r="J1478" t="s">
        <v>20</v>
      </c>
      <c r="K1478" t="s">
        <v>31</v>
      </c>
      <c r="L1478" t="s">
        <v>22</v>
      </c>
      <c r="M1478" t="s">
        <v>61</v>
      </c>
      <c r="N1478">
        <f>Sheet1[[#This Row],[Quantity]]*Sheet1[[#This Row],[UnitPrice]]</f>
        <v>1777.92</v>
      </c>
    </row>
    <row r="1479" spans="1:14" x14ac:dyDescent="0.3">
      <c r="A1479" s="1">
        <v>44945</v>
      </c>
      <c r="B1479" t="s">
        <v>1821</v>
      </c>
      <c r="C1479" t="s">
        <v>90</v>
      </c>
      <c r="D1479" t="s">
        <v>26</v>
      </c>
      <c r="E1479" t="s">
        <v>27</v>
      </c>
      <c r="F1479">
        <v>6</v>
      </c>
      <c r="G1479">
        <v>115.85</v>
      </c>
      <c r="H1479" t="s">
        <v>18</v>
      </c>
      <c r="I1479" t="s">
        <v>2209</v>
      </c>
      <c r="J1479" t="s">
        <v>44</v>
      </c>
      <c r="K1479" t="s">
        <v>31</v>
      </c>
      <c r="L1479" t="s">
        <v>39</v>
      </c>
      <c r="M1479" t="s">
        <v>32</v>
      </c>
      <c r="N1479">
        <f>Sheet1[[#This Row],[Quantity]]*Sheet1[[#This Row],[UnitPrice]]</f>
        <v>695.09999999999991</v>
      </c>
    </row>
    <row r="1480" spans="1:14" x14ac:dyDescent="0.3">
      <c r="A1480" s="1">
        <v>45026</v>
      </c>
      <c r="B1480" t="s">
        <v>628</v>
      </c>
      <c r="C1480" t="s">
        <v>56</v>
      </c>
      <c r="D1480" t="s">
        <v>47</v>
      </c>
      <c r="E1480" t="s">
        <v>64</v>
      </c>
      <c r="F1480">
        <v>2</v>
      </c>
      <c r="G1480">
        <v>45.59</v>
      </c>
      <c r="H1480" t="s">
        <v>36</v>
      </c>
      <c r="I1480" t="s">
        <v>2210</v>
      </c>
      <c r="J1480" t="s">
        <v>30</v>
      </c>
      <c r="K1480" t="s">
        <v>59</v>
      </c>
      <c r="L1480" t="s">
        <v>60</v>
      </c>
      <c r="M1480" t="s">
        <v>49</v>
      </c>
      <c r="N1480">
        <f>Sheet1[[#This Row],[Quantity]]*Sheet1[[#This Row],[UnitPrice]]</f>
        <v>91.18</v>
      </c>
    </row>
    <row r="1481" spans="1:14" x14ac:dyDescent="0.3">
      <c r="A1481" s="1">
        <v>45584</v>
      </c>
      <c r="B1481" t="s">
        <v>543</v>
      </c>
      <c r="C1481" t="s">
        <v>56</v>
      </c>
      <c r="D1481" t="s">
        <v>47</v>
      </c>
      <c r="E1481" t="s">
        <v>35</v>
      </c>
      <c r="F1481">
        <v>10</v>
      </c>
      <c r="G1481">
        <v>284.88</v>
      </c>
      <c r="H1481" t="s">
        <v>53</v>
      </c>
      <c r="I1481" t="s">
        <v>2211</v>
      </c>
      <c r="J1481" t="s">
        <v>30</v>
      </c>
      <c r="K1481" t="s">
        <v>45</v>
      </c>
      <c r="L1481" t="s">
        <v>22</v>
      </c>
      <c r="M1481" t="s">
        <v>23</v>
      </c>
      <c r="N1481">
        <f>Sheet1[[#This Row],[Quantity]]*Sheet1[[#This Row],[UnitPrice]]</f>
        <v>2848.8</v>
      </c>
    </row>
    <row r="1482" spans="1:14" x14ac:dyDescent="0.3">
      <c r="A1482" s="1">
        <v>45074</v>
      </c>
      <c r="B1482" t="s">
        <v>1600</v>
      </c>
      <c r="C1482" t="s">
        <v>78</v>
      </c>
      <c r="D1482" t="s">
        <v>16</v>
      </c>
      <c r="E1482" t="s">
        <v>42</v>
      </c>
      <c r="F1482">
        <v>1</v>
      </c>
      <c r="G1482">
        <v>138.53</v>
      </c>
      <c r="H1482" t="s">
        <v>53</v>
      </c>
      <c r="I1482" t="s">
        <v>2212</v>
      </c>
      <c r="J1482" t="s">
        <v>20</v>
      </c>
      <c r="K1482" t="s">
        <v>45</v>
      </c>
      <c r="L1482" t="s">
        <v>60</v>
      </c>
      <c r="M1482" t="s">
        <v>61</v>
      </c>
      <c r="N1482">
        <f>Sheet1[[#This Row],[Quantity]]*Sheet1[[#This Row],[UnitPrice]]</f>
        <v>138.53</v>
      </c>
    </row>
    <row r="1483" spans="1:14" x14ac:dyDescent="0.3">
      <c r="A1483" s="1">
        <v>45833</v>
      </c>
      <c r="B1483" t="s">
        <v>620</v>
      </c>
      <c r="C1483" t="s">
        <v>63</v>
      </c>
      <c r="D1483" t="s">
        <v>26</v>
      </c>
      <c r="E1483" t="s">
        <v>42</v>
      </c>
      <c r="F1483">
        <v>1</v>
      </c>
      <c r="G1483">
        <v>315.13</v>
      </c>
      <c r="H1483" t="s">
        <v>18</v>
      </c>
      <c r="I1483" t="s">
        <v>2213</v>
      </c>
      <c r="J1483" t="s">
        <v>58</v>
      </c>
      <c r="K1483" t="s">
        <v>45</v>
      </c>
      <c r="L1483" t="s">
        <v>39</v>
      </c>
      <c r="M1483" t="s">
        <v>76</v>
      </c>
      <c r="N1483">
        <f>Sheet1[[#This Row],[Quantity]]*Sheet1[[#This Row],[UnitPrice]]</f>
        <v>315.13</v>
      </c>
    </row>
    <row r="1484" spans="1:14" x14ac:dyDescent="0.3">
      <c r="A1484" s="1">
        <v>45375</v>
      </c>
      <c r="B1484" t="s">
        <v>2214</v>
      </c>
      <c r="C1484" t="s">
        <v>73</v>
      </c>
      <c r="D1484" t="s">
        <v>47</v>
      </c>
      <c r="E1484" t="s">
        <v>17</v>
      </c>
      <c r="F1484">
        <v>10</v>
      </c>
      <c r="G1484">
        <v>100.85</v>
      </c>
      <c r="H1484" t="s">
        <v>28</v>
      </c>
      <c r="I1484" t="s">
        <v>2215</v>
      </c>
      <c r="J1484" t="s">
        <v>38</v>
      </c>
      <c r="K1484" t="s">
        <v>21</v>
      </c>
      <c r="L1484" t="s">
        <v>39</v>
      </c>
      <c r="M1484" t="s">
        <v>61</v>
      </c>
      <c r="N1484">
        <f>Sheet1[[#This Row],[Quantity]]*Sheet1[[#This Row],[UnitPrice]]</f>
        <v>1008.5</v>
      </c>
    </row>
    <row r="1485" spans="1:14" x14ac:dyDescent="0.3">
      <c r="A1485" s="1">
        <v>45561</v>
      </c>
      <c r="B1485" t="s">
        <v>1091</v>
      </c>
      <c r="C1485" t="s">
        <v>63</v>
      </c>
      <c r="D1485" t="s">
        <v>16</v>
      </c>
      <c r="E1485" t="s">
        <v>64</v>
      </c>
      <c r="F1485">
        <v>10</v>
      </c>
      <c r="G1485">
        <v>253.03</v>
      </c>
      <c r="H1485" t="s">
        <v>68</v>
      </c>
      <c r="I1485" t="s">
        <v>2216</v>
      </c>
      <c r="J1485" t="s">
        <v>30</v>
      </c>
      <c r="K1485" t="s">
        <v>21</v>
      </c>
      <c r="L1485" t="s">
        <v>22</v>
      </c>
      <c r="M1485" t="s">
        <v>32</v>
      </c>
      <c r="N1485">
        <f>Sheet1[[#This Row],[Quantity]]*Sheet1[[#This Row],[UnitPrice]]</f>
        <v>2530.3000000000002</v>
      </c>
    </row>
    <row r="1486" spans="1:14" x14ac:dyDescent="0.3">
      <c r="A1486" s="1">
        <v>45643</v>
      </c>
      <c r="B1486" t="s">
        <v>325</v>
      </c>
      <c r="C1486" t="s">
        <v>51</v>
      </c>
      <c r="D1486" t="s">
        <v>16</v>
      </c>
      <c r="E1486" t="s">
        <v>27</v>
      </c>
      <c r="F1486">
        <v>7</v>
      </c>
      <c r="G1486">
        <v>305.52999999999997</v>
      </c>
      <c r="H1486" t="s">
        <v>53</v>
      </c>
      <c r="I1486" t="s">
        <v>2217</v>
      </c>
      <c r="J1486" t="s">
        <v>58</v>
      </c>
      <c r="K1486" t="s">
        <v>45</v>
      </c>
      <c r="L1486" t="s">
        <v>22</v>
      </c>
      <c r="M1486" t="s">
        <v>84</v>
      </c>
      <c r="N1486">
        <f>Sheet1[[#This Row],[Quantity]]*Sheet1[[#This Row],[UnitPrice]]</f>
        <v>2138.71</v>
      </c>
    </row>
    <row r="1487" spans="1:14" x14ac:dyDescent="0.3">
      <c r="A1487" s="1">
        <v>45441</v>
      </c>
      <c r="B1487" t="s">
        <v>315</v>
      </c>
      <c r="C1487" t="s">
        <v>51</v>
      </c>
      <c r="D1487" t="s">
        <v>26</v>
      </c>
      <c r="E1487" t="s">
        <v>17</v>
      </c>
      <c r="F1487">
        <v>8</v>
      </c>
      <c r="G1487">
        <v>226.38</v>
      </c>
      <c r="H1487" t="s">
        <v>36</v>
      </c>
      <c r="I1487" t="s">
        <v>2218</v>
      </c>
      <c r="J1487" t="s">
        <v>38</v>
      </c>
      <c r="K1487" t="s">
        <v>21</v>
      </c>
      <c r="L1487" t="s">
        <v>22</v>
      </c>
      <c r="M1487" t="s">
        <v>76</v>
      </c>
      <c r="N1487">
        <f>Sheet1[[#This Row],[Quantity]]*Sheet1[[#This Row],[UnitPrice]]</f>
        <v>1811.04</v>
      </c>
    </row>
    <row r="1488" spans="1:14" x14ac:dyDescent="0.3">
      <c r="A1488" s="1">
        <v>45113</v>
      </c>
      <c r="B1488" t="s">
        <v>1547</v>
      </c>
      <c r="C1488" t="s">
        <v>63</v>
      </c>
      <c r="D1488" t="s">
        <v>47</v>
      </c>
      <c r="E1488" t="s">
        <v>42</v>
      </c>
      <c r="F1488">
        <v>5</v>
      </c>
      <c r="G1488">
        <v>159.03</v>
      </c>
      <c r="H1488" t="s">
        <v>68</v>
      </c>
      <c r="I1488" t="s">
        <v>2219</v>
      </c>
      <c r="J1488" t="s">
        <v>44</v>
      </c>
      <c r="K1488" t="s">
        <v>59</v>
      </c>
      <c r="L1488" t="s">
        <v>22</v>
      </c>
      <c r="M1488" t="s">
        <v>32</v>
      </c>
      <c r="N1488">
        <f>Sheet1[[#This Row],[Quantity]]*Sheet1[[#This Row],[UnitPrice]]</f>
        <v>795.15</v>
      </c>
    </row>
    <row r="1489" spans="1:14" x14ac:dyDescent="0.3">
      <c r="A1489" s="1">
        <v>45449</v>
      </c>
      <c r="B1489" t="s">
        <v>107</v>
      </c>
      <c r="C1489" t="s">
        <v>15</v>
      </c>
      <c r="D1489" t="s">
        <v>26</v>
      </c>
      <c r="E1489" t="s">
        <v>17</v>
      </c>
      <c r="F1489">
        <v>3</v>
      </c>
      <c r="G1489">
        <v>43.97</v>
      </c>
      <c r="H1489" t="s">
        <v>18</v>
      </c>
      <c r="I1489" t="s">
        <v>2220</v>
      </c>
      <c r="J1489" t="s">
        <v>20</v>
      </c>
      <c r="K1489" t="s">
        <v>45</v>
      </c>
      <c r="L1489" t="s">
        <v>60</v>
      </c>
      <c r="M1489" t="s">
        <v>32</v>
      </c>
      <c r="N1489">
        <f>Sheet1[[#This Row],[Quantity]]*Sheet1[[#This Row],[UnitPrice]]</f>
        <v>131.91</v>
      </c>
    </row>
    <row r="1490" spans="1:14" x14ac:dyDescent="0.3">
      <c r="A1490" s="1">
        <v>45058</v>
      </c>
      <c r="B1490" t="s">
        <v>1367</v>
      </c>
      <c r="C1490" t="s">
        <v>56</v>
      </c>
      <c r="D1490" t="s">
        <v>16</v>
      </c>
      <c r="E1490" t="s">
        <v>52</v>
      </c>
      <c r="F1490">
        <v>9</v>
      </c>
      <c r="G1490">
        <v>209.42</v>
      </c>
      <c r="H1490" t="s">
        <v>36</v>
      </c>
      <c r="I1490" t="s">
        <v>2221</v>
      </c>
      <c r="J1490" t="s">
        <v>38</v>
      </c>
      <c r="K1490" t="s">
        <v>31</v>
      </c>
      <c r="L1490" t="s">
        <v>60</v>
      </c>
      <c r="M1490" t="s">
        <v>40</v>
      </c>
      <c r="N1490">
        <f>Sheet1[[#This Row],[Quantity]]*Sheet1[[#This Row],[UnitPrice]]</f>
        <v>1884.78</v>
      </c>
    </row>
    <row r="1491" spans="1:14" x14ac:dyDescent="0.3">
      <c r="A1491" s="1">
        <v>45437</v>
      </c>
      <c r="B1491" t="s">
        <v>1276</v>
      </c>
      <c r="C1491" t="s">
        <v>25</v>
      </c>
      <c r="D1491" t="s">
        <v>16</v>
      </c>
      <c r="E1491" t="s">
        <v>64</v>
      </c>
      <c r="F1491">
        <v>4</v>
      </c>
      <c r="G1491">
        <v>362.34</v>
      </c>
      <c r="H1491" t="s">
        <v>68</v>
      </c>
      <c r="I1491" t="s">
        <v>2222</v>
      </c>
      <c r="J1491" t="s">
        <v>44</v>
      </c>
      <c r="K1491" t="s">
        <v>21</v>
      </c>
      <c r="L1491" t="s">
        <v>39</v>
      </c>
      <c r="M1491" t="s">
        <v>23</v>
      </c>
      <c r="N1491">
        <f>Sheet1[[#This Row],[Quantity]]*Sheet1[[#This Row],[UnitPrice]]</f>
        <v>1449.36</v>
      </c>
    </row>
    <row r="1492" spans="1:14" x14ac:dyDescent="0.3">
      <c r="A1492" s="1">
        <v>45516</v>
      </c>
      <c r="B1492" t="s">
        <v>844</v>
      </c>
      <c r="C1492" t="s">
        <v>101</v>
      </c>
      <c r="D1492" t="s">
        <v>16</v>
      </c>
      <c r="E1492" t="s">
        <v>17</v>
      </c>
      <c r="F1492">
        <v>5</v>
      </c>
      <c r="G1492">
        <v>285.76</v>
      </c>
      <c r="H1492" t="s">
        <v>28</v>
      </c>
      <c r="I1492" t="s">
        <v>2223</v>
      </c>
      <c r="J1492" t="s">
        <v>38</v>
      </c>
      <c r="K1492" t="s">
        <v>59</v>
      </c>
      <c r="L1492" t="s">
        <v>60</v>
      </c>
      <c r="M1492" t="s">
        <v>49</v>
      </c>
      <c r="N1492">
        <f>Sheet1[[#This Row],[Quantity]]*Sheet1[[#This Row],[UnitPrice]]</f>
        <v>1428.8</v>
      </c>
    </row>
    <row r="1493" spans="1:14" x14ac:dyDescent="0.3">
      <c r="A1493" s="1">
        <v>45818</v>
      </c>
      <c r="B1493" t="s">
        <v>530</v>
      </c>
      <c r="C1493" t="s">
        <v>90</v>
      </c>
      <c r="D1493" t="s">
        <v>47</v>
      </c>
      <c r="E1493" t="s">
        <v>67</v>
      </c>
      <c r="F1493">
        <v>6</v>
      </c>
      <c r="G1493">
        <v>72.540000000000006</v>
      </c>
      <c r="H1493" t="s">
        <v>18</v>
      </c>
      <c r="I1493" t="s">
        <v>2224</v>
      </c>
      <c r="J1493" t="s">
        <v>20</v>
      </c>
      <c r="K1493" t="s">
        <v>45</v>
      </c>
      <c r="L1493" t="s">
        <v>22</v>
      </c>
      <c r="M1493" t="s">
        <v>84</v>
      </c>
      <c r="N1493">
        <f>Sheet1[[#This Row],[Quantity]]*Sheet1[[#This Row],[UnitPrice]]</f>
        <v>435.24</v>
      </c>
    </row>
    <row r="1494" spans="1:14" x14ac:dyDescent="0.3">
      <c r="A1494" s="1">
        <v>45487</v>
      </c>
      <c r="B1494" t="s">
        <v>180</v>
      </c>
      <c r="C1494" t="s">
        <v>51</v>
      </c>
      <c r="D1494" t="s">
        <v>26</v>
      </c>
      <c r="E1494" t="s">
        <v>35</v>
      </c>
      <c r="F1494">
        <v>10</v>
      </c>
      <c r="G1494">
        <v>223.31</v>
      </c>
      <c r="H1494" t="s">
        <v>53</v>
      </c>
      <c r="I1494" t="s">
        <v>2225</v>
      </c>
      <c r="J1494" t="s">
        <v>58</v>
      </c>
      <c r="K1494" t="s">
        <v>59</v>
      </c>
      <c r="L1494" t="s">
        <v>39</v>
      </c>
      <c r="M1494" t="s">
        <v>61</v>
      </c>
      <c r="N1494">
        <f>Sheet1[[#This Row],[Quantity]]*Sheet1[[#This Row],[UnitPrice]]</f>
        <v>2233.1</v>
      </c>
    </row>
    <row r="1495" spans="1:14" x14ac:dyDescent="0.3">
      <c r="A1495" s="1">
        <v>44939</v>
      </c>
      <c r="B1495" t="s">
        <v>85</v>
      </c>
      <c r="C1495" t="s">
        <v>51</v>
      </c>
      <c r="D1495" t="s">
        <v>26</v>
      </c>
      <c r="E1495" t="s">
        <v>17</v>
      </c>
      <c r="F1495">
        <v>9</v>
      </c>
      <c r="G1495">
        <v>8.1300000000000008</v>
      </c>
      <c r="H1495" t="s">
        <v>68</v>
      </c>
      <c r="I1495" t="s">
        <v>2226</v>
      </c>
      <c r="J1495" t="s">
        <v>20</v>
      </c>
      <c r="K1495" t="s">
        <v>31</v>
      </c>
      <c r="L1495" t="s">
        <v>60</v>
      </c>
      <c r="M1495" t="s">
        <v>40</v>
      </c>
      <c r="N1495">
        <f>Sheet1[[#This Row],[Quantity]]*Sheet1[[#This Row],[UnitPrice]]</f>
        <v>73.17</v>
      </c>
    </row>
    <row r="1496" spans="1:14" x14ac:dyDescent="0.3">
      <c r="A1496" s="1">
        <v>45838</v>
      </c>
      <c r="B1496" t="s">
        <v>2227</v>
      </c>
      <c r="C1496" t="s">
        <v>63</v>
      </c>
      <c r="D1496" t="s">
        <v>26</v>
      </c>
      <c r="E1496" t="s">
        <v>35</v>
      </c>
      <c r="F1496">
        <v>8</v>
      </c>
      <c r="G1496">
        <v>139.06</v>
      </c>
      <c r="H1496" t="s">
        <v>53</v>
      </c>
      <c r="I1496" t="s">
        <v>2228</v>
      </c>
      <c r="J1496" t="s">
        <v>30</v>
      </c>
      <c r="K1496" t="s">
        <v>31</v>
      </c>
      <c r="L1496" t="s">
        <v>60</v>
      </c>
      <c r="M1496" t="s">
        <v>49</v>
      </c>
      <c r="N1496">
        <f>Sheet1[[#This Row],[Quantity]]*Sheet1[[#This Row],[UnitPrice]]</f>
        <v>1112.48</v>
      </c>
    </row>
    <row r="1497" spans="1:14" x14ac:dyDescent="0.3">
      <c r="A1497" s="1">
        <v>45795</v>
      </c>
      <c r="B1497" t="s">
        <v>1742</v>
      </c>
      <c r="C1497" t="s">
        <v>78</v>
      </c>
      <c r="D1497" t="s">
        <v>74</v>
      </c>
      <c r="E1497" t="s">
        <v>67</v>
      </c>
      <c r="F1497">
        <v>10</v>
      </c>
      <c r="G1497">
        <v>221.57</v>
      </c>
      <c r="H1497" t="s">
        <v>36</v>
      </c>
      <c r="I1497" t="s">
        <v>2229</v>
      </c>
      <c r="J1497" t="s">
        <v>44</v>
      </c>
      <c r="K1497" t="s">
        <v>45</v>
      </c>
      <c r="L1497" t="s">
        <v>22</v>
      </c>
      <c r="M1497" t="s">
        <v>61</v>
      </c>
      <c r="N1497">
        <f>Sheet1[[#This Row],[Quantity]]*Sheet1[[#This Row],[UnitPrice]]</f>
        <v>2215.6999999999998</v>
      </c>
    </row>
    <row r="1498" spans="1:14" x14ac:dyDescent="0.3">
      <c r="A1498" s="1">
        <v>45272</v>
      </c>
      <c r="B1498" t="s">
        <v>886</v>
      </c>
      <c r="C1498" t="s">
        <v>15</v>
      </c>
      <c r="D1498" t="s">
        <v>47</v>
      </c>
      <c r="E1498" t="s">
        <v>27</v>
      </c>
      <c r="F1498">
        <v>1</v>
      </c>
      <c r="G1498">
        <v>106.75</v>
      </c>
      <c r="H1498" t="s">
        <v>68</v>
      </c>
      <c r="I1498" t="s">
        <v>2230</v>
      </c>
      <c r="J1498" t="s">
        <v>38</v>
      </c>
      <c r="K1498" t="s">
        <v>21</v>
      </c>
      <c r="L1498" t="s">
        <v>22</v>
      </c>
      <c r="M1498" t="s">
        <v>84</v>
      </c>
      <c r="N1498">
        <f>Sheet1[[#This Row],[Quantity]]*Sheet1[[#This Row],[UnitPrice]]</f>
        <v>106.75</v>
      </c>
    </row>
    <row r="1499" spans="1:14" x14ac:dyDescent="0.3">
      <c r="A1499" s="1">
        <v>45027</v>
      </c>
      <c r="B1499" t="s">
        <v>620</v>
      </c>
      <c r="C1499" t="s">
        <v>101</v>
      </c>
      <c r="D1499" t="s">
        <v>26</v>
      </c>
      <c r="E1499" t="s">
        <v>17</v>
      </c>
      <c r="F1499">
        <v>9</v>
      </c>
      <c r="G1499">
        <v>176.65</v>
      </c>
      <c r="H1499" t="s">
        <v>36</v>
      </c>
      <c r="I1499" t="s">
        <v>2231</v>
      </c>
      <c r="J1499" t="s">
        <v>20</v>
      </c>
      <c r="K1499" t="s">
        <v>31</v>
      </c>
      <c r="L1499" t="s">
        <v>39</v>
      </c>
      <c r="M1499" t="s">
        <v>84</v>
      </c>
      <c r="N1499">
        <f>Sheet1[[#This Row],[Quantity]]*Sheet1[[#This Row],[UnitPrice]]</f>
        <v>1589.8500000000001</v>
      </c>
    </row>
    <row r="1500" spans="1:14" x14ac:dyDescent="0.3">
      <c r="A1500" s="1">
        <v>45096</v>
      </c>
      <c r="B1500" t="s">
        <v>373</v>
      </c>
      <c r="C1500" t="s">
        <v>56</v>
      </c>
      <c r="D1500" t="s">
        <v>26</v>
      </c>
      <c r="E1500" t="s">
        <v>27</v>
      </c>
      <c r="F1500">
        <v>8</v>
      </c>
      <c r="G1500">
        <v>132.11000000000001</v>
      </c>
      <c r="H1500" t="s">
        <v>68</v>
      </c>
      <c r="I1500" t="s">
        <v>2232</v>
      </c>
      <c r="J1500" t="s">
        <v>30</v>
      </c>
      <c r="K1500" t="s">
        <v>21</v>
      </c>
      <c r="L1500" t="s">
        <v>39</v>
      </c>
      <c r="M1500" t="s">
        <v>49</v>
      </c>
      <c r="N1500">
        <f>Sheet1[[#This Row],[Quantity]]*Sheet1[[#This Row],[UnitPrice]]</f>
        <v>1056.8800000000001</v>
      </c>
    </row>
    <row r="1501" spans="1:14" x14ac:dyDescent="0.3">
      <c r="A1501" s="1">
        <v>45406</v>
      </c>
      <c r="B1501" t="s">
        <v>1692</v>
      </c>
      <c r="C1501" t="s">
        <v>25</v>
      </c>
      <c r="D1501" t="s">
        <v>74</v>
      </c>
      <c r="E1501" t="s">
        <v>67</v>
      </c>
      <c r="F1501">
        <v>3</v>
      </c>
      <c r="G1501">
        <v>377.38</v>
      </c>
      <c r="H1501" t="s">
        <v>53</v>
      </c>
      <c r="I1501" t="s">
        <v>2233</v>
      </c>
      <c r="J1501" t="s">
        <v>38</v>
      </c>
      <c r="K1501" t="s">
        <v>31</v>
      </c>
      <c r="L1501" t="s">
        <v>60</v>
      </c>
      <c r="M1501" t="s">
        <v>76</v>
      </c>
      <c r="N1501">
        <f>Sheet1[[#This Row],[Quantity]]*Sheet1[[#This Row],[UnitPrice]]</f>
        <v>1132.1399999999999</v>
      </c>
    </row>
    <row r="1502" spans="1:14" x14ac:dyDescent="0.3">
      <c r="A1502" s="1">
        <v>44944</v>
      </c>
      <c r="B1502" t="s">
        <v>2227</v>
      </c>
      <c r="C1502" t="s">
        <v>51</v>
      </c>
      <c r="D1502" t="s">
        <v>16</v>
      </c>
      <c r="E1502" t="s">
        <v>52</v>
      </c>
      <c r="F1502">
        <v>7</v>
      </c>
      <c r="G1502">
        <v>288.66000000000003</v>
      </c>
      <c r="H1502" t="s">
        <v>18</v>
      </c>
      <c r="I1502" t="s">
        <v>2234</v>
      </c>
      <c r="J1502" t="s">
        <v>44</v>
      </c>
      <c r="K1502" t="s">
        <v>45</v>
      </c>
      <c r="L1502" t="s">
        <v>60</v>
      </c>
      <c r="M1502" t="s">
        <v>76</v>
      </c>
      <c r="N1502">
        <f>Sheet1[[#This Row],[Quantity]]*Sheet1[[#This Row],[UnitPrice]]</f>
        <v>2020.6200000000001</v>
      </c>
    </row>
    <row r="1503" spans="1:14" x14ac:dyDescent="0.3">
      <c r="A1503" s="1">
        <v>45346</v>
      </c>
      <c r="B1503" t="s">
        <v>66</v>
      </c>
      <c r="C1503" t="s">
        <v>101</v>
      </c>
      <c r="D1503" t="s">
        <v>26</v>
      </c>
      <c r="E1503" t="s">
        <v>27</v>
      </c>
      <c r="F1503">
        <v>5</v>
      </c>
      <c r="G1503">
        <v>157.30000000000001</v>
      </c>
      <c r="H1503" t="s">
        <v>68</v>
      </c>
      <c r="I1503" t="s">
        <v>2235</v>
      </c>
      <c r="J1503" t="s">
        <v>44</v>
      </c>
      <c r="K1503" t="s">
        <v>21</v>
      </c>
      <c r="L1503" t="s">
        <v>22</v>
      </c>
      <c r="M1503" t="s">
        <v>23</v>
      </c>
      <c r="N1503">
        <f>Sheet1[[#This Row],[Quantity]]*Sheet1[[#This Row],[UnitPrice]]</f>
        <v>786.5</v>
      </c>
    </row>
    <row r="1504" spans="1:14" x14ac:dyDescent="0.3">
      <c r="A1504" s="1">
        <v>45500</v>
      </c>
      <c r="B1504" t="s">
        <v>1557</v>
      </c>
      <c r="C1504" t="s">
        <v>90</v>
      </c>
      <c r="D1504" t="s">
        <v>47</v>
      </c>
      <c r="E1504" t="s">
        <v>27</v>
      </c>
      <c r="F1504">
        <v>1</v>
      </c>
      <c r="G1504">
        <v>40.39</v>
      </c>
      <c r="H1504" t="s">
        <v>18</v>
      </c>
      <c r="I1504" t="s">
        <v>2236</v>
      </c>
      <c r="J1504" t="s">
        <v>38</v>
      </c>
      <c r="K1504" t="s">
        <v>31</v>
      </c>
      <c r="L1504" t="s">
        <v>22</v>
      </c>
      <c r="M1504" t="s">
        <v>23</v>
      </c>
      <c r="N1504">
        <f>Sheet1[[#This Row],[Quantity]]*Sheet1[[#This Row],[UnitPrice]]</f>
        <v>40.39</v>
      </c>
    </row>
    <row r="1505" spans="1:14" x14ac:dyDescent="0.3">
      <c r="A1505" s="1">
        <v>45079</v>
      </c>
      <c r="B1505" t="s">
        <v>769</v>
      </c>
      <c r="C1505" t="s">
        <v>56</v>
      </c>
      <c r="D1505" t="s">
        <v>47</v>
      </c>
      <c r="E1505" t="s">
        <v>27</v>
      </c>
      <c r="F1505">
        <v>2</v>
      </c>
      <c r="G1505">
        <v>58.06</v>
      </c>
      <c r="H1505" t="s">
        <v>28</v>
      </c>
      <c r="I1505" t="s">
        <v>2237</v>
      </c>
      <c r="J1505" t="s">
        <v>20</v>
      </c>
      <c r="K1505" t="s">
        <v>31</v>
      </c>
      <c r="L1505" t="s">
        <v>22</v>
      </c>
      <c r="M1505" t="s">
        <v>40</v>
      </c>
      <c r="N1505">
        <f>Sheet1[[#This Row],[Quantity]]*Sheet1[[#This Row],[UnitPrice]]</f>
        <v>116.12</v>
      </c>
    </row>
    <row r="1506" spans="1:14" x14ac:dyDescent="0.3">
      <c r="A1506" s="1">
        <v>45444</v>
      </c>
      <c r="B1506" t="s">
        <v>541</v>
      </c>
      <c r="C1506" t="s">
        <v>15</v>
      </c>
      <c r="D1506" t="s">
        <v>16</v>
      </c>
      <c r="E1506" t="s">
        <v>35</v>
      </c>
      <c r="F1506">
        <v>10</v>
      </c>
      <c r="G1506">
        <v>35.81</v>
      </c>
      <c r="H1506" t="s">
        <v>28</v>
      </c>
      <c r="I1506" t="s">
        <v>2238</v>
      </c>
      <c r="J1506" t="s">
        <v>38</v>
      </c>
      <c r="K1506" t="s">
        <v>59</v>
      </c>
      <c r="L1506" t="s">
        <v>22</v>
      </c>
      <c r="M1506" t="s">
        <v>23</v>
      </c>
      <c r="N1506">
        <f>Sheet1[[#This Row],[Quantity]]*Sheet1[[#This Row],[UnitPrice]]</f>
        <v>358.1</v>
      </c>
    </row>
    <row r="1507" spans="1:14" x14ac:dyDescent="0.3">
      <c r="A1507" s="1">
        <v>45535</v>
      </c>
      <c r="B1507" t="s">
        <v>335</v>
      </c>
      <c r="C1507" t="s">
        <v>90</v>
      </c>
      <c r="D1507" t="s">
        <v>16</v>
      </c>
      <c r="E1507" t="s">
        <v>67</v>
      </c>
      <c r="F1507">
        <v>7</v>
      </c>
      <c r="G1507">
        <v>253.06</v>
      </c>
      <c r="H1507" t="s">
        <v>53</v>
      </c>
      <c r="I1507" t="s">
        <v>2239</v>
      </c>
      <c r="J1507" t="s">
        <v>20</v>
      </c>
      <c r="K1507" t="s">
        <v>45</v>
      </c>
      <c r="L1507" t="s">
        <v>22</v>
      </c>
      <c r="M1507" t="s">
        <v>23</v>
      </c>
      <c r="N1507">
        <f>Sheet1[[#This Row],[Quantity]]*Sheet1[[#This Row],[UnitPrice]]</f>
        <v>1771.42</v>
      </c>
    </row>
    <row r="1508" spans="1:14" x14ac:dyDescent="0.3">
      <c r="A1508" s="1">
        <v>45764</v>
      </c>
      <c r="B1508" t="s">
        <v>1156</v>
      </c>
      <c r="C1508" t="s">
        <v>101</v>
      </c>
      <c r="D1508" t="s">
        <v>47</v>
      </c>
      <c r="E1508" t="s">
        <v>17</v>
      </c>
      <c r="F1508">
        <v>3</v>
      </c>
      <c r="G1508">
        <v>91.79</v>
      </c>
      <c r="H1508" t="s">
        <v>53</v>
      </c>
      <c r="I1508" t="s">
        <v>2240</v>
      </c>
      <c r="J1508" t="s">
        <v>30</v>
      </c>
      <c r="K1508" t="s">
        <v>21</v>
      </c>
      <c r="L1508" t="s">
        <v>60</v>
      </c>
      <c r="M1508" t="s">
        <v>32</v>
      </c>
      <c r="N1508">
        <f>Sheet1[[#This Row],[Quantity]]*Sheet1[[#This Row],[UnitPrice]]</f>
        <v>275.37</v>
      </c>
    </row>
    <row r="1509" spans="1:14" x14ac:dyDescent="0.3">
      <c r="A1509" s="1">
        <v>45299</v>
      </c>
      <c r="B1509" t="s">
        <v>1951</v>
      </c>
      <c r="C1509" t="s">
        <v>15</v>
      </c>
      <c r="D1509" t="s">
        <v>26</v>
      </c>
      <c r="E1509" t="s">
        <v>67</v>
      </c>
      <c r="F1509">
        <v>4</v>
      </c>
      <c r="G1509">
        <v>139.01</v>
      </c>
      <c r="H1509" t="s">
        <v>53</v>
      </c>
      <c r="I1509" t="s">
        <v>2241</v>
      </c>
      <c r="J1509" t="s">
        <v>20</v>
      </c>
      <c r="K1509" t="s">
        <v>31</v>
      </c>
      <c r="L1509" t="s">
        <v>39</v>
      </c>
      <c r="M1509" t="s">
        <v>49</v>
      </c>
      <c r="N1509">
        <f>Sheet1[[#This Row],[Quantity]]*Sheet1[[#This Row],[UnitPrice]]</f>
        <v>556.04</v>
      </c>
    </row>
    <row r="1510" spans="1:14" x14ac:dyDescent="0.3">
      <c r="A1510" s="1">
        <v>45423</v>
      </c>
      <c r="B1510" t="s">
        <v>367</v>
      </c>
      <c r="C1510" t="s">
        <v>78</v>
      </c>
      <c r="D1510" t="s">
        <v>16</v>
      </c>
      <c r="E1510" t="s">
        <v>67</v>
      </c>
      <c r="F1510">
        <v>2</v>
      </c>
      <c r="G1510">
        <v>54.08</v>
      </c>
      <c r="H1510" t="s">
        <v>28</v>
      </c>
      <c r="I1510" t="s">
        <v>2242</v>
      </c>
      <c r="J1510" t="s">
        <v>20</v>
      </c>
      <c r="K1510" t="s">
        <v>59</v>
      </c>
      <c r="L1510" t="s">
        <v>60</v>
      </c>
      <c r="M1510" t="s">
        <v>23</v>
      </c>
      <c r="N1510">
        <f>Sheet1[[#This Row],[Quantity]]*Sheet1[[#This Row],[UnitPrice]]</f>
        <v>108.16</v>
      </c>
    </row>
    <row r="1511" spans="1:14" x14ac:dyDescent="0.3">
      <c r="A1511" s="1">
        <v>45365</v>
      </c>
      <c r="B1511" t="s">
        <v>2243</v>
      </c>
      <c r="C1511" t="s">
        <v>51</v>
      </c>
      <c r="D1511" t="s">
        <v>16</v>
      </c>
      <c r="E1511" t="s">
        <v>64</v>
      </c>
      <c r="F1511">
        <v>8</v>
      </c>
      <c r="G1511">
        <v>245.72</v>
      </c>
      <c r="H1511" t="s">
        <v>18</v>
      </c>
      <c r="I1511" t="s">
        <v>2244</v>
      </c>
      <c r="J1511" t="s">
        <v>20</v>
      </c>
      <c r="K1511" t="s">
        <v>59</v>
      </c>
      <c r="L1511" t="s">
        <v>22</v>
      </c>
      <c r="M1511" t="s">
        <v>32</v>
      </c>
      <c r="N1511">
        <f>Sheet1[[#This Row],[Quantity]]*Sheet1[[#This Row],[UnitPrice]]</f>
        <v>1965.76</v>
      </c>
    </row>
    <row r="1512" spans="1:14" x14ac:dyDescent="0.3">
      <c r="A1512" s="1">
        <v>45429</v>
      </c>
      <c r="B1512" t="s">
        <v>719</v>
      </c>
      <c r="C1512" t="s">
        <v>15</v>
      </c>
      <c r="D1512" t="s">
        <v>74</v>
      </c>
      <c r="E1512" t="s">
        <v>67</v>
      </c>
      <c r="F1512">
        <v>2</v>
      </c>
      <c r="G1512">
        <v>89.38</v>
      </c>
      <c r="H1512" t="s">
        <v>28</v>
      </c>
      <c r="I1512" t="s">
        <v>2245</v>
      </c>
      <c r="J1512" t="s">
        <v>20</v>
      </c>
      <c r="K1512" t="s">
        <v>45</v>
      </c>
      <c r="L1512" t="s">
        <v>39</v>
      </c>
      <c r="M1512" t="s">
        <v>40</v>
      </c>
      <c r="N1512">
        <f>Sheet1[[#This Row],[Quantity]]*Sheet1[[#This Row],[UnitPrice]]</f>
        <v>178.76</v>
      </c>
    </row>
    <row r="1513" spans="1:14" x14ac:dyDescent="0.3">
      <c r="A1513" s="1">
        <v>45055</v>
      </c>
      <c r="B1513" t="s">
        <v>961</v>
      </c>
      <c r="C1513" t="s">
        <v>15</v>
      </c>
      <c r="D1513" t="s">
        <v>47</v>
      </c>
      <c r="E1513" t="s">
        <v>42</v>
      </c>
      <c r="F1513">
        <v>3</v>
      </c>
      <c r="G1513">
        <v>290.93</v>
      </c>
      <c r="H1513" t="s">
        <v>53</v>
      </c>
      <c r="I1513" t="s">
        <v>2246</v>
      </c>
      <c r="J1513" t="s">
        <v>38</v>
      </c>
      <c r="K1513" t="s">
        <v>21</v>
      </c>
      <c r="L1513" t="s">
        <v>39</v>
      </c>
      <c r="M1513" t="s">
        <v>84</v>
      </c>
      <c r="N1513">
        <f>Sheet1[[#This Row],[Quantity]]*Sheet1[[#This Row],[UnitPrice]]</f>
        <v>872.79</v>
      </c>
    </row>
    <row r="1514" spans="1:14" x14ac:dyDescent="0.3">
      <c r="A1514" s="1">
        <v>45305</v>
      </c>
      <c r="B1514" t="s">
        <v>427</v>
      </c>
      <c r="C1514" t="s">
        <v>25</v>
      </c>
      <c r="D1514" t="s">
        <v>26</v>
      </c>
      <c r="E1514" t="s">
        <v>35</v>
      </c>
      <c r="F1514">
        <v>2</v>
      </c>
      <c r="G1514">
        <v>302.06</v>
      </c>
      <c r="H1514" t="s">
        <v>36</v>
      </c>
      <c r="I1514" t="s">
        <v>2247</v>
      </c>
      <c r="J1514" t="s">
        <v>38</v>
      </c>
      <c r="K1514" t="s">
        <v>45</v>
      </c>
      <c r="L1514" t="s">
        <v>39</v>
      </c>
      <c r="M1514" t="s">
        <v>61</v>
      </c>
      <c r="N1514">
        <f>Sheet1[[#This Row],[Quantity]]*Sheet1[[#This Row],[UnitPrice]]</f>
        <v>604.12</v>
      </c>
    </row>
    <row r="1515" spans="1:14" x14ac:dyDescent="0.3">
      <c r="A1515" s="1">
        <v>45306</v>
      </c>
      <c r="B1515" t="s">
        <v>1159</v>
      </c>
      <c r="C1515" t="s">
        <v>78</v>
      </c>
      <c r="D1515" t="s">
        <v>74</v>
      </c>
      <c r="E1515" t="s">
        <v>42</v>
      </c>
      <c r="F1515">
        <v>5</v>
      </c>
      <c r="G1515">
        <v>154.44999999999999</v>
      </c>
      <c r="H1515" t="s">
        <v>36</v>
      </c>
      <c r="I1515" t="s">
        <v>2248</v>
      </c>
      <c r="J1515" t="s">
        <v>30</v>
      </c>
      <c r="K1515" t="s">
        <v>45</v>
      </c>
      <c r="L1515" t="s">
        <v>22</v>
      </c>
      <c r="M1515" t="s">
        <v>49</v>
      </c>
      <c r="N1515">
        <f>Sheet1[[#This Row],[Quantity]]*Sheet1[[#This Row],[UnitPrice]]</f>
        <v>772.25</v>
      </c>
    </row>
    <row r="1516" spans="1:14" x14ac:dyDescent="0.3">
      <c r="A1516" s="1">
        <v>45373</v>
      </c>
      <c r="B1516" t="s">
        <v>614</v>
      </c>
      <c r="C1516" t="s">
        <v>63</v>
      </c>
      <c r="D1516" t="s">
        <v>16</v>
      </c>
      <c r="E1516" t="s">
        <v>42</v>
      </c>
      <c r="F1516">
        <v>10</v>
      </c>
      <c r="G1516">
        <v>284.8</v>
      </c>
      <c r="H1516" t="s">
        <v>53</v>
      </c>
      <c r="I1516" t="s">
        <v>2249</v>
      </c>
      <c r="J1516" t="s">
        <v>20</v>
      </c>
      <c r="K1516" t="s">
        <v>21</v>
      </c>
      <c r="L1516" t="s">
        <v>60</v>
      </c>
      <c r="M1516" t="s">
        <v>40</v>
      </c>
      <c r="N1516">
        <f>Sheet1[[#This Row],[Quantity]]*Sheet1[[#This Row],[UnitPrice]]</f>
        <v>2848</v>
      </c>
    </row>
    <row r="1517" spans="1:14" x14ac:dyDescent="0.3">
      <c r="A1517" s="1">
        <v>45285</v>
      </c>
      <c r="B1517" t="s">
        <v>829</v>
      </c>
      <c r="C1517" t="s">
        <v>56</v>
      </c>
      <c r="D1517" t="s">
        <v>16</v>
      </c>
      <c r="E1517" t="s">
        <v>67</v>
      </c>
      <c r="F1517">
        <v>2</v>
      </c>
      <c r="G1517">
        <v>383.87</v>
      </c>
      <c r="H1517" t="s">
        <v>53</v>
      </c>
      <c r="I1517" t="s">
        <v>2250</v>
      </c>
      <c r="J1517" t="s">
        <v>44</v>
      </c>
      <c r="K1517" t="s">
        <v>21</v>
      </c>
      <c r="L1517" t="s">
        <v>39</v>
      </c>
      <c r="M1517" t="s">
        <v>49</v>
      </c>
      <c r="N1517">
        <f>Sheet1[[#This Row],[Quantity]]*Sheet1[[#This Row],[UnitPrice]]</f>
        <v>767.74</v>
      </c>
    </row>
    <row r="1518" spans="1:14" x14ac:dyDescent="0.3">
      <c r="A1518" s="1">
        <v>45804</v>
      </c>
      <c r="B1518" t="s">
        <v>530</v>
      </c>
      <c r="C1518" t="s">
        <v>25</v>
      </c>
      <c r="D1518" t="s">
        <v>74</v>
      </c>
      <c r="E1518" t="s">
        <v>27</v>
      </c>
      <c r="F1518">
        <v>9</v>
      </c>
      <c r="G1518">
        <v>45.51</v>
      </c>
      <c r="H1518" t="s">
        <v>28</v>
      </c>
      <c r="I1518" t="s">
        <v>2251</v>
      </c>
      <c r="J1518" t="s">
        <v>20</v>
      </c>
      <c r="K1518" t="s">
        <v>21</v>
      </c>
      <c r="L1518" t="s">
        <v>22</v>
      </c>
      <c r="M1518" t="s">
        <v>84</v>
      </c>
      <c r="N1518">
        <f>Sheet1[[#This Row],[Quantity]]*Sheet1[[#This Row],[UnitPrice]]</f>
        <v>409.59</v>
      </c>
    </row>
    <row r="1519" spans="1:14" x14ac:dyDescent="0.3">
      <c r="A1519" s="1">
        <v>45472</v>
      </c>
      <c r="B1519" t="s">
        <v>461</v>
      </c>
      <c r="C1519" t="s">
        <v>78</v>
      </c>
      <c r="D1519" t="s">
        <v>26</v>
      </c>
      <c r="E1519" t="s">
        <v>42</v>
      </c>
      <c r="F1519">
        <v>5</v>
      </c>
      <c r="G1519">
        <v>246.01</v>
      </c>
      <c r="H1519" t="s">
        <v>18</v>
      </c>
      <c r="I1519" t="s">
        <v>2252</v>
      </c>
      <c r="J1519" t="s">
        <v>38</v>
      </c>
      <c r="K1519" t="s">
        <v>31</v>
      </c>
      <c r="L1519" t="s">
        <v>60</v>
      </c>
      <c r="M1519" t="s">
        <v>23</v>
      </c>
      <c r="N1519">
        <f>Sheet1[[#This Row],[Quantity]]*Sheet1[[#This Row],[UnitPrice]]</f>
        <v>1230.05</v>
      </c>
    </row>
    <row r="1520" spans="1:14" x14ac:dyDescent="0.3">
      <c r="A1520" s="1">
        <v>45342</v>
      </c>
      <c r="B1520" t="s">
        <v>1192</v>
      </c>
      <c r="C1520" t="s">
        <v>25</v>
      </c>
      <c r="D1520" t="s">
        <v>16</v>
      </c>
      <c r="E1520" t="s">
        <v>35</v>
      </c>
      <c r="F1520">
        <v>2</v>
      </c>
      <c r="G1520">
        <v>255.54</v>
      </c>
      <c r="H1520" t="s">
        <v>68</v>
      </c>
      <c r="I1520" t="s">
        <v>2253</v>
      </c>
      <c r="J1520" t="s">
        <v>58</v>
      </c>
      <c r="K1520" t="s">
        <v>45</v>
      </c>
      <c r="L1520" t="s">
        <v>60</v>
      </c>
      <c r="M1520" t="s">
        <v>84</v>
      </c>
      <c r="N1520">
        <f>Sheet1[[#This Row],[Quantity]]*Sheet1[[#This Row],[UnitPrice]]</f>
        <v>511.08</v>
      </c>
    </row>
    <row r="1521" spans="1:14" x14ac:dyDescent="0.3">
      <c r="A1521" s="1">
        <v>45350</v>
      </c>
      <c r="B1521" t="s">
        <v>1068</v>
      </c>
      <c r="C1521" t="s">
        <v>15</v>
      </c>
      <c r="D1521" t="s">
        <v>74</v>
      </c>
      <c r="E1521" t="s">
        <v>17</v>
      </c>
      <c r="F1521">
        <v>3</v>
      </c>
      <c r="G1521">
        <v>109.42</v>
      </c>
      <c r="H1521" t="s">
        <v>68</v>
      </c>
      <c r="I1521" t="s">
        <v>2254</v>
      </c>
      <c r="J1521" t="s">
        <v>20</v>
      </c>
      <c r="K1521" t="s">
        <v>21</v>
      </c>
      <c r="L1521" t="s">
        <v>60</v>
      </c>
      <c r="M1521" t="s">
        <v>76</v>
      </c>
      <c r="N1521">
        <f>Sheet1[[#This Row],[Quantity]]*Sheet1[[#This Row],[UnitPrice]]</f>
        <v>328.26</v>
      </c>
    </row>
    <row r="1522" spans="1:14" x14ac:dyDescent="0.3">
      <c r="A1522" s="1">
        <v>45658</v>
      </c>
      <c r="B1522" t="s">
        <v>302</v>
      </c>
      <c r="C1522" t="s">
        <v>56</v>
      </c>
      <c r="D1522" t="s">
        <v>26</v>
      </c>
      <c r="E1522" t="s">
        <v>35</v>
      </c>
      <c r="F1522">
        <v>4</v>
      </c>
      <c r="G1522">
        <v>342.03</v>
      </c>
      <c r="H1522" t="s">
        <v>28</v>
      </c>
      <c r="I1522" t="s">
        <v>2255</v>
      </c>
      <c r="J1522" t="s">
        <v>30</v>
      </c>
      <c r="K1522" t="s">
        <v>45</v>
      </c>
      <c r="L1522" t="s">
        <v>22</v>
      </c>
      <c r="M1522" t="s">
        <v>76</v>
      </c>
      <c r="N1522">
        <f>Sheet1[[#This Row],[Quantity]]*Sheet1[[#This Row],[UnitPrice]]</f>
        <v>1368.12</v>
      </c>
    </row>
    <row r="1523" spans="1:14" x14ac:dyDescent="0.3">
      <c r="A1523" s="1">
        <v>44979</v>
      </c>
      <c r="B1523" t="s">
        <v>410</v>
      </c>
      <c r="C1523" t="s">
        <v>78</v>
      </c>
      <c r="D1523" t="s">
        <v>16</v>
      </c>
      <c r="E1523" t="s">
        <v>42</v>
      </c>
      <c r="F1523">
        <v>4</v>
      </c>
      <c r="G1523">
        <v>255.43</v>
      </c>
      <c r="H1523" t="s">
        <v>28</v>
      </c>
      <c r="I1523" t="s">
        <v>2256</v>
      </c>
      <c r="J1523" t="s">
        <v>30</v>
      </c>
      <c r="K1523" t="s">
        <v>21</v>
      </c>
      <c r="L1523" t="s">
        <v>22</v>
      </c>
      <c r="M1523" t="s">
        <v>76</v>
      </c>
      <c r="N1523">
        <f>Sheet1[[#This Row],[Quantity]]*Sheet1[[#This Row],[UnitPrice]]</f>
        <v>1021.72</v>
      </c>
    </row>
    <row r="1524" spans="1:14" x14ac:dyDescent="0.3">
      <c r="A1524" s="1">
        <v>45206</v>
      </c>
      <c r="B1524" t="s">
        <v>397</v>
      </c>
      <c r="C1524" t="s">
        <v>63</v>
      </c>
      <c r="D1524" t="s">
        <v>26</v>
      </c>
      <c r="E1524" t="s">
        <v>42</v>
      </c>
      <c r="F1524">
        <v>10</v>
      </c>
      <c r="G1524">
        <v>228.02</v>
      </c>
      <c r="H1524" t="s">
        <v>68</v>
      </c>
      <c r="I1524" t="s">
        <v>2257</v>
      </c>
      <c r="J1524" t="s">
        <v>20</v>
      </c>
      <c r="K1524" t="s">
        <v>21</v>
      </c>
      <c r="L1524" t="s">
        <v>22</v>
      </c>
      <c r="M1524" t="s">
        <v>23</v>
      </c>
      <c r="N1524">
        <f>Sheet1[[#This Row],[Quantity]]*Sheet1[[#This Row],[UnitPrice]]</f>
        <v>2280.2000000000003</v>
      </c>
    </row>
    <row r="1525" spans="1:14" x14ac:dyDescent="0.3">
      <c r="A1525" s="1">
        <v>45473</v>
      </c>
      <c r="B1525" t="s">
        <v>687</v>
      </c>
      <c r="C1525" t="s">
        <v>51</v>
      </c>
      <c r="D1525" t="s">
        <v>47</v>
      </c>
      <c r="E1525" t="s">
        <v>42</v>
      </c>
      <c r="F1525">
        <v>7</v>
      </c>
      <c r="G1525">
        <v>232.92</v>
      </c>
      <c r="H1525" t="s">
        <v>36</v>
      </c>
      <c r="I1525" t="s">
        <v>2258</v>
      </c>
      <c r="J1525" t="s">
        <v>44</v>
      </c>
      <c r="K1525" t="s">
        <v>31</v>
      </c>
      <c r="L1525" t="s">
        <v>60</v>
      </c>
      <c r="M1525" t="s">
        <v>61</v>
      </c>
      <c r="N1525">
        <f>Sheet1[[#This Row],[Quantity]]*Sheet1[[#This Row],[UnitPrice]]</f>
        <v>1630.4399999999998</v>
      </c>
    </row>
    <row r="1526" spans="1:14" x14ac:dyDescent="0.3">
      <c r="A1526" s="1">
        <v>45807</v>
      </c>
      <c r="B1526" t="s">
        <v>2259</v>
      </c>
      <c r="C1526" t="s">
        <v>63</v>
      </c>
      <c r="D1526" t="s">
        <v>74</v>
      </c>
      <c r="E1526" t="s">
        <v>27</v>
      </c>
      <c r="F1526">
        <v>5</v>
      </c>
      <c r="G1526">
        <v>214.37</v>
      </c>
      <c r="H1526" t="s">
        <v>36</v>
      </c>
      <c r="I1526" t="s">
        <v>2260</v>
      </c>
      <c r="J1526" t="s">
        <v>58</v>
      </c>
      <c r="K1526" t="s">
        <v>21</v>
      </c>
      <c r="L1526" t="s">
        <v>39</v>
      </c>
      <c r="M1526" t="s">
        <v>40</v>
      </c>
      <c r="N1526">
        <f>Sheet1[[#This Row],[Quantity]]*Sheet1[[#This Row],[UnitPrice]]</f>
        <v>1071.8499999999999</v>
      </c>
    </row>
    <row r="1527" spans="1:14" x14ac:dyDescent="0.3">
      <c r="A1527" s="1">
        <v>45594</v>
      </c>
      <c r="B1527" t="s">
        <v>1452</v>
      </c>
      <c r="C1527" t="s">
        <v>63</v>
      </c>
      <c r="D1527" t="s">
        <v>26</v>
      </c>
      <c r="E1527" t="s">
        <v>67</v>
      </c>
      <c r="F1527">
        <v>1</v>
      </c>
      <c r="G1527">
        <v>130.44999999999999</v>
      </c>
      <c r="H1527" t="s">
        <v>53</v>
      </c>
      <c r="I1527" t="s">
        <v>2261</v>
      </c>
      <c r="J1527" t="s">
        <v>58</v>
      </c>
      <c r="K1527" t="s">
        <v>45</v>
      </c>
      <c r="L1527" t="s">
        <v>22</v>
      </c>
      <c r="M1527" t="s">
        <v>84</v>
      </c>
      <c r="N1527">
        <f>Sheet1[[#This Row],[Quantity]]*Sheet1[[#This Row],[UnitPrice]]</f>
        <v>130.44999999999999</v>
      </c>
    </row>
    <row r="1528" spans="1:14" x14ac:dyDescent="0.3">
      <c r="A1528" s="1">
        <v>45711</v>
      </c>
      <c r="B1528" t="s">
        <v>184</v>
      </c>
      <c r="C1528" t="s">
        <v>15</v>
      </c>
      <c r="D1528" t="s">
        <v>26</v>
      </c>
      <c r="E1528" t="s">
        <v>42</v>
      </c>
      <c r="F1528">
        <v>9</v>
      </c>
      <c r="G1528">
        <v>252.58</v>
      </c>
      <c r="H1528" t="s">
        <v>68</v>
      </c>
      <c r="I1528" t="s">
        <v>2262</v>
      </c>
      <c r="J1528" t="s">
        <v>58</v>
      </c>
      <c r="K1528" t="s">
        <v>31</v>
      </c>
      <c r="L1528" t="s">
        <v>39</v>
      </c>
      <c r="M1528" t="s">
        <v>61</v>
      </c>
      <c r="N1528">
        <f>Sheet1[[#This Row],[Quantity]]*Sheet1[[#This Row],[UnitPrice]]</f>
        <v>2273.2200000000003</v>
      </c>
    </row>
    <row r="1529" spans="1:14" x14ac:dyDescent="0.3">
      <c r="A1529" s="1">
        <v>45420</v>
      </c>
      <c r="B1529" t="s">
        <v>1452</v>
      </c>
      <c r="C1529" t="s">
        <v>15</v>
      </c>
      <c r="D1529" t="s">
        <v>47</v>
      </c>
      <c r="E1529" t="s">
        <v>64</v>
      </c>
      <c r="F1529">
        <v>5</v>
      </c>
      <c r="G1529">
        <v>108.84</v>
      </c>
      <c r="H1529" t="s">
        <v>18</v>
      </c>
      <c r="I1529" t="s">
        <v>2263</v>
      </c>
      <c r="J1529" t="s">
        <v>38</v>
      </c>
      <c r="K1529" t="s">
        <v>21</v>
      </c>
      <c r="L1529" t="s">
        <v>22</v>
      </c>
      <c r="M1529" t="s">
        <v>76</v>
      </c>
      <c r="N1529">
        <f>Sheet1[[#This Row],[Quantity]]*Sheet1[[#This Row],[UnitPrice]]</f>
        <v>544.20000000000005</v>
      </c>
    </row>
    <row r="1530" spans="1:14" x14ac:dyDescent="0.3">
      <c r="A1530" s="1">
        <v>45378</v>
      </c>
      <c r="B1530" t="s">
        <v>1560</v>
      </c>
      <c r="C1530" t="s">
        <v>90</v>
      </c>
      <c r="D1530" t="s">
        <v>74</v>
      </c>
      <c r="E1530" t="s">
        <v>27</v>
      </c>
      <c r="F1530">
        <v>10</v>
      </c>
      <c r="G1530">
        <v>219.61</v>
      </c>
      <c r="H1530" t="s">
        <v>53</v>
      </c>
      <c r="I1530" t="s">
        <v>2264</v>
      </c>
      <c r="J1530" t="s">
        <v>20</v>
      </c>
      <c r="K1530" t="s">
        <v>31</v>
      </c>
      <c r="L1530" t="s">
        <v>60</v>
      </c>
      <c r="M1530" t="s">
        <v>76</v>
      </c>
      <c r="N1530">
        <f>Sheet1[[#This Row],[Quantity]]*Sheet1[[#This Row],[UnitPrice]]</f>
        <v>2196.1000000000004</v>
      </c>
    </row>
    <row r="1531" spans="1:14" x14ac:dyDescent="0.3">
      <c r="A1531" s="1">
        <v>45034</v>
      </c>
      <c r="B1531" t="s">
        <v>1993</v>
      </c>
      <c r="C1531" t="s">
        <v>101</v>
      </c>
      <c r="D1531" t="s">
        <v>74</v>
      </c>
      <c r="E1531" t="s">
        <v>17</v>
      </c>
      <c r="F1531">
        <v>9</v>
      </c>
      <c r="G1531">
        <v>211.67</v>
      </c>
      <c r="H1531" t="s">
        <v>68</v>
      </c>
      <c r="I1531" t="s">
        <v>2265</v>
      </c>
      <c r="J1531" t="s">
        <v>44</v>
      </c>
      <c r="K1531" t="s">
        <v>59</v>
      </c>
      <c r="L1531" t="s">
        <v>22</v>
      </c>
      <c r="M1531" t="s">
        <v>84</v>
      </c>
      <c r="N1531">
        <f>Sheet1[[#This Row],[Quantity]]*Sheet1[[#This Row],[UnitPrice]]</f>
        <v>1905.03</v>
      </c>
    </row>
    <row r="1532" spans="1:14" x14ac:dyDescent="0.3">
      <c r="A1532" s="1">
        <v>45307</v>
      </c>
      <c r="B1532" t="s">
        <v>2266</v>
      </c>
      <c r="C1532" t="s">
        <v>51</v>
      </c>
      <c r="D1532" t="s">
        <v>47</v>
      </c>
      <c r="E1532" t="s">
        <v>27</v>
      </c>
      <c r="F1532">
        <v>6</v>
      </c>
      <c r="G1532">
        <v>345.65</v>
      </c>
      <c r="H1532" t="s">
        <v>36</v>
      </c>
      <c r="I1532" t="s">
        <v>2267</v>
      </c>
      <c r="J1532" t="s">
        <v>58</v>
      </c>
      <c r="K1532" t="s">
        <v>31</v>
      </c>
      <c r="L1532" t="s">
        <v>22</v>
      </c>
      <c r="M1532" t="s">
        <v>84</v>
      </c>
      <c r="N1532">
        <f>Sheet1[[#This Row],[Quantity]]*Sheet1[[#This Row],[UnitPrice]]</f>
        <v>2073.8999999999996</v>
      </c>
    </row>
    <row r="1533" spans="1:14" x14ac:dyDescent="0.3">
      <c r="A1533" s="1">
        <v>44960</v>
      </c>
      <c r="B1533" t="s">
        <v>2268</v>
      </c>
      <c r="C1533" t="s">
        <v>78</v>
      </c>
      <c r="D1533" t="s">
        <v>26</v>
      </c>
      <c r="E1533" t="s">
        <v>64</v>
      </c>
      <c r="F1533">
        <v>8</v>
      </c>
      <c r="G1533">
        <v>337.73</v>
      </c>
      <c r="H1533" t="s">
        <v>36</v>
      </c>
      <c r="I1533" t="s">
        <v>2269</v>
      </c>
      <c r="J1533" t="s">
        <v>30</v>
      </c>
      <c r="K1533" t="s">
        <v>21</v>
      </c>
      <c r="L1533" t="s">
        <v>39</v>
      </c>
      <c r="M1533" t="s">
        <v>40</v>
      </c>
      <c r="N1533">
        <f>Sheet1[[#This Row],[Quantity]]*Sheet1[[#This Row],[UnitPrice]]</f>
        <v>2701.84</v>
      </c>
    </row>
    <row r="1534" spans="1:14" x14ac:dyDescent="0.3">
      <c r="A1534" s="1">
        <v>44968</v>
      </c>
      <c r="B1534" t="s">
        <v>2270</v>
      </c>
      <c r="C1534" t="s">
        <v>90</v>
      </c>
      <c r="D1534" t="s">
        <v>16</v>
      </c>
      <c r="E1534" t="s">
        <v>64</v>
      </c>
      <c r="F1534">
        <v>8</v>
      </c>
      <c r="G1534">
        <v>154.05000000000001</v>
      </c>
      <c r="H1534" t="s">
        <v>68</v>
      </c>
      <c r="I1534" t="s">
        <v>2271</v>
      </c>
      <c r="J1534" t="s">
        <v>30</v>
      </c>
      <c r="K1534" t="s">
        <v>21</v>
      </c>
      <c r="L1534" t="s">
        <v>22</v>
      </c>
      <c r="M1534" t="s">
        <v>23</v>
      </c>
      <c r="N1534">
        <f>Sheet1[[#This Row],[Quantity]]*Sheet1[[#This Row],[UnitPrice]]</f>
        <v>1232.4000000000001</v>
      </c>
    </row>
    <row r="1535" spans="1:14" x14ac:dyDescent="0.3">
      <c r="A1535" s="1">
        <v>45341</v>
      </c>
      <c r="B1535" t="s">
        <v>985</v>
      </c>
      <c r="C1535" t="s">
        <v>34</v>
      </c>
      <c r="D1535" t="s">
        <v>47</v>
      </c>
      <c r="E1535" t="s">
        <v>42</v>
      </c>
      <c r="F1535">
        <v>5</v>
      </c>
      <c r="G1535">
        <v>146.28</v>
      </c>
      <c r="H1535" t="s">
        <v>36</v>
      </c>
      <c r="I1535" t="s">
        <v>2272</v>
      </c>
      <c r="J1535" t="s">
        <v>44</v>
      </c>
      <c r="K1535" t="s">
        <v>45</v>
      </c>
      <c r="L1535" t="s">
        <v>39</v>
      </c>
      <c r="M1535" t="s">
        <v>49</v>
      </c>
      <c r="N1535">
        <f>Sheet1[[#This Row],[Quantity]]*Sheet1[[#This Row],[UnitPrice]]</f>
        <v>731.4</v>
      </c>
    </row>
    <row r="1536" spans="1:14" x14ac:dyDescent="0.3">
      <c r="A1536" s="1">
        <v>45706</v>
      </c>
      <c r="B1536" t="s">
        <v>958</v>
      </c>
      <c r="C1536" t="s">
        <v>90</v>
      </c>
      <c r="D1536" t="s">
        <v>47</v>
      </c>
      <c r="E1536" t="s">
        <v>42</v>
      </c>
      <c r="F1536">
        <v>3</v>
      </c>
      <c r="G1536">
        <v>224.49</v>
      </c>
      <c r="H1536" t="s">
        <v>68</v>
      </c>
      <c r="I1536" t="s">
        <v>2273</v>
      </c>
      <c r="J1536" t="s">
        <v>38</v>
      </c>
      <c r="K1536" t="s">
        <v>45</v>
      </c>
      <c r="L1536" t="s">
        <v>39</v>
      </c>
      <c r="M1536" t="s">
        <v>84</v>
      </c>
      <c r="N1536">
        <f>Sheet1[[#This Row],[Quantity]]*Sheet1[[#This Row],[UnitPrice]]</f>
        <v>673.47</v>
      </c>
    </row>
    <row r="1537" spans="1:14" x14ac:dyDescent="0.3">
      <c r="A1537" s="1">
        <v>45045</v>
      </c>
      <c r="B1537" t="s">
        <v>502</v>
      </c>
      <c r="C1537" t="s">
        <v>15</v>
      </c>
      <c r="D1537" t="s">
        <v>74</v>
      </c>
      <c r="E1537" t="s">
        <v>27</v>
      </c>
      <c r="F1537">
        <v>8</v>
      </c>
      <c r="G1537">
        <v>331.87</v>
      </c>
      <c r="H1537" t="s">
        <v>18</v>
      </c>
      <c r="I1537" t="s">
        <v>2274</v>
      </c>
      <c r="J1537" t="s">
        <v>44</v>
      </c>
      <c r="K1537" t="s">
        <v>59</v>
      </c>
      <c r="L1537" t="s">
        <v>22</v>
      </c>
      <c r="M1537" t="s">
        <v>23</v>
      </c>
      <c r="N1537">
        <f>Sheet1[[#This Row],[Quantity]]*Sheet1[[#This Row],[UnitPrice]]</f>
        <v>2654.96</v>
      </c>
    </row>
    <row r="1538" spans="1:14" x14ac:dyDescent="0.3">
      <c r="A1538" s="1">
        <v>45109</v>
      </c>
      <c r="B1538" t="s">
        <v>1245</v>
      </c>
      <c r="C1538" t="s">
        <v>51</v>
      </c>
      <c r="D1538" t="s">
        <v>16</v>
      </c>
      <c r="E1538" t="s">
        <v>67</v>
      </c>
      <c r="F1538">
        <v>2</v>
      </c>
      <c r="G1538">
        <v>242</v>
      </c>
      <c r="H1538" t="s">
        <v>68</v>
      </c>
      <c r="I1538" t="s">
        <v>2275</v>
      </c>
      <c r="J1538" t="s">
        <v>58</v>
      </c>
      <c r="K1538" t="s">
        <v>21</v>
      </c>
      <c r="L1538" t="s">
        <v>39</v>
      </c>
      <c r="M1538" t="s">
        <v>61</v>
      </c>
      <c r="N1538">
        <f>Sheet1[[#This Row],[Quantity]]*Sheet1[[#This Row],[UnitPrice]]</f>
        <v>484</v>
      </c>
    </row>
    <row r="1539" spans="1:14" x14ac:dyDescent="0.3">
      <c r="A1539" s="1">
        <v>45554</v>
      </c>
      <c r="B1539" t="s">
        <v>583</v>
      </c>
      <c r="C1539" t="s">
        <v>15</v>
      </c>
      <c r="D1539" t="s">
        <v>26</v>
      </c>
      <c r="E1539" t="s">
        <v>42</v>
      </c>
      <c r="F1539">
        <v>4</v>
      </c>
      <c r="G1539">
        <v>364.69</v>
      </c>
      <c r="H1539" t="s">
        <v>18</v>
      </c>
      <c r="I1539" t="s">
        <v>2276</v>
      </c>
      <c r="J1539" t="s">
        <v>58</v>
      </c>
      <c r="K1539" t="s">
        <v>21</v>
      </c>
      <c r="L1539" t="s">
        <v>22</v>
      </c>
      <c r="M1539" t="s">
        <v>32</v>
      </c>
      <c r="N1539">
        <f>Sheet1[[#This Row],[Quantity]]*Sheet1[[#This Row],[UnitPrice]]</f>
        <v>1458.76</v>
      </c>
    </row>
    <row r="1540" spans="1:14" x14ac:dyDescent="0.3">
      <c r="A1540" s="1">
        <v>44991</v>
      </c>
      <c r="B1540" t="s">
        <v>105</v>
      </c>
      <c r="C1540" t="s">
        <v>15</v>
      </c>
      <c r="D1540" t="s">
        <v>26</v>
      </c>
      <c r="E1540" t="s">
        <v>42</v>
      </c>
      <c r="F1540">
        <v>1</v>
      </c>
      <c r="G1540">
        <v>249.38</v>
      </c>
      <c r="H1540" t="s">
        <v>53</v>
      </c>
      <c r="I1540" t="s">
        <v>2277</v>
      </c>
      <c r="J1540" t="s">
        <v>30</v>
      </c>
      <c r="K1540" t="s">
        <v>59</v>
      </c>
      <c r="L1540" t="s">
        <v>39</v>
      </c>
      <c r="M1540" t="s">
        <v>49</v>
      </c>
      <c r="N1540">
        <f>Sheet1[[#This Row],[Quantity]]*Sheet1[[#This Row],[UnitPrice]]</f>
        <v>249.38</v>
      </c>
    </row>
    <row r="1541" spans="1:14" x14ac:dyDescent="0.3">
      <c r="A1541" s="1">
        <v>45116</v>
      </c>
      <c r="B1541" t="s">
        <v>2127</v>
      </c>
      <c r="C1541" t="s">
        <v>63</v>
      </c>
      <c r="D1541" t="s">
        <v>47</v>
      </c>
      <c r="E1541" t="s">
        <v>52</v>
      </c>
      <c r="F1541">
        <v>6</v>
      </c>
      <c r="G1541">
        <v>274.33999999999997</v>
      </c>
      <c r="H1541" t="s">
        <v>53</v>
      </c>
      <c r="I1541" t="s">
        <v>2278</v>
      </c>
      <c r="J1541" t="s">
        <v>44</v>
      </c>
      <c r="K1541" t="s">
        <v>59</v>
      </c>
      <c r="L1541" t="s">
        <v>60</v>
      </c>
      <c r="M1541" t="s">
        <v>61</v>
      </c>
      <c r="N1541">
        <f>Sheet1[[#This Row],[Quantity]]*Sheet1[[#This Row],[UnitPrice]]</f>
        <v>1646.04</v>
      </c>
    </row>
    <row r="1542" spans="1:14" x14ac:dyDescent="0.3">
      <c r="A1542" s="1">
        <v>45628</v>
      </c>
      <c r="B1542" t="s">
        <v>1603</v>
      </c>
      <c r="C1542" t="s">
        <v>15</v>
      </c>
      <c r="D1542" t="s">
        <v>26</v>
      </c>
      <c r="E1542" t="s">
        <v>42</v>
      </c>
      <c r="F1542">
        <v>4</v>
      </c>
      <c r="G1542">
        <v>131.52000000000001</v>
      </c>
      <c r="H1542" t="s">
        <v>68</v>
      </c>
      <c r="I1542" t="s">
        <v>2279</v>
      </c>
      <c r="J1542" t="s">
        <v>38</v>
      </c>
      <c r="K1542" t="s">
        <v>45</v>
      </c>
      <c r="L1542" t="s">
        <v>22</v>
      </c>
      <c r="M1542" t="s">
        <v>49</v>
      </c>
      <c r="N1542">
        <f>Sheet1[[#This Row],[Quantity]]*Sheet1[[#This Row],[UnitPrice]]</f>
        <v>526.08000000000004</v>
      </c>
    </row>
    <row r="1543" spans="1:14" x14ac:dyDescent="0.3">
      <c r="A1543" s="1">
        <v>45828</v>
      </c>
      <c r="B1543" t="s">
        <v>1659</v>
      </c>
      <c r="C1543" t="s">
        <v>63</v>
      </c>
      <c r="D1543" t="s">
        <v>74</v>
      </c>
      <c r="E1543" t="s">
        <v>17</v>
      </c>
      <c r="F1543">
        <v>2</v>
      </c>
      <c r="G1543">
        <v>138.36000000000001</v>
      </c>
      <c r="H1543" t="s">
        <v>18</v>
      </c>
      <c r="I1543" t="s">
        <v>2280</v>
      </c>
      <c r="J1543" t="s">
        <v>58</v>
      </c>
      <c r="K1543" t="s">
        <v>45</v>
      </c>
      <c r="L1543" t="s">
        <v>39</v>
      </c>
      <c r="M1543" t="s">
        <v>40</v>
      </c>
      <c r="N1543">
        <f>Sheet1[[#This Row],[Quantity]]*Sheet1[[#This Row],[UnitPrice]]</f>
        <v>276.72000000000003</v>
      </c>
    </row>
    <row r="1544" spans="1:14" x14ac:dyDescent="0.3">
      <c r="A1544" s="1">
        <v>45340</v>
      </c>
      <c r="B1544" t="s">
        <v>904</v>
      </c>
      <c r="C1544" t="s">
        <v>15</v>
      </c>
      <c r="D1544" t="s">
        <v>26</v>
      </c>
      <c r="E1544" t="s">
        <v>27</v>
      </c>
      <c r="F1544">
        <v>6</v>
      </c>
      <c r="G1544">
        <v>240.23</v>
      </c>
      <c r="H1544" t="s">
        <v>28</v>
      </c>
      <c r="I1544" t="s">
        <v>2281</v>
      </c>
      <c r="J1544" t="s">
        <v>44</v>
      </c>
      <c r="K1544" t="s">
        <v>45</v>
      </c>
      <c r="L1544" t="s">
        <v>60</v>
      </c>
      <c r="M1544" t="s">
        <v>61</v>
      </c>
      <c r="N1544">
        <f>Sheet1[[#This Row],[Quantity]]*Sheet1[[#This Row],[UnitPrice]]</f>
        <v>1441.3799999999999</v>
      </c>
    </row>
    <row r="1545" spans="1:14" x14ac:dyDescent="0.3">
      <c r="A1545" s="1">
        <v>45142</v>
      </c>
      <c r="B1545" t="s">
        <v>1100</v>
      </c>
      <c r="C1545" t="s">
        <v>101</v>
      </c>
      <c r="D1545" t="s">
        <v>26</v>
      </c>
      <c r="E1545" t="s">
        <v>52</v>
      </c>
      <c r="F1545">
        <v>5</v>
      </c>
      <c r="G1545">
        <v>257.70999999999998</v>
      </c>
      <c r="H1545" t="s">
        <v>28</v>
      </c>
      <c r="I1545" t="s">
        <v>2282</v>
      </c>
      <c r="J1545" t="s">
        <v>30</v>
      </c>
      <c r="K1545" t="s">
        <v>45</v>
      </c>
      <c r="L1545" t="s">
        <v>22</v>
      </c>
      <c r="M1545" t="s">
        <v>40</v>
      </c>
      <c r="N1545">
        <f>Sheet1[[#This Row],[Quantity]]*Sheet1[[#This Row],[UnitPrice]]</f>
        <v>1288.55</v>
      </c>
    </row>
    <row r="1546" spans="1:14" x14ac:dyDescent="0.3">
      <c r="A1546" s="1">
        <v>45464</v>
      </c>
      <c r="B1546" t="s">
        <v>1785</v>
      </c>
      <c r="C1546" t="s">
        <v>63</v>
      </c>
      <c r="D1546" t="s">
        <v>26</v>
      </c>
      <c r="E1546" t="s">
        <v>17</v>
      </c>
      <c r="F1546">
        <v>1</v>
      </c>
      <c r="G1546">
        <v>322.54000000000002</v>
      </c>
      <c r="H1546" t="s">
        <v>53</v>
      </c>
      <c r="I1546" t="s">
        <v>2283</v>
      </c>
      <c r="J1546" t="s">
        <v>38</v>
      </c>
      <c r="K1546" t="s">
        <v>31</v>
      </c>
      <c r="L1546" t="s">
        <v>60</v>
      </c>
      <c r="M1546" t="s">
        <v>40</v>
      </c>
      <c r="N1546">
        <f>Sheet1[[#This Row],[Quantity]]*Sheet1[[#This Row],[UnitPrice]]</f>
        <v>322.54000000000002</v>
      </c>
    </row>
    <row r="1547" spans="1:14" x14ac:dyDescent="0.3">
      <c r="A1547" s="1">
        <v>45004</v>
      </c>
      <c r="B1547" t="s">
        <v>281</v>
      </c>
      <c r="C1547" t="s">
        <v>15</v>
      </c>
      <c r="D1547" t="s">
        <v>26</v>
      </c>
      <c r="E1547" t="s">
        <v>27</v>
      </c>
      <c r="F1547">
        <v>3</v>
      </c>
      <c r="G1547">
        <v>229.92</v>
      </c>
      <c r="H1547" t="s">
        <v>28</v>
      </c>
      <c r="I1547" t="s">
        <v>2284</v>
      </c>
      <c r="J1547" t="s">
        <v>20</v>
      </c>
      <c r="K1547" t="s">
        <v>21</v>
      </c>
      <c r="L1547" t="s">
        <v>60</v>
      </c>
      <c r="M1547" t="s">
        <v>61</v>
      </c>
      <c r="N1547">
        <f>Sheet1[[#This Row],[Quantity]]*Sheet1[[#This Row],[UnitPrice]]</f>
        <v>689.76</v>
      </c>
    </row>
    <row r="1548" spans="1:14" x14ac:dyDescent="0.3">
      <c r="A1548" s="1">
        <v>45250</v>
      </c>
      <c r="B1548" t="s">
        <v>2285</v>
      </c>
      <c r="C1548" t="s">
        <v>90</v>
      </c>
      <c r="D1548" t="s">
        <v>47</v>
      </c>
      <c r="E1548" t="s">
        <v>64</v>
      </c>
      <c r="F1548">
        <v>6</v>
      </c>
      <c r="G1548">
        <v>395.79</v>
      </c>
      <c r="H1548" t="s">
        <v>68</v>
      </c>
      <c r="I1548" t="s">
        <v>2286</v>
      </c>
      <c r="J1548" t="s">
        <v>38</v>
      </c>
      <c r="K1548" t="s">
        <v>31</v>
      </c>
      <c r="L1548" t="s">
        <v>60</v>
      </c>
      <c r="M1548" t="s">
        <v>49</v>
      </c>
      <c r="N1548">
        <f>Sheet1[[#This Row],[Quantity]]*Sheet1[[#This Row],[UnitPrice]]</f>
        <v>2374.7400000000002</v>
      </c>
    </row>
    <row r="1549" spans="1:14" x14ac:dyDescent="0.3">
      <c r="A1549" s="1">
        <v>45292</v>
      </c>
      <c r="B1549" t="s">
        <v>395</v>
      </c>
      <c r="C1549" t="s">
        <v>25</v>
      </c>
      <c r="D1549" t="s">
        <v>74</v>
      </c>
      <c r="E1549" t="s">
        <v>64</v>
      </c>
      <c r="F1549">
        <v>7</v>
      </c>
      <c r="G1549">
        <v>268.29000000000002</v>
      </c>
      <c r="H1549" t="s">
        <v>68</v>
      </c>
      <c r="I1549" t="s">
        <v>2287</v>
      </c>
      <c r="J1549" t="s">
        <v>58</v>
      </c>
      <c r="K1549" t="s">
        <v>45</v>
      </c>
      <c r="L1549" t="s">
        <v>22</v>
      </c>
      <c r="M1549" t="s">
        <v>49</v>
      </c>
      <c r="N1549">
        <f>Sheet1[[#This Row],[Quantity]]*Sheet1[[#This Row],[UnitPrice]]</f>
        <v>1878.0300000000002</v>
      </c>
    </row>
    <row r="1550" spans="1:14" x14ac:dyDescent="0.3">
      <c r="A1550" s="1">
        <v>45488</v>
      </c>
      <c r="B1550" t="s">
        <v>2288</v>
      </c>
      <c r="C1550" t="s">
        <v>73</v>
      </c>
      <c r="D1550" t="s">
        <v>16</v>
      </c>
      <c r="E1550" t="s">
        <v>64</v>
      </c>
      <c r="F1550">
        <v>7</v>
      </c>
      <c r="G1550">
        <v>346.83</v>
      </c>
      <c r="H1550" t="s">
        <v>28</v>
      </c>
      <c r="I1550" t="s">
        <v>2289</v>
      </c>
      <c r="J1550" t="s">
        <v>30</v>
      </c>
      <c r="K1550" t="s">
        <v>59</v>
      </c>
      <c r="L1550" t="s">
        <v>22</v>
      </c>
      <c r="M1550" t="s">
        <v>49</v>
      </c>
      <c r="N1550">
        <f>Sheet1[[#This Row],[Quantity]]*Sheet1[[#This Row],[UnitPrice]]</f>
        <v>2427.81</v>
      </c>
    </row>
    <row r="1551" spans="1:14" x14ac:dyDescent="0.3">
      <c r="A1551" s="1">
        <v>45032</v>
      </c>
      <c r="B1551" t="s">
        <v>995</v>
      </c>
      <c r="C1551" t="s">
        <v>15</v>
      </c>
      <c r="D1551" t="s">
        <v>47</v>
      </c>
      <c r="E1551" t="s">
        <v>27</v>
      </c>
      <c r="F1551">
        <v>2</v>
      </c>
      <c r="G1551">
        <v>325.91000000000003</v>
      </c>
      <c r="H1551" t="s">
        <v>36</v>
      </c>
      <c r="I1551" t="s">
        <v>2290</v>
      </c>
      <c r="J1551" t="s">
        <v>20</v>
      </c>
      <c r="K1551" t="s">
        <v>45</v>
      </c>
      <c r="L1551" t="s">
        <v>22</v>
      </c>
      <c r="M1551" t="s">
        <v>61</v>
      </c>
      <c r="N1551">
        <f>Sheet1[[#This Row],[Quantity]]*Sheet1[[#This Row],[UnitPrice]]</f>
        <v>651.82000000000005</v>
      </c>
    </row>
    <row r="1552" spans="1:14" x14ac:dyDescent="0.3">
      <c r="A1552" s="1">
        <v>45667</v>
      </c>
      <c r="B1552" t="s">
        <v>229</v>
      </c>
      <c r="C1552" t="s">
        <v>73</v>
      </c>
      <c r="D1552" t="s">
        <v>26</v>
      </c>
      <c r="E1552" t="s">
        <v>64</v>
      </c>
      <c r="F1552">
        <v>5</v>
      </c>
      <c r="G1552">
        <v>298.31</v>
      </c>
      <c r="H1552" t="s">
        <v>28</v>
      </c>
      <c r="I1552" t="s">
        <v>2291</v>
      </c>
      <c r="J1552" t="s">
        <v>20</v>
      </c>
      <c r="K1552" t="s">
        <v>21</v>
      </c>
      <c r="L1552" t="s">
        <v>39</v>
      </c>
      <c r="M1552" t="s">
        <v>40</v>
      </c>
      <c r="N1552">
        <f>Sheet1[[#This Row],[Quantity]]*Sheet1[[#This Row],[UnitPrice]]</f>
        <v>1491.55</v>
      </c>
    </row>
    <row r="1553" spans="1:14" x14ac:dyDescent="0.3">
      <c r="A1553" s="1">
        <v>45149</v>
      </c>
      <c r="B1553" t="s">
        <v>2259</v>
      </c>
      <c r="C1553" t="s">
        <v>15</v>
      </c>
      <c r="D1553" t="s">
        <v>74</v>
      </c>
      <c r="E1553" t="s">
        <v>17</v>
      </c>
      <c r="F1553">
        <v>6</v>
      </c>
      <c r="G1553">
        <v>96.53</v>
      </c>
      <c r="H1553" t="s">
        <v>53</v>
      </c>
      <c r="I1553" t="s">
        <v>2292</v>
      </c>
      <c r="J1553" t="s">
        <v>20</v>
      </c>
      <c r="K1553" t="s">
        <v>45</v>
      </c>
      <c r="L1553" t="s">
        <v>39</v>
      </c>
      <c r="M1553" t="s">
        <v>40</v>
      </c>
      <c r="N1553">
        <f>Sheet1[[#This Row],[Quantity]]*Sheet1[[#This Row],[UnitPrice]]</f>
        <v>579.18000000000006</v>
      </c>
    </row>
    <row r="1554" spans="1:14" x14ac:dyDescent="0.3">
      <c r="A1554" s="1">
        <v>45074</v>
      </c>
      <c r="B1554" t="s">
        <v>1500</v>
      </c>
      <c r="C1554" t="s">
        <v>90</v>
      </c>
      <c r="D1554" t="s">
        <v>16</v>
      </c>
      <c r="E1554" t="s">
        <v>67</v>
      </c>
      <c r="F1554">
        <v>9</v>
      </c>
      <c r="G1554">
        <v>122.13</v>
      </c>
      <c r="H1554" t="s">
        <v>36</v>
      </c>
      <c r="I1554" t="s">
        <v>2293</v>
      </c>
      <c r="J1554" t="s">
        <v>58</v>
      </c>
      <c r="K1554" t="s">
        <v>45</v>
      </c>
      <c r="L1554" t="s">
        <v>22</v>
      </c>
      <c r="M1554" t="s">
        <v>61</v>
      </c>
      <c r="N1554">
        <f>Sheet1[[#This Row],[Quantity]]*Sheet1[[#This Row],[UnitPrice]]</f>
        <v>1099.17</v>
      </c>
    </row>
    <row r="1555" spans="1:14" x14ac:dyDescent="0.3">
      <c r="A1555" s="1">
        <v>45749</v>
      </c>
      <c r="B1555" t="s">
        <v>2294</v>
      </c>
      <c r="C1555" t="s">
        <v>34</v>
      </c>
      <c r="D1555" t="s">
        <v>26</v>
      </c>
      <c r="E1555" t="s">
        <v>42</v>
      </c>
      <c r="F1555">
        <v>10</v>
      </c>
      <c r="G1555">
        <v>200.72</v>
      </c>
      <c r="H1555" t="s">
        <v>68</v>
      </c>
      <c r="I1555" t="s">
        <v>2295</v>
      </c>
      <c r="J1555" t="s">
        <v>58</v>
      </c>
      <c r="K1555" t="s">
        <v>45</v>
      </c>
      <c r="L1555" t="s">
        <v>60</v>
      </c>
      <c r="M1555" t="s">
        <v>76</v>
      </c>
      <c r="N1555">
        <f>Sheet1[[#This Row],[Quantity]]*Sheet1[[#This Row],[UnitPrice]]</f>
        <v>2007.2</v>
      </c>
    </row>
    <row r="1556" spans="1:14" x14ac:dyDescent="0.3">
      <c r="A1556" s="1">
        <v>44939</v>
      </c>
      <c r="B1556" t="s">
        <v>886</v>
      </c>
      <c r="C1556" t="s">
        <v>63</v>
      </c>
      <c r="D1556" t="s">
        <v>16</v>
      </c>
      <c r="E1556" t="s">
        <v>64</v>
      </c>
      <c r="F1556">
        <v>9</v>
      </c>
      <c r="G1556">
        <v>318.41000000000003</v>
      </c>
      <c r="H1556" t="s">
        <v>36</v>
      </c>
      <c r="I1556" t="s">
        <v>2296</v>
      </c>
      <c r="J1556" t="s">
        <v>44</v>
      </c>
      <c r="K1556" t="s">
        <v>45</v>
      </c>
      <c r="L1556" t="s">
        <v>22</v>
      </c>
      <c r="M1556" t="s">
        <v>40</v>
      </c>
      <c r="N1556">
        <f>Sheet1[[#This Row],[Quantity]]*Sheet1[[#This Row],[UnitPrice]]</f>
        <v>2865.69</v>
      </c>
    </row>
    <row r="1557" spans="1:14" x14ac:dyDescent="0.3">
      <c r="A1557" s="1">
        <v>45277</v>
      </c>
      <c r="B1557" t="s">
        <v>331</v>
      </c>
      <c r="C1557" t="s">
        <v>25</v>
      </c>
      <c r="D1557" t="s">
        <v>47</v>
      </c>
      <c r="E1557" t="s">
        <v>67</v>
      </c>
      <c r="F1557">
        <v>5</v>
      </c>
      <c r="G1557">
        <v>373.5</v>
      </c>
      <c r="H1557" t="s">
        <v>36</v>
      </c>
      <c r="I1557" t="s">
        <v>2297</v>
      </c>
      <c r="J1557" t="s">
        <v>38</v>
      </c>
      <c r="K1557" t="s">
        <v>59</v>
      </c>
      <c r="L1557" t="s">
        <v>22</v>
      </c>
      <c r="M1557" t="s">
        <v>61</v>
      </c>
      <c r="N1557">
        <f>Sheet1[[#This Row],[Quantity]]*Sheet1[[#This Row],[UnitPrice]]</f>
        <v>1867.5</v>
      </c>
    </row>
    <row r="1558" spans="1:14" x14ac:dyDescent="0.3">
      <c r="A1558" s="1">
        <v>45412</v>
      </c>
      <c r="B1558" t="s">
        <v>254</v>
      </c>
      <c r="C1558" t="s">
        <v>34</v>
      </c>
      <c r="D1558" t="s">
        <v>47</v>
      </c>
      <c r="E1558" t="s">
        <v>17</v>
      </c>
      <c r="F1558">
        <v>7</v>
      </c>
      <c r="G1558">
        <v>395.92</v>
      </c>
      <c r="H1558" t="s">
        <v>28</v>
      </c>
      <c r="I1558" t="s">
        <v>2298</v>
      </c>
      <c r="J1558" t="s">
        <v>30</v>
      </c>
      <c r="K1558" t="s">
        <v>59</v>
      </c>
      <c r="L1558" t="s">
        <v>22</v>
      </c>
      <c r="M1558" t="s">
        <v>84</v>
      </c>
      <c r="N1558">
        <f>Sheet1[[#This Row],[Quantity]]*Sheet1[[#This Row],[UnitPrice]]</f>
        <v>2771.44</v>
      </c>
    </row>
    <row r="1559" spans="1:14" x14ac:dyDescent="0.3">
      <c r="A1559" s="1">
        <v>45216</v>
      </c>
      <c r="B1559" t="s">
        <v>133</v>
      </c>
      <c r="C1559" t="s">
        <v>34</v>
      </c>
      <c r="D1559" t="s">
        <v>16</v>
      </c>
      <c r="E1559" t="s">
        <v>17</v>
      </c>
      <c r="F1559">
        <v>2</v>
      </c>
      <c r="G1559">
        <v>328.21</v>
      </c>
      <c r="H1559" t="s">
        <v>18</v>
      </c>
      <c r="I1559" t="s">
        <v>2299</v>
      </c>
      <c r="J1559" t="s">
        <v>30</v>
      </c>
      <c r="K1559" t="s">
        <v>59</v>
      </c>
      <c r="L1559" t="s">
        <v>39</v>
      </c>
      <c r="M1559" t="s">
        <v>84</v>
      </c>
      <c r="N1559">
        <f>Sheet1[[#This Row],[Quantity]]*Sheet1[[#This Row],[UnitPrice]]</f>
        <v>656.42</v>
      </c>
    </row>
    <row r="1560" spans="1:14" x14ac:dyDescent="0.3">
      <c r="A1560" s="1">
        <v>45076</v>
      </c>
      <c r="B1560" t="s">
        <v>603</v>
      </c>
      <c r="C1560" t="s">
        <v>15</v>
      </c>
      <c r="D1560" t="s">
        <v>74</v>
      </c>
      <c r="E1560" t="s">
        <v>52</v>
      </c>
      <c r="F1560">
        <v>3</v>
      </c>
      <c r="G1560">
        <v>258.19</v>
      </c>
      <c r="H1560" t="s">
        <v>18</v>
      </c>
      <c r="I1560" t="s">
        <v>2300</v>
      </c>
      <c r="J1560" t="s">
        <v>58</v>
      </c>
      <c r="K1560" t="s">
        <v>21</v>
      </c>
      <c r="L1560" t="s">
        <v>39</v>
      </c>
      <c r="M1560" t="s">
        <v>84</v>
      </c>
      <c r="N1560">
        <f>Sheet1[[#This Row],[Quantity]]*Sheet1[[#This Row],[UnitPrice]]</f>
        <v>774.56999999999994</v>
      </c>
    </row>
    <row r="1561" spans="1:14" x14ac:dyDescent="0.3">
      <c r="A1561" s="1">
        <v>44981</v>
      </c>
      <c r="B1561" t="s">
        <v>410</v>
      </c>
      <c r="C1561" t="s">
        <v>73</v>
      </c>
      <c r="D1561" t="s">
        <v>47</v>
      </c>
      <c r="E1561" t="s">
        <v>17</v>
      </c>
      <c r="F1561">
        <v>4</v>
      </c>
      <c r="G1561">
        <v>207.62</v>
      </c>
      <c r="H1561" t="s">
        <v>68</v>
      </c>
      <c r="I1561" t="s">
        <v>2301</v>
      </c>
      <c r="J1561" t="s">
        <v>58</v>
      </c>
      <c r="K1561" t="s">
        <v>59</v>
      </c>
      <c r="L1561" t="s">
        <v>22</v>
      </c>
      <c r="M1561" t="s">
        <v>40</v>
      </c>
      <c r="N1561">
        <f>Sheet1[[#This Row],[Quantity]]*Sheet1[[#This Row],[UnitPrice]]</f>
        <v>830.48</v>
      </c>
    </row>
    <row r="1562" spans="1:14" x14ac:dyDescent="0.3">
      <c r="A1562" s="1">
        <v>45475</v>
      </c>
      <c r="B1562" t="s">
        <v>379</v>
      </c>
      <c r="C1562" t="s">
        <v>63</v>
      </c>
      <c r="D1562" t="s">
        <v>16</v>
      </c>
      <c r="E1562" t="s">
        <v>42</v>
      </c>
      <c r="F1562">
        <v>1</v>
      </c>
      <c r="G1562">
        <v>287.83999999999997</v>
      </c>
      <c r="H1562" t="s">
        <v>53</v>
      </c>
      <c r="I1562" t="s">
        <v>2302</v>
      </c>
      <c r="J1562" t="s">
        <v>44</v>
      </c>
      <c r="K1562" t="s">
        <v>21</v>
      </c>
      <c r="L1562" t="s">
        <v>60</v>
      </c>
      <c r="M1562" t="s">
        <v>84</v>
      </c>
      <c r="N1562">
        <f>Sheet1[[#This Row],[Quantity]]*Sheet1[[#This Row],[UnitPrice]]</f>
        <v>287.83999999999997</v>
      </c>
    </row>
    <row r="1563" spans="1:14" x14ac:dyDescent="0.3">
      <c r="A1563" s="1">
        <v>44950</v>
      </c>
      <c r="B1563" t="s">
        <v>1977</v>
      </c>
      <c r="C1563" t="s">
        <v>25</v>
      </c>
      <c r="D1563" t="s">
        <v>74</v>
      </c>
      <c r="E1563" t="s">
        <v>64</v>
      </c>
      <c r="F1563">
        <v>10</v>
      </c>
      <c r="G1563">
        <v>303.18</v>
      </c>
      <c r="H1563" t="s">
        <v>18</v>
      </c>
      <c r="I1563" t="s">
        <v>2303</v>
      </c>
      <c r="J1563" t="s">
        <v>38</v>
      </c>
      <c r="K1563" t="s">
        <v>59</v>
      </c>
      <c r="L1563" t="s">
        <v>60</v>
      </c>
      <c r="M1563" t="s">
        <v>84</v>
      </c>
      <c r="N1563">
        <f>Sheet1[[#This Row],[Quantity]]*Sheet1[[#This Row],[UnitPrice]]</f>
        <v>3031.8</v>
      </c>
    </row>
    <row r="1564" spans="1:14" x14ac:dyDescent="0.3">
      <c r="A1564" s="1">
        <v>45232</v>
      </c>
      <c r="B1564" t="s">
        <v>904</v>
      </c>
      <c r="C1564" t="s">
        <v>73</v>
      </c>
      <c r="D1564" t="s">
        <v>16</v>
      </c>
      <c r="E1564" t="s">
        <v>35</v>
      </c>
      <c r="F1564">
        <v>8</v>
      </c>
      <c r="G1564">
        <v>170.21</v>
      </c>
      <c r="H1564" t="s">
        <v>28</v>
      </c>
      <c r="I1564" t="s">
        <v>2304</v>
      </c>
      <c r="J1564" t="s">
        <v>30</v>
      </c>
      <c r="K1564" t="s">
        <v>31</v>
      </c>
      <c r="L1564" t="s">
        <v>60</v>
      </c>
      <c r="M1564" t="s">
        <v>32</v>
      </c>
      <c r="N1564">
        <f>Sheet1[[#This Row],[Quantity]]*Sheet1[[#This Row],[UnitPrice]]</f>
        <v>1361.68</v>
      </c>
    </row>
    <row r="1565" spans="1:14" x14ac:dyDescent="0.3">
      <c r="A1565" s="1">
        <v>44964</v>
      </c>
      <c r="B1565" t="s">
        <v>1848</v>
      </c>
      <c r="C1565" t="s">
        <v>101</v>
      </c>
      <c r="D1565" t="s">
        <v>16</v>
      </c>
      <c r="E1565" t="s">
        <v>64</v>
      </c>
      <c r="F1565">
        <v>9</v>
      </c>
      <c r="G1565">
        <v>302.06</v>
      </c>
      <c r="H1565" t="s">
        <v>36</v>
      </c>
      <c r="I1565" t="s">
        <v>2305</v>
      </c>
      <c r="J1565" t="s">
        <v>44</v>
      </c>
      <c r="K1565" t="s">
        <v>59</v>
      </c>
      <c r="L1565" t="s">
        <v>60</v>
      </c>
      <c r="M1565" t="s">
        <v>84</v>
      </c>
      <c r="N1565">
        <f>Sheet1[[#This Row],[Quantity]]*Sheet1[[#This Row],[UnitPrice]]</f>
        <v>2718.54</v>
      </c>
    </row>
    <row r="1566" spans="1:14" x14ac:dyDescent="0.3">
      <c r="A1566" s="1">
        <v>45588</v>
      </c>
      <c r="B1566" t="s">
        <v>1073</v>
      </c>
      <c r="C1566" t="s">
        <v>25</v>
      </c>
      <c r="D1566" t="s">
        <v>26</v>
      </c>
      <c r="E1566" t="s">
        <v>27</v>
      </c>
      <c r="F1566">
        <v>10</v>
      </c>
      <c r="G1566">
        <v>68.48</v>
      </c>
      <c r="H1566" t="s">
        <v>18</v>
      </c>
      <c r="I1566" t="s">
        <v>2306</v>
      </c>
      <c r="J1566" t="s">
        <v>30</v>
      </c>
      <c r="K1566" t="s">
        <v>31</v>
      </c>
      <c r="L1566" t="s">
        <v>22</v>
      </c>
      <c r="M1566" t="s">
        <v>76</v>
      </c>
      <c r="N1566">
        <f>Sheet1[[#This Row],[Quantity]]*Sheet1[[#This Row],[UnitPrice]]</f>
        <v>684.80000000000007</v>
      </c>
    </row>
    <row r="1567" spans="1:14" x14ac:dyDescent="0.3">
      <c r="A1567" s="1">
        <v>45026</v>
      </c>
      <c r="B1567" t="s">
        <v>115</v>
      </c>
      <c r="C1567" t="s">
        <v>101</v>
      </c>
      <c r="D1567" t="s">
        <v>26</v>
      </c>
      <c r="E1567" t="s">
        <v>35</v>
      </c>
      <c r="F1567">
        <v>6</v>
      </c>
      <c r="G1567">
        <v>94.92</v>
      </c>
      <c r="H1567" t="s">
        <v>68</v>
      </c>
      <c r="I1567" t="s">
        <v>2307</v>
      </c>
      <c r="J1567" t="s">
        <v>20</v>
      </c>
      <c r="K1567" t="s">
        <v>59</v>
      </c>
      <c r="L1567" t="s">
        <v>39</v>
      </c>
      <c r="M1567" t="s">
        <v>49</v>
      </c>
      <c r="N1567">
        <f>Sheet1[[#This Row],[Quantity]]*Sheet1[[#This Row],[UnitPrice]]</f>
        <v>569.52</v>
      </c>
    </row>
    <row r="1568" spans="1:14" x14ac:dyDescent="0.3">
      <c r="A1568" s="1">
        <v>45124</v>
      </c>
      <c r="B1568" t="s">
        <v>1616</v>
      </c>
      <c r="C1568" t="s">
        <v>63</v>
      </c>
      <c r="D1568" t="s">
        <v>16</v>
      </c>
      <c r="E1568" t="s">
        <v>42</v>
      </c>
      <c r="F1568">
        <v>7</v>
      </c>
      <c r="G1568">
        <v>74.849999999999994</v>
      </c>
      <c r="H1568" t="s">
        <v>53</v>
      </c>
      <c r="I1568" t="s">
        <v>2308</v>
      </c>
      <c r="J1568" t="s">
        <v>20</v>
      </c>
      <c r="K1568" t="s">
        <v>21</v>
      </c>
      <c r="L1568" t="s">
        <v>60</v>
      </c>
      <c r="M1568" t="s">
        <v>49</v>
      </c>
      <c r="N1568">
        <f>Sheet1[[#This Row],[Quantity]]*Sheet1[[#This Row],[UnitPrice]]</f>
        <v>523.94999999999993</v>
      </c>
    </row>
    <row r="1569" spans="1:14" x14ac:dyDescent="0.3">
      <c r="A1569" s="1">
        <v>45453</v>
      </c>
      <c r="B1569" t="s">
        <v>886</v>
      </c>
      <c r="C1569" t="s">
        <v>63</v>
      </c>
      <c r="D1569" t="s">
        <v>16</v>
      </c>
      <c r="E1569" t="s">
        <v>52</v>
      </c>
      <c r="F1569">
        <v>3</v>
      </c>
      <c r="G1569">
        <v>293.43</v>
      </c>
      <c r="H1569" t="s">
        <v>36</v>
      </c>
      <c r="I1569" t="s">
        <v>2309</v>
      </c>
      <c r="J1569" t="s">
        <v>38</v>
      </c>
      <c r="K1569" t="s">
        <v>59</v>
      </c>
      <c r="L1569" t="s">
        <v>22</v>
      </c>
      <c r="M1569" t="s">
        <v>49</v>
      </c>
      <c r="N1569">
        <f>Sheet1[[#This Row],[Quantity]]*Sheet1[[#This Row],[UnitPrice]]</f>
        <v>880.29</v>
      </c>
    </row>
    <row r="1570" spans="1:14" x14ac:dyDescent="0.3">
      <c r="A1570" s="1">
        <v>45326</v>
      </c>
      <c r="B1570" t="s">
        <v>1874</v>
      </c>
      <c r="C1570" t="s">
        <v>101</v>
      </c>
      <c r="D1570" t="s">
        <v>47</v>
      </c>
      <c r="E1570" t="s">
        <v>17</v>
      </c>
      <c r="F1570">
        <v>1</v>
      </c>
      <c r="G1570">
        <v>337.9</v>
      </c>
      <c r="H1570" t="s">
        <v>18</v>
      </c>
      <c r="I1570" t="s">
        <v>2310</v>
      </c>
      <c r="J1570" t="s">
        <v>58</v>
      </c>
      <c r="K1570" t="s">
        <v>59</v>
      </c>
      <c r="L1570" t="s">
        <v>22</v>
      </c>
      <c r="M1570" t="s">
        <v>61</v>
      </c>
      <c r="N1570">
        <f>Sheet1[[#This Row],[Quantity]]*Sheet1[[#This Row],[UnitPrice]]</f>
        <v>337.9</v>
      </c>
    </row>
    <row r="1571" spans="1:14" x14ac:dyDescent="0.3">
      <c r="A1571" s="1">
        <v>45253</v>
      </c>
      <c r="B1571" t="s">
        <v>981</v>
      </c>
      <c r="C1571" t="s">
        <v>73</v>
      </c>
      <c r="D1571" t="s">
        <v>47</v>
      </c>
      <c r="E1571" t="s">
        <v>67</v>
      </c>
      <c r="F1571">
        <v>1</v>
      </c>
      <c r="G1571">
        <v>231.16</v>
      </c>
      <c r="H1571" t="s">
        <v>28</v>
      </c>
      <c r="I1571" t="s">
        <v>2311</v>
      </c>
      <c r="J1571" t="s">
        <v>44</v>
      </c>
      <c r="K1571" t="s">
        <v>31</v>
      </c>
      <c r="L1571" t="s">
        <v>22</v>
      </c>
      <c r="M1571" t="s">
        <v>32</v>
      </c>
      <c r="N1571">
        <f>Sheet1[[#This Row],[Quantity]]*Sheet1[[#This Row],[UnitPrice]]</f>
        <v>231.16</v>
      </c>
    </row>
    <row r="1572" spans="1:14" x14ac:dyDescent="0.3">
      <c r="A1572" s="1">
        <v>45242</v>
      </c>
      <c r="B1572" t="s">
        <v>135</v>
      </c>
      <c r="C1572" t="s">
        <v>51</v>
      </c>
      <c r="D1572" t="s">
        <v>26</v>
      </c>
      <c r="E1572" t="s">
        <v>67</v>
      </c>
      <c r="F1572">
        <v>2</v>
      </c>
      <c r="G1572">
        <v>17.670000000000002</v>
      </c>
      <c r="H1572" t="s">
        <v>18</v>
      </c>
      <c r="I1572" t="s">
        <v>2312</v>
      </c>
      <c r="J1572" t="s">
        <v>38</v>
      </c>
      <c r="K1572" t="s">
        <v>45</v>
      </c>
      <c r="L1572" t="s">
        <v>39</v>
      </c>
      <c r="M1572" t="s">
        <v>61</v>
      </c>
      <c r="N1572">
        <f>Sheet1[[#This Row],[Quantity]]*Sheet1[[#This Row],[UnitPrice]]</f>
        <v>35.340000000000003</v>
      </c>
    </row>
    <row r="1573" spans="1:14" x14ac:dyDescent="0.3">
      <c r="A1573" s="1">
        <v>45775</v>
      </c>
      <c r="B1573" t="s">
        <v>876</v>
      </c>
      <c r="C1573" t="s">
        <v>90</v>
      </c>
      <c r="D1573" t="s">
        <v>16</v>
      </c>
      <c r="E1573" t="s">
        <v>35</v>
      </c>
      <c r="F1573">
        <v>6</v>
      </c>
      <c r="G1573">
        <v>92.43</v>
      </c>
      <c r="H1573" t="s">
        <v>53</v>
      </c>
      <c r="I1573" t="s">
        <v>2313</v>
      </c>
      <c r="J1573" t="s">
        <v>20</v>
      </c>
      <c r="K1573" t="s">
        <v>45</v>
      </c>
      <c r="L1573" t="s">
        <v>39</v>
      </c>
      <c r="M1573" t="s">
        <v>49</v>
      </c>
      <c r="N1573">
        <f>Sheet1[[#This Row],[Quantity]]*Sheet1[[#This Row],[UnitPrice]]</f>
        <v>554.58000000000004</v>
      </c>
    </row>
    <row r="1574" spans="1:14" x14ac:dyDescent="0.3">
      <c r="A1574" s="1">
        <v>45452</v>
      </c>
      <c r="B1574" t="s">
        <v>2314</v>
      </c>
      <c r="C1574" t="s">
        <v>56</v>
      </c>
      <c r="D1574" t="s">
        <v>47</v>
      </c>
      <c r="E1574" t="s">
        <v>52</v>
      </c>
      <c r="F1574">
        <v>2</v>
      </c>
      <c r="G1574">
        <v>39.520000000000003</v>
      </c>
      <c r="H1574" t="s">
        <v>36</v>
      </c>
      <c r="I1574" t="s">
        <v>2315</v>
      </c>
      <c r="J1574" t="s">
        <v>38</v>
      </c>
      <c r="K1574" t="s">
        <v>21</v>
      </c>
      <c r="L1574" t="s">
        <v>60</v>
      </c>
      <c r="M1574" t="s">
        <v>61</v>
      </c>
      <c r="N1574">
        <f>Sheet1[[#This Row],[Quantity]]*Sheet1[[#This Row],[UnitPrice]]</f>
        <v>79.040000000000006</v>
      </c>
    </row>
    <row r="1575" spans="1:14" x14ac:dyDescent="0.3">
      <c r="A1575" s="1">
        <v>45468</v>
      </c>
      <c r="B1575" t="s">
        <v>220</v>
      </c>
      <c r="C1575" t="s">
        <v>34</v>
      </c>
      <c r="D1575" t="s">
        <v>16</v>
      </c>
      <c r="E1575" t="s">
        <v>64</v>
      </c>
      <c r="F1575">
        <v>8</v>
      </c>
      <c r="G1575">
        <v>323.82</v>
      </c>
      <c r="H1575" t="s">
        <v>68</v>
      </c>
      <c r="I1575" t="s">
        <v>2316</v>
      </c>
      <c r="J1575" t="s">
        <v>20</v>
      </c>
      <c r="K1575" t="s">
        <v>59</v>
      </c>
      <c r="L1575" t="s">
        <v>22</v>
      </c>
      <c r="M1575" t="s">
        <v>84</v>
      </c>
      <c r="N1575">
        <f>Sheet1[[#This Row],[Quantity]]*Sheet1[[#This Row],[UnitPrice]]</f>
        <v>2590.56</v>
      </c>
    </row>
    <row r="1576" spans="1:14" x14ac:dyDescent="0.3">
      <c r="A1576" s="1">
        <v>45131</v>
      </c>
      <c r="B1576" t="s">
        <v>277</v>
      </c>
      <c r="C1576" t="s">
        <v>63</v>
      </c>
      <c r="D1576" t="s">
        <v>26</v>
      </c>
      <c r="E1576" t="s">
        <v>42</v>
      </c>
      <c r="F1576">
        <v>10</v>
      </c>
      <c r="G1576">
        <v>257.51</v>
      </c>
      <c r="H1576" t="s">
        <v>28</v>
      </c>
      <c r="I1576" t="s">
        <v>2317</v>
      </c>
      <c r="J1576" t="s">
        <v>38</v>
      </c>
      <c r="K1576" t="s">
        <v>21</v>
      </c>
      <c r="L1576" t="s">
        <v>60</v>
      </c>
      <c r="M1576" t="s">
        <v>49</v>
      </c>
      <c r="N1576">
        <f>Sheet1[[#This Row],[Quantity]]*Sheet1[[#This Row],[UnitPrice]]</f>
        <v>2575.1</v>
      </c>
    </row>
    <row r="1577" spans="1:14" x14ac:dyDescent="0.3">
      <c r="A1577" s="1">
        <v>45674</v>
      </c>
      <c r="B1577" t="s">
        <v>968</v>
      </c>
      <c r="C1577" t="s">
        <v>15</v>
      </c>
      <c r="D1577" t="s">
        <v>26</v>
      </c>
      <c r="E1577" t="s">
        <v>17</v>
      </c>
      <c r="F1577">
        <v>10</v>
      </c>
      <c r="G1577">
        <v>292.85000000000002</v>
      </c>
      <c r="H1577" t="s">
        <v>28</v>
      </c>
      <c r="I1577" t="s">
        <v>2318</v>
      </c>
      <c r="J1577" t="s">
        <v>58</v>
      </c>
      <c r="K1577" t="s">
        <v>45</v>
      </c>
      <c r="L1577" t="s">
        <v>39</v>
      </c>
      <c r="M1577" t="s">
        <v>40</v>
      </c>
      <c r="N1577">
        <f>Sheet1[[#This Row],[Quantity]]*Sheet1[[#This Row],[UnitPrice]]</f>
        <v>2928.5</v>
      </c>
    </row>
    <row r="1578" spans="1:14" x14ac:dyDescent="0.3">
      <c r="A1578" s="1">
        <v>45424</v>
      </c>
      <c r="B1578" t="s">
        <v>2214</v>
      </c>
      <c r="C1578" t="s">
        <v>56</v>
      </c>
      <c r="D1578" t="s">
        <v>74</v>
      </c>
      <c r="E1578" t="s">
        <v>35</v>
      </c>
      <c r="F1578">
        <v>4</v>
      </c>
      <c r="G1578">
        <v>313.24</v>
      </c>
      <c r="H1578" t="s">
        <v>18</v>
      </c>
      <c r="I1578" t="s">
        <v>2319</v>
      </c>
      <c r="J1578" t="s">
        <v>38</v>
      </c>
      <c r="K1578" t="s">
        <v>31</v>
      </c>
      <c r="L1578" t="s">
        <v>39</v>
      </c>
      <c r="M1578" t="s">
        <v>61</v>
      </c>
      <c r="N1578">
        <f>Sheet1[[#This Row],[Quantity]]*Sheet1[[#This Row],[UnitPrice]]</f>
        <v>1252.96</v>
      </c>
    </row>
    <row r="1579" spans="1:14" x14ac:dyDescent="0.3">
      <c r="A1579" s="1">
        <v>45046</v>
      </c>
      <c r="B1579" t="s">
        <v>1456</v>
      </c>
      <c r="C1579" t="s">
        <v>56</v>
      </c>
      <c r="D1579" t="s">
        <v>26</v>
      </c>
      <c r="E1579" t="s">
        <v>35</v>
      </c>
      <c r="F1579">
        <v>7</v>
      </c>
      <c r="G1579">
        <v>355.86</v>
      </c>
      <c r="H1579" t="s">
        <v>36</v>
      </c>
      <c r="I1579" t="s">
        <v>2320</v>
      </c>
      <c r="J1579" t="s">
        <v>30</v>
      </c>
      <c r="K1579" t="s">
        <v>21</v>
      </c>
      <c r="L1579" t="s">
        <v>60</v>
      </c>
      <c r="M1579" t="s">
        <v>61</v>
      </c>
      <c r="N1579">
        <f>Sheet1[[#This Row],[Quantity]]*Sheet1[[#This Row],[UnitPrice]]</f>
        <v>2491.02</v>
      </c>
    </row>
    <row r="1580" spans="1:14" x14ac:dyDescent="0.3">
      <c r="A1580" s="1">
        <v>45635</v>
      </c>
      <c r="B1580" t="s">
        <v>498</v>
      </c>
      <c r="C1580" t="s">
        <v>51</v>
      </c>
      <c r="D1580" t="s">
        <v>74</v>
      </c>
      <c r="E1580" t="s">
        <v>17</v>
      </c>
      <c r="F1580">
        <v>7</v>
      </c>
      <c r="G1580">
        <v>25.03</v>
      </c>
      <c r="H1580" t="s">
        <v>28</v>
      </c>
      <c r="I1580" t="s">
        <v>2321</v>
      </c>
      <c r="J1580" t="s">
        <v>30</v>
      </c>
      <c r="K1580" t="s">
        <v>59</v>
      </c>
      <c r="L1580" t="s">
        <v>22</v>
      </c>
      <c r="M1580" t="s">
        <v>49</v>
      </c>
      <c r="N1580">
        <f>Sheet1[[#This Row],[Quantity]]*Sheet1[[#This Row],[UnitPrice]]</f>
        <v>175.21</v>
      </c>
    </row>
    <row r="1581" spans="1:14" x14ac:dyDescent="0.3">
      <c r="A1581" s="1">
        <v>45835</v>
      </c>
      <c r="B1581" t="s">
        <v>212</v>
      </c>
      <c r="C1581" t="s">
        <v>101</v>
      </c>
      <c r="D1581" t="s">
        <v>16</v>
      </c>
      <c r="E1581" t="s">
        <v>17</v>
      </c>
      <c r="F1581">
        <v>2</v>
      </c>
      <c r="G1581">
        <v>52.08</v>
      </c>
      <c r="H1581" t="s">
        <v>68</v>
      </c>
      <c r="I1581" t="s">
        <v>2322</v>
      </c>
      <c r="J1581" t="s">
        <v>30</v>
      </c>
      <c r="K1581" t="s">
        <v>21</v>
      </c>
      <c r="L1581" t="s">
        <v>60</v>
      </c>
      <c r="M1581" t="s">
        <v>40</v>
      </c>
      <c r="N1581">
        <f>Sheet1[[#This Row],[Quantity]]*Sheet1[[#This Row],[UnitPrice]]</f>
        <v>104.16</v>
      </c>
    </row>
    <row r="1582" spans="1:14" x14ac:dyDescent="0.3">
      <c r="A1582" s="1">
        <v>45104</v>
      </c>
      <c r="B1582" t="s">
        <v>577</v>
      </c>
      <c r="C1582" t="s">
        <v>56</v>
      </c>
      <c r="D1582" t="s">
        <v>74</v>
      </c>
      <c r="E1582" t="s">
        <v>64</v>
      </c>
      <c r="F1582">
        <v>4</v>
      </c>
      <c r="G1582">
        <v>249.64</v>
      </c>
      <c r="H1582" t="s">
        <v>28</v>
      </c>
      <c r="I1582" t="s">
        <v>2323</v>
      </c>
      <c r="J1582" t="s">
        <v>20</v>
      </c>
      <c r="K1582" t="s">
        <v>21</v>
      </c>
      <c r="L1582" t="s">
        <v>39</v>
      </c>
      <c r="M1582" t="s">
        <v>84</v>
      </c>
      <c r="N1582">
        <f>Sheet1[[#This Row],[Quantity]]*Sheet1[[#This Row],[UnitPrice]]</f>
        <v>998.56</v>
      </c>
    </row>
    <row r="1583" spans="1:14" x14ac:dyDescent="0.3">
      <c r="A1583" s="1">
        <v>45796</v>
      </c>
      <c r="B1583" t="s">
        <v>717</v>
      </c>
      <c r="C1583" t="s">
        <v>101</v>
      </c>
      <c r="D1583" t="s">
        <v>47</v>
      </c>
      <c r="E1583" t="s">
        <v>17</v>
      </c>
      <c r="F1583">
        <v>4</v>
      </c>
      <c r="G1583">
        <v>283.24</v>
      </c>
      <c r="H1583" t="s">
        <v>28</v>
      </c>
      <c r="I1583" t="s">
        <v>2324</v>
      </c>
      <c r="J1583" t="s">
        <v>58</v>
      </c>
      <c r="K1583" t="s">
        <v>21</v>
      </c>
      <c r="L1583" t="s">
        <v>39</v>
      </c>
      <c r="M1583" t="s">
        <v>49</v>
      </c>
      <c r="N1583">
        <f>Sheet1[[#This Row],[Quantity]]*Sheet1[[#This Row],[UnitPrice]]</f>
        <v>1132.96</v>
      </c>
    </row>
    <row r="1584" spans="1:14" x14ac:dyDescent="0.3">
      <c r="A1584" s="1">
        <v>45490</v>
      </c>
      <c r="B1584" t="s">
        <v>2325</v>
      </c>
      <c r="C1584" t="s">
        <v>90</v>
      </c>
      <c r="D1584" t="s">
        <v>74</v>
      </c>
      <c r="E1584" t="s">
        <v>64</v>
      </c>
      <c r="F1584">
        <v>8</v>
      </c>
      <c r="G1584">
        <v>122.72</v>
      </c>
      <c r="H1584" t="s">
        <v>68</v>
      </c>
      <c r="I1584" t="s">
        <v>2326</v>
      </c>
      <c r="J1584" t="s">
        <v>58</v>
      </c>
      <c r="K1584" t="s">
        <v>45</v>
      </c>
      <c r="L1584" t="s">
        <v>39</v>
      </c>
      <c r="M1584" t="s">
        <v>76</v>
      </c>
      <c r="N1584">
        <f>Sheet1[[#This Row],[Quantity]]*Sheet1[[#This Row],[UnitPrice]]</f>
        <v>981.76</v>
      </c>
    </row>
    <row r="1585" spans="1:14" x14ac:dyDescent="0.3">
      <c r="A1585" s="1">
        <v>45358</v>
      </c>
      <c r="B1585" t="s">
        <v>2327</v>
      </c>
      <c r="C1585" t="s">
        <v>101</v>
      </c>
      <c r="D1585" t="s">
        <v>47</v>
      </c>
      <c r="E1585" t="s">
        <v>64</v>
      </c>
      <c r="F1585">
        <v>1</v>
      </c>
      <c r="G1585">
        <v>318.77999999999997</v>
      </c>
      <c r="H1585" t="s">
        <v>53</v>
      </c>
      <c r="I1585" t="s">
        <v>2328</v>
      </c>
      <c r="J1585" t="s">
        <v>58</v>
      </c>
      <c r="K1585" t="s">
        <v>31</v>
      </c>
      <c r="L1585" t="s">
        <v>39</v>
      </c>
      <c r="M1585" t="s">
        <v>32</v>
      </c>
      <c r="N1585">
        <f>Sheet1[[#This Row],[Quantity]]*Sheet1[[#This Row],[UnitPrice]]</f>
        <v>318.77999999999997</v>
      </c>
    </row>
    <row r="1586" spans="1:14" x14ac:dyDescent="0.3">
      <c r="A1586" s="1">
        <v>44966</v>
      </c>
      <c r="B1586" t="s">
        <v>148</v>
      </c>
      <c r="C1586" t="s">
        <v>25</v>
      </c>
      <c r="D1586" t="s">
        <v>26</v>
      </c>
      <c r="E1586" t="s">
        <v>64</v>
      </c>
      <c r="F1586">
        <v>3</v>
      </c>
      <c r="G1586">
        <v>330.4</v>
      </c>
      <c r="H1586" t="s">
        <v>18</v>
      </c>
      <c r="I1586" t="s">
        <v>2329</v>
      </c>
      <c r="J1586" t="s">
        <v>20</v>
      </c>
      <c r="K1586" t="s">
        <v>45</v>
      </c>
      <c r="L1586" t="s">
        <v>39</v>
      </c>
      <c r="M1586" t="s">
        <v>32</v>
      </c>
      <c r="N1586">
        <f>Sheet1[[#This Row],[Quantity]]*Sheet1[[#This Row],[UnitPrice]]</f>
        <v>991.19999999999993</v>
      </c>
    </row>
    <row r="1587" spans="1:14" x14ac:dyDescent="0.3">
      <c r="A1587" s="1">
        <v>45158</v>
      </c>
      <c r="B1587" t="s">
        <v>1715</v>
      </c>
      <c r="C1587" t="s">
        <v>56</v>
      </c>
      <c r="D1587" t="s">
        <v>16</v>
      </c>
      <c r="E1587" t="s">
        <v>17</v>
      </c>
      <c r="F1587">
        <v>8</v>
      </c>
      <c r="G1587">
        <v>11.98</v>
      </c>
      <c r="H1587" t="s">
        <v>36</v>
      </c>
      <c r="I1587" t="s">
        <v>2330</v>
      </c>
      <c r="J1587" t="s">
        <v>58</v>
      </c>
      <c r="K1587" t="s">
        <v>31</v>
      </c>
      <c r="L1587" t="s">
        <v>22</v>
      </c>
      <c r="M1587" t="s">
        <v>61</v>
      </c>
      <c r="N1587">
        <f>Sheet1[[#This Row],[Quantity]]*Sheet1[[#This Row],[UnitPrice]]</f>
        <v>95.84</v>
      </c>
    </row>
    <row r="1588" spans="1:14" x14ac:dyDescent="0.3">
      <c r="A1588" s="1">
        <v>44970</v>
      </c>
      <c r="B1588" t="s">
        <v>1445</v>
      </c>
      <c r="C1588" t="s">
        <v>101</v>
      </c>
      <c r="D1588" t="s">
        <v>74</v>
      </c>
      <c r="E1588" t="s">
        <v>52</v>
      </c>
      <c r="F1588">
        <v>1</v>
      </c>
      <c r="G1588">
        <v>71.12</v>
      </c>
      <c r="H1588" t="s">
        <v>28</v>
      </c>
      <c r="I1588" t="s">
        <v>2331</v>
      </c>
      <c r="J1588" t="s">
        <v>20</v>
      </c>
      <c r="K1588" t="s">
        <v>31</v>
      </c>
      <c r="L1588" t="s">
        <v>60</v>
      </c>
      <c r="M1588" t="s">
        <v>49</v>
      </c>
      <c r="N1588">
        <f>Sheet1[[#This Row],[Quantity]]*Sheet1[[#This Row],[UnitPrice]]</f>
        <v>71.12</v>
      </c>
    </row>
    <row r="1589" spans="1:14" x14ac:dyDescent="0.3">
      <c r="A1589" s="1">
        <v>45726</v>
      </c>
      <c r="B1589" t="s">
        <v>178</v>
      </c>
      <c r="C1589" t="s">
        <v>73</v>
      </c>
      <c r="D1589" t="s">
        <v>16</v>
      </c>
      <c r="E1589" t="s">
        <v>35</v>
      </c>
      <c r="F1589">
        <v>8</v>
      </c>
      <c r="G1589">
        <v>358.91</v>
      </c>
      <c r="H1589" t="s">
        <v>36</v>
      </c>
      <c r="I1589" t="s">
        <v>2332</v>
      </c>
      <c r="J1589" t="s">
        <v>20</v>
      </c>
      <c r="K1589" t="s">
        <v>21</v>
      </c>
      <c r="L1589" t="s">
        <v>39</v>
      </c>
      <c r="M1589" t="s">
        <v>49</v>
      </c>
      <c r="N1589">
        <f>Sheet1[[#This Row],[Quantity]]*Sheet1[[#This Row],[UnitPrice]]</f>
        <v>2871.28</v>
      </c>
    </row>
    <row r="1590" spans="1:14" x14ac:dyDescent="0.3">
      <c r="A1590" s="1">
        <v>45641</v>
      </c>
      <c r="B1590" t="s">
        <v>465</v>
      </c>
      <c r="C1590" t="s">
        <v>51</v>
      </c>
      <c r="D1590" t="s">
        <v>47</v>
      </c>
      <c r="E1590" t="s">
        <v>52</v>
      </c>
      <c r="F1590">
        <v>7</v>
      </c>
      <c r="G1590">
        <v>41.86</v>
      </c>
      <c r="H1590" t="s">
        <v>28</v>
      </c>
      <c r="I1590" t="s">
        <v>2333</v>
      </c>
      <c r="J1590" t="s">
        <v>44</v>
      </c>
      <c r="K1590" t="s">
        <v>59</v>
      </c>
      <c r="L1590" t="s">
        <v>39</v>
      </c>
      <c r="M1590" t="s">
        <v>61</v>
      </c>
      <c r="N1590">
        <f>Sheet1[[#This Row],[Quantity]]*Sheet1[[#This Row],[UnitPrice]]</f>
        <v>293.02</v>
      </c>
    </row>
    <row r="1591" spans="1:14" x14ac:dyDescent="0.3">
      <c r="A1591" s="1">
        <v>45217</v>
      </c>
      <c r="B1591" t="s">
        <v>1807</v>
      </c>
      <c r="C1591" t="s">
        <v>90</v>
      </c>
      <c r="D1591" t="s">
        <v>47</v>
      </c>
      <c r="E1591" t="s">
        <v>52</v>
      </c>
      <c r="F1591">
        <v>6</v>
      </c>
      <c r="G1591">
        <v>303.95</v>
      </c>
      <c r="H1591" t="s">
        <v>36</v>
      </c>
      <c r="I1591" t="s">
        <v>2334</v>
      </c>
      <c r="J1591" t="s">
        <v>44</v>
      </c>
      <c r="K1591" t="s">
        <v>21</v>
      </c>
      <c r="L1591" t="s">
        <v>39</v>
      </c>
      <c r="M1591" t="s">
        <v>76</v>
      </c>
      <c r="N1591">
        <f>Sheet1[[#This Row],[Quantity]]*Sheet1[[#This Row],[UnitPrice]]</f>
        <v>1823.6999999999998</v>
      </c>
    </row>
    <row r="1592" spans="1:14" x14ac:dyDescent="0.3">
      <c r="A1592" s="1">
        <v>45810</v>
      </c>
      <c r="B1592" t="s">
        <v>2040</v>
      </c>
      <c r="C1592" t="s">
        <v>90</v>
      </c>
      <c r="D1592" t="s">
        <v>74</v>
      </c>
      <c r="E1592" t="s">
        <v>35</v>
      </c>
      <c r="F1592">
        <v>10</v>
      </c>
      <c r="G1592">
        <v>380.28</v>
      </c>
      <c r="H1592" t="s">
        <v>36</v>
      </c>
      <c r="I1592" t="s">
        <v>2335</v>
      </c>
      <c r="J1592" t="s">
        <v>38</v>
      </c>
      <c r="K1592" t="s">
        <v>21</v>
      </c>
      <c r="L1592" t="s">
        <v>22</v>
      </c>
      <c r="M1592" t="s">
        <v>49</v>
      </c>
      <c r="N1592">
        <f>Sheet1[[#This Row],[Quantity]]*Sheet1[[#This Row],[UnitPrice]]</f>
        <v>3802.7999999999997</v>
      </c>
    </row>
    <row r="1593" spans="1:14" x14ac:dyDescent="0.3">
      <c r="A1593" s="1">
        <v>45415</v>
      </c>
      <c r="B1593" t="s">
        <v>694</v>
      </c>
      <c r="C1593" t="s">
        <v>90</v>
      </c>
      <c r="D1593" t="s">
        <v>74</v>
      </c>
      <c r="E1593" t="s">
        <v>67</v>
      </c>
      <c r="F1593">
        <v>2</v>
      </c>
      <c r="G1593">
        <v>320.66000000000003</v>
      </c>
      <c r="H1593" t="s">
        <v>18</v>
      </c>
      <c r="I1593" t="s">
        <v>2336</v>
      </c>
      <c r="J1593" t="s">
        <v>20</v>
      </c>
      <c r="K1593" t="s">
        <v>31</v>
      </c>
      <c r="L1593" t="s">
        <v>39</v>
      </c>
      <c r="M1593" t="s">
        <v>40</v>
      </c>
      <c r="N1593">
        <f>Sheet1[[#This Row],[Quantity]]*Sheet1[[#This Row],[UnitPrice]]</f>
        <v>641.32000000000005</v>
      </c>
    </row>
    <row r="1594" spans="1:14" x14ac:dyDescent="0.3">
      <c r="A1594" s="1">
        <v>45022</v>
      </c>
      <c r="B1594" t="s">
        <v>1860</v>
      </c>
      <c r="C1594" t="s">
        <v>73</v>
      </c>
      <c r="D1594" t="s">
        <v>26</v>
      </c>
      <c r="E1594" t="s">
        <v>64</v>
      </c>
      <c r="F1594">
        <v>8</v>
      </c>
      <c r="G1594">
        <v>129.49</v>
      </c>
      <c r="H1594" t="s">
        <v>53</v>
      </c>
      <c r="I1594" t="s">
        <v>2337</v>
      </c>
      <c r="J1594" t="s">
        <v>44</v>
      </c>
      <c r="K1594" t="s">
        <v>31</v>
      </c>
      <c r="L1594" t="s">
        <v>39</v>
      </c>
      <c r="M1594" t="s">
        <v>32</v>
      </c>
      <c r="N1594">
        <f>Sheet1[[#This Row],[Quantity]]*Sheet1[[#This Row],[UnitPrice]]</f>
        <v>1035.92</v>
      </c>
    </row>
    <row r="1595" spans="1:14" x14ac:dyDescent="0.3">
      <c r="A1595" s="1">
        <v>45446</v>
      </c>
      <c r="B1595" t="s">
        <v>1070</v>
      </c>
      <c r="C1595" t="s">
        <v>90</v>
      </c>
      <c r="D1595" t="s">
        <v>74</v>
      </c>
      <c r="E1595" t="s">
        <v>27</v>
      </c>
      <c r="F1595">
        <v>3</v>
      </c>
      <c r="G1595">
        <v>319.82</v>
      </c>
      <c r="H1595" t="s">
        <v>28</v>
      </c>
      <c r="I1595" t="s">
        <v>2338</v>
      </c>
      <c r="J1595" t="s">
        <v>44</v>
      </c>
      <c r="K1595" t="s">
        <v>45</v>
      </c>
      <c r="L1595" t="s">
        <v>22</v>
      </c>
      <c r="M1595" t="s">
        <v>49</v>
      </c>
      <c r="N1595">
        <f>Sheet1[[#This Row],[Quantity]]*Sheet1[[#This Row],[UnitPrice]]</f>
        <v>959.46</v>
      </c>
    </row>
    <row r="1596" spans="1:14" x14ac:dyDescent="0.3">
      <c r="A1596" s="1">
        <v>45597</v>
      </c>
      <c r="B1596" t="s">
        <v>55</v>
      </c>
      <c r="C1596" t="s">
        <v>34</v>
      </c>
      <c r="D1596" t="s">
        <v>74</v>
      </c>
      <c r="E1596" t="s">
        <v>17</v>
      </c>
      <c r="F1596">
        <v>3</v>
      </c>
      <c r="G1596">
        <v>374.41</v>
      </c>
      <c r="H1596" t="s">
        <v>36</v>
      </c>
      <c r="I1596" t="s">
        <v>2339</v>
      </c>
      <c r="J1596" t="s">
        <v>20</v>
      </c>
      <c r="K1596" t="s">
        <v>31</v>
      </c>
      <c r="L1596" t="s">
        <v>60</v>
      </c>
      <c r="M1596" t="s">
        <v>40</v>
      </c>
      <c r="N1596">
        <f>Sheet1[[#This Row],[Quantity]]*Sheet1[[#This Row],[UnitPrice]]</f>
        <v>1123.23</v>
      </c>
    </row>
    <row r="1597" spans="1:14" x14ac:dyDescent="0.3">
      <c r="A1597" s="1">
        <v>45256</v>
      </c>
      <c r="B1597" t="s">
        <v>494</v>
      </c>
      <c r="C1597" t="s">
        <v>51</v>
      </c>
      <c r="D1597" t="s">
        <v>16</v>
      </c>
      <c r="E1597" t="s">
        <v>42</v>
      </c>
      <c r="F1597">
        <v>10</v>
      </c>
      <c r="G1597">
        <v>343.66</v>
      </c>
      <c r="H1597" t="s">
        <v>68</v>
      </c>
      <c r="I1597" t="s">
        <v>2340</v>
      </c>
      <c r="J1597" t="s">
        <v>38</v>
      </c>
      <c r="K1597" t="s">
        <v>45</v>
      </c>
      <c r="L1597" t="s">
        <v>60</v>
      </c>
      <c r="M1597" t="s">
        <v>61</v>
      </c>
      <c r="N1597">
        <f>Sheet1[[#This Row],[Quantity]]*Sheet1[[#This Row],[UnitPrice]]</f>
        <v>3436.6000000000004</v>
      </c>
    </row>
    <row r="1598" spans="1:14" x14ac:dyDescent="0.3">
      <c r="A1598" s="1">
        <v>45095</v>
      </c>
      <c r="B1598" t="s">
        <v>2341</v>
      </c>
      <c r="C1598" t="s">
        <v>78</v>
      </c>
      <c r="D1598" t="s">
        <v>47</v>
      </c>
      <c r="E1598" t="s">
        <v>64</v>
      </c>
      <c r="F1598">
        <v>1</v>
      </c>
      <c r="G1598">
        <v>53.91</v>
      </c>
      <c r="H1598" t="s">
        <v>53</v>
      </c>
      <c r="I1598" t="s">
        <v>2342</v>
      </c>
      <c r="J1598" t="s">
        <v>38</v>
      </c>
      <c r="K1598" t="s">
        <v>31</v>
      </c>
      <c r="L1598" t="s">
        <v>39</v>
      </c>
      <c r="M1598" t="s">
        <v>61</v>
      </c>
      <c r="N1598">
        <f>Sheet1[[#This Row],[Quantity]]*Sheet1[[#This Row],[UnitPrice]]</f>
        <v>53.91</v>
      </c>
    </row>
    <row r="1599" spans="1:14" x14ac:dyDescent="0.3">
      <c r="A1599" s="1">
        <v>45442</v>
      </c>
      <c r="B1599" t="s">
        <v>373</v>
      </c>
      <c r="C1599" t="s">
        <v>51</v>
      </c>
      <c r="D1599" t="s">
        <v>74</v>
      </c>
      <c r="E1599" t="s">
        <v>67</v>
      </c>
      <c r="F1599">
        <v>2</v>
      </c>
      <c r="G1599">
        <v>180.34</v>
      </c>
      <c r="H1599" t="s">
        <v>53</v>
      </c>
      <c r="I1599" t="s">
        <v>2343</v>
      </c>
      <c r="J1599" t="s">
        <v>38</v>
      </c>
      <c r="K1599" t="s">
        <v>59</v>
      </c>
      <c r="L1599" t="s">
        <v>39</v>
      </c>
      <c r="M1599" t="s">
        <v>32</v>
      </c>
      <c r="N1599">
        <f>Sheet1[[#This Row],[Quantity]]*Sheet1[[#This Row],[UnitPrice]]</f>
        <v>360.68</v>
      </c>
    </row>
    <row r="1600" spans="1:14" x14ac:dyDescent="0.3">
      <c r="A1600" s="1">
        <v>45286</v>
      </c>
      <c r="B1600" t="s">
        <v>1795</v>
      </c>
      <c r="C1600" t="s">
        <v>25</v>
      </c>
      <c r="D1600" t="s">
        <v>74</v>
      </c>
      <c r="E1600" t="s">
        <v>27</v>
      </c>
      <c r="F1600">
        <v>7</v>
      </c>
      <c r="G1600">
        <v>148.31</v>
      </c>
      <c r="H1600" t="s">
        <v>68</v>
      </c>
      <c r="I1600" t="s">
        <v>2344</v>
      </c>
      <c r="J1600" t="s">
        <v>44</v>
      </c>
      <c r="K1600" t="s">
        <v>59</v>
      </c>
      <c r="L1600" t="s">
        <v>39</v>
      </c>
      <c r="M1600" t="s">
        <v>84</v>
      </c>
      <c r="N1600">
        <f>Sheet1[[#This Row],[Quantity]]*Sheet1[[#This Row],[UnitPrice]]</f>
        <v>1038.17</v>
      </c>
    </row>
    <row r="1601" spans="1:14" x14ac:dyDescent="0.3">
      <c r="A1601" s="1">
        <v>44968</v>
      </c>
      <c r="B1601" t="s">
        <v>1565</v>
      </c>
      <c r="C1601" t="s">
        <v>78</v>
      </c>
      <c r="D1601" t="s">
        <v>16</v>
      </c>
      <c r="E1601" t="s">
        <v>17</v>
      </c>
      <c r="F1601">
        <v>8</v>
      </c>
      <c r="G1601">
        <v>326.17</v>
      </c>
      <c r="H1601" t="s">
        <v>68</v>
      </c>
      <c r="I1601" t="s">
        <v>2345</v>
      </c>
      <c r="J1601" t="s">
        <v>44</v>
      </c>
      <c r="K1601" t="s">
        <v>31</v>
      </c>
      <c r="L1601" t="s">
        <v>22</v>
      </c>
      <c r="M1601" t="s">
        <v>23</v>
      </c>
      <c r="N1601">
        <f>Sheet1[[#This Row],[Quantity]]*Sheet1[[#This Row],[UnitPrice]]</f>
        <v>2609.36</v>
      </c>
    </row>
    <row r="1602" spans="1:14" x14ac:dyDescent="0.3">
      <c r="A1602" s="1">
        <v>45354</v>
      </c>
      <c r="B1602" t="s">
        <v>2346</v>
      </c>
      <c r="C1602" t="s">
        <v>34</v>
      </c>
      <c r="D1602" t="s">
        <v>47</v>
      </c>
      <c r="E1602" t="s">
        <v>35</v>
      </c>
      <c r="F1602">
        <v>7</v>
      </c>
      <c r="G1602">
        <v>215.7</v>
      </c>
      <c r="H1602" t="s">
        <v>36</v>
      </c>
      <c r="I1602" t="s">
        <v>2347</v>
      </c>
      <c r="J1602" t="s">
        <v>30</v>
      </c>
      <c r="K1602" t="s">
        <v>31</v>
      </c>
      <c r="L1602" t="s">
        <v>22</v>
      </c>
      <c r="M1602" t="s">
        <v>61</v>
      </c>
      <c r="N1602">
        <f>Sheet1[[#This Row],[Quantity]]*Sheet1[[#This Row],[UnitPrice]]</f>
        <v>1509.8999999999999</v>
      </c>
    </row>
    <row r="1603" spans="1:14" x14ac:dyDescent="0.3">
      <c r="A1603" s="1">
        <v>45225</v>
      </c>
      <c r="B1603" t="s">
        <v>790</v>
      </c>
      <c r="C1603" t="s">
        <v>73</v>
      </c>
      <c r="D1603" t="s">
        <v>74</v>
      </c>
      <c r="E1603" t="s">
        <v>27</v>
      </c>
      <c r="F1603">
        <v>10</v>
      </c>
      <c r="G1603">
        <v>91.27</v>
      </c>
      <c r="H1603" t="s">
        <v>36</v>
      </c>
      <c r="I1603" t="s">
        <v>2348</v>
      </c>
      <c r="J1603" t="s">
        <v>30</v>
      </c>
      <c r="K1603" t="s">
        <v>45</v>
      </c>
      <c r="L1603" t="s">
        <v>39</v>
      </c>
      <c r="M1603" t="s">
        <v>32</v>
      </c>
      <c r="N1603">
        <f>Sheet1[[#This Row],[Quantity]]*Sheet1[[#This Row],[UnitPrice]]</f>
        <v>912.69999999999993</v>
      </c>
    </row>
    <row r="1604" spans="1:14" x14ac:dyDescent="0.3">
      <c r="A1604" s="1">
        <v>45673</v>
      </c>
      <c r="B1604" t="s">
        <v>265</v>
      </c>
      <c r="C1604" t="s">
        <v>90</v>
      </c>
      <c r="D1604" t="s">
        <v>74</v>
      </c>
      <c r="E1604" t="s">
        <v>64</v>
      </c>
      <c r="F1604">
        <v>9</v>
      </c>
      <c r="G1604">
        <v>43.26</v>
      </c>
      <c r="H1604" t="s">
        <v>53</v>
      </c>
      <c r="I1604" t="s">
        <v>2349</v>
      </c>
      <c r="J1604" t="s">
        <v>38</v>
      </c>
      <c r="K1604" t="s">
        <v>45</v>
      </c>
      <c r="L1604" t="s">
        <v>60</v>
      </c>
      <c r="M1604" t="s">
        <v>32</v>
      </c>
      <c r="N1604">
        <f>Sheet1[[#This Row],[Quantity]]*Sheet1[[#This Row],[UnitPrice]]</f>
        <v>389.34</v>
      </c>
    </row>
    <row r="1605" spans="1:14" x14ac:dyDescent="0.3">
      <c r="A1605" s="1">
        <v>45056</v>
      </c>
      <c r="B1605" t="s">
        <v>2350</v>
      </c>
      <c r="C1605" t="s">
        <v>101</v>
      </c>
      <c r="D1605" t="s">
        <v>47</v>
      </c>
      <c r="E1605" t="s">
        <v>52</v>
      </c>
      <c r="F1605">
        <v>7</v>
      </c>
      <c r="G1605">
        <v>61.08</v>
      </c>
      <c r="H1605" t="s">
        <v>18</v>
      </c>
      <c r="I1605" t="s">
        <v>2351</v>
      </c>
      <c r="J1605" t="s">
        <v>30</v>
      </c>
      <c r="K1605" t="s">
        <v>31</v>
      </c>
      <c r="L1605" t="s">
        <v>22</v>
      </c>
      <c r="M1605" t="s">
        <v>76</v>
      </c>
      <c r="N1605">
        <f>Sheet1[[#This Row],[Quantity]]*Sheet1[[#This Row],[UnitPrice]]</f>
        <v>427.56</v>
      </c>
    </row>
    <row r="1606" spans="1:14" x14ac:dyDescent="0.3">
      <c r="A1606" s="1">
        <v>45229</v>
      </c>
      <c r="B1606" t="s">
        <v>1096</v>
      </c>
      <c r="C1606" t="s">
        <v>15</v>
      </c>
      <c r="D1606" t="s">
        <v>26</v>
      </c>
      <c r="E1606" t="s">
        <v>64</v>
      </c>
      <c r="F1606">
        <v>4</v>
      </c>
      <c r="G1606">
        <v>132.07</v>
      </c>
      <c r="H1606" t="s">
        <v>36</v>
      </c>
      <c r="I1606" t="s">
        <v>2352</v>
      </c>
      <c r="J1606" t="s">
        <v>58</v>
      </c>
      <c r="K1606" t="s">
        <v>21</v>
      </c>
      <c r="L1606" t="s">
        <v>22</v>
      </c>
      <c r="M1606" t="s">
        <v>49</v>
      </c>
      <c r="N1606">
        <f>Sheet1[[#This Row],[Quantity]]*Sheet1[[#This Row],[UnitPrice]]</f>
        <v>528.28</v>
      </c>
    </row>
    <row r="1607" spans="1:14" x14ac:dyDescent="0.3">
      <c r="A1607" s="1">
        <v>45559</v>
      </c>
      <c r="B1607" t="s">
        <v>355</v>
      </c>
      <c r="C1607" t="s">
        <v>90</v>
      </c>
      <c r="D1607" t="s">
        <v>16</v>
      </c>
      <c r="E1607" t="s">
        <v>52</v>
      </c>
      <c r="F1607">
        <v>1</v>
      </c>
      <c r="G1607">
        <v>159.52000000000001</v>
      </c>
      <c r="H1607" t="s">
        <v>36</v>
      </c>
      <c r="I1607" t="s">
        <v>2353</v>
      </c>
      <c r="J1607" t="s">
        <v>38</v>
      </c>
      <c r="K1607" t="s">
        <v>31</v>
      </c>
      <c r="L1607" t="s">
        <v>22</v>
      </c>
      <c r="M1607" t="s">
        <v>84</v>
      </c>
      <c r="N1607">
        <f>Sheet1[[#This Row],[Quantity]]*Sheet1[[#This Row],[UnitPrice]]</f>
        <v>159.52000000000001</v>
      </c>
    </row>
    <row r="1608" spans="1:14" x14ac:dyDescent="0.3">
      <c r="A1608" s="1">
        <v>45653</v>
      </c>
      <c r="B1608" t="s">
        <v>958</v>
      </c>
      <c r="C1608" t="s">
        <v>15</v>
      </c>
      <c r="D1608" t="s">
        <v>74</v>
      </c>
      <c r="E1608" t="s">
        <v>64</v>
      </c>
      <c r="F1608">
        <v>4</v>
      </c>
      <c r="G1608">
        <v>134.66</v>
      </c>
      <c r="H1608" t="s">
        <v>36</v>
      </c>
      <c r="I1608" t="s">
        <v>2354</v>
      </c>
      <c r="J1608" t="s">
        <v>30</v>
      </c>
      <c r="K1608" t="s">
        <v>45</v>
      </c>
      <c r="L1608" t="s">
        <v>39</v>
      </c>
      <c r="M1608" t="s">
        <v>40</v>
      </c>
      <c r="N1608">
        <f>Sheet1[[#This Row],[Quantity]]*Sheet1[[#This Row],[UnitPrice]]</f>
        <v>538.64</v>
      </c>
    </row>
    <row r="1609" spans="1:14" x14ac:dyDescent="0.3">
      <c r="A1609" s="1">
        <v>45086</v>
      </c>
      <c r="B1609" t="s">
        <v>2355</v>
      </c>
      <c r="C1609" t="s">
        <v>63</v>
      </c>
      <c r="D1609" t="s">
        <v>26</v>
      </c>
      <c r="E1609" t="s">
        <v>27</v>
      </c>
      <c r="F1609">
        <v>6</v>
      </c>
      <c r="G1609">
        <v>45.37</v>
      </c>
      <c r="H1609" t="s">
        <v>53</v>
      </c>
      <c r="I1609" t="s">
        <v>2356</v>
      </c>
      <c r="J1609" t="s">
        <v>44</v>
      </c>
      <c r="K1609" t="s">
        <v>59</v>
      </c>
      <c r="L1609" t="s">
        <v>39</v>
      </c>
      <c r="M1609" t="s">
        <v>40</v>
      </c>
      <c r="N1609">
        <f>Sheet1[[#This Row],[Quantity]]*Sheet1[[#This Row],[UnitPrice]]</f>
        <v>272.21999999999997</v>
      </c>
    </row>
    <row r="1610" spans="1:14" x14ac:dyDescent="0.3">
      <c r="A1610" s="1">
        <v>45110</v>
      </c>
      <c r="B1610" t="s">
        <v>2077</v>
      </c>
      <c r="C1610" t="s">
        <v>25</v>
      </c>
      <c r="D1610" t="s">
        <v>16</v>
      </c>
      <c r="E1610" t="s">
        <v>67</v>
      </c>
      <c r="F1610">
        <v>8</v>
      </c>
      <c r="G1610">
        <v>296.29000000000002</v>
      </c>
      <c r="H1610" t="s">
        <v>68</v>
      </c>
      <c r="I1610" t="s">
        <v>2357</v>
      </c>
      <c r="J1610" t="s">
        <v>44</v>
      </c>
      <c r="K1610" t="s">
        <v>59</v>
      </c>
      <c r="L1610" t="s">
        <v>22</v>
      </c>
      <c r="M1610" t="s">
        <v>49</v>
      </c>
      <c r="N1610">
        <f>Sheet1[[#This Row],[Quantity]]*Sheet1[[#This Row],[UnitPrice]]</f>
        <v>2370.3200000000002</v>
      </c>
    </row>
    <row r="1611" spans="1:14" x14ac:dyDescent="0.3">
      <c r="A1611" s="1">
        <v>45299</v>
      </c>
      <c r="B1611" t="s">
        <v>1019</v>
      </c>
      <c r="C1611" t="s">
        <v>90</v>
      </c>
      <c r="D1611" t="s">
        <v>16</v>
      </c>
      <c r="E1611" t="s">
        <v>64</v>
      </c>
      <c r="F1611">
        <v>3</v>
      </c>
      <c r="G1611">
        <v>384.37</v>
      </c>
      <c r="H1611" t="s">
        <v>53</v>
      </c>
      <c r="I1611" t="s">
        <v>2358</v>
      </c>
      <c r="J1611" t="s">
        <v>38</v>
      </c>
      <c r="K1611" t="s">
        <v>45</v>
      </c>
      <c r="L1611" t="s">
        <v>22</v>
      </c>
      <c r="M1611" t="s">
        <v>49</v>
      </c>
      <c r="N1611">
        <f>Sheet1[[#This Row],[Quantity]]*Sheet1[[#This Row],[UnitPrice]]</f>
        <v>1153.1100000000001</v>
      </c>
    </row>
    <row r="1612" spans="1:14" x14ac:dyDescent="0.3">
      <c r="A1612" s="1">
        <v>45331</v>
      </c>
      <c r="B1612" t="s">
        <v>1506</v>
      </c>
      <c r="C1612" t="s">
        <v>56</v>
      </c>
      <c r="D1612" t="s">
        <v>74</v>
      </c>
      <c r="E1612" t="s">
        <v>67</v>
      </c>
      <c r="F1612">
        <v>6</v>
      </c>
      <c r="G1612">
        <v>160.80000000000001</v>
      </c>
      <c r="H1612" t="s">
        <v>36</v>
      </c>
      <c r="I1612" t="s">
        <v>2359</v>
      </c>
      <c r="J1612" t="s">
        <v>20</v>
      </c>
      <c r="K1612" t="s">
        <v>59</v>
      </c>
      <c r="L1612" t="s">
        <v>60</v>
      </c>
      <c r="M1612" t="s">
        <v>40</v>
      </c>
      <c r="N1612">
        <f>Sheet1[[#This Row],[Quantity]]*Sheet1[[#This Row],[UnitPrice]]</f>
        <v>964.80000000000007</v>
      </c>
    </row>
    <row r="1613" spans="1:14" x14ac:dyDescent="0.3">
      <c r="A1613" s="1">
        <v>45178</v>
      </c>
      <c r="B1613" t="s">
        <v>1540</v>
      </c>
      <c r="C1613" t="s">
        <v>34</v>
      </c>
      <c r="D1613" t="s">
        <v>26</v>
      </c>
      <c r="E1613" t="s">
        <v>64</v>
      </c>
      <c r="F1613">
        <v>4</v>
      </c>
      <c r="G1613">
        <v>267.99</v>
      </c>
      <c r="H1613" t="s">
        <v>68</v>
      </c>
      <c r="I1613" t="s">
        <v>2360</v>
      </c>
      <c r="J1613" t="s">
        <v>30</v>
      </c>
      <c r="K1613" t="s">
        <v>31</v>
      </c>
      <c r="L1613" t="s">
        <v>39</v>
      </c>
      <c r="M1613" t="s">
        <v>23</v>
      </c>
      <c r="N1613">
        <f>Sheet1[[#This Row],[Quantity]]*Sheet1[[#This Row],[UnitPrice]]</f>
        <v>1071.96</v>
      </c>
    </row>
    <row r="1614" spans="1:14" x14ac:dyDescent="0.3">
      <c r="A1614" s="1">
        <v>45836</v>
      </c>
      <c r="B1614" t="s">
        <v>961</v>
      </c>
      <c r="C1614" t="s">
        <v>90</v>
      </c>
      <c r="D1614" t="s">
        <v>47</v>
      </c>
      <c r="E1614" t="s">
        <v>64</v>
      </c>
      <c r="F1614">
        <v>6</v>
      </c>
      <c r="G1614">
        <v>152.9</v>
      </c>
      <c r="H1614" t="s">
        <v>36</v>
      </c>
      <c r="I1614" t="s">
        <v>2361</v>
      </c>
      <c r="J1614" t="s">
        <v>44</v>
      </c>
      <c r="K1614" t="s">
        <v>21</v>
      </c>
      <c r="L1614" t="s">
        <v>39</v>
      </c>
      <c r="M1614" t="s">
        <v>23</v>
      </c>
      <c r="N1614">
        <f>Sheet1[[#This Row],[Quantity]]*Sheet1[[#This Row],[UnitPrice]]</f>
        <v>917.40000000000009</v>
      </c>
    </row>
    <row r="1615" spans="1:14" x14ac:dyDescent="0.3">
      <c r="A1615" s="1">
        <v>45484</v>
      </c>
      <c r="B1615" t="s">
        <v>829</v>
      </c>
      <c r="C1615" t="s">
        <v>73</v>
      </c>
      <c r="D1615" t="s">
        <v>26</v>
      </c>
      <c r="E1615" t="s">
        <v>52</v>
      </c>
      <c r="F1615">
        <v>4</v>
      </c>
      <c r="G1615">
        <v>114.63</v>
      </c>
      <c r="H1615" t="s">
        <v>28</v>
      </c>
      <c r="I1615" t="s">
        <v>2362</v>
      </c>
      <c r="J1615" t="s">
        <v>30</v>
      </c>
      <c r="K1615" t="s">
        <v>31</v>
      </c>
      <c r="L1615" t="s">
        <v>39</v>
      </c>
      <c r="M1615" t="s">
        <v>32</v>
      </c>
      <c r="N1615">
        <f>Sheet1[[#This Row],[Quantity]]*Sheet1[[#This Row],[UnitPrice]]</f>
        <v>458.52</v>
      </c>
    </row>
    <row r="1616" spans="1:14" x14ac:dyDescent="0.3">
      <c r="A1616" s="1">
        <v>45623</v>
      </c>
      <c r="B1616" t="s">
        <v>424</v>
      </c>
      <c r="C1616" t="s">
        <v>34</v>
      </c>
      <c r="D1616" t="s">
        <v>26</v>
      </c>
      <c r="E1616" t="s">
        <v>17</v>
      </c>
      <c r="F1616">
        <v>5</v>
      </c>
      <c r="G1616">
        <v>83.16</v>
      </c>
      <c r="H1616" t="s">
        <v>28</v>
      </c>
      <c r="I1616" t="s">
        <v>2363</v>
      </c>
      <c r="J1616" t="s">
        <v>30</v>
      </c>
      <c r="K1616" t="s">
        <v>21</v>
      </c>
      <c r="L1616" t="s">
        <v>39</v>
      </c>
      <c r="M1616" t="s">
        <v>76</v>
      </c>
      <c r="N1616">
        <f>Sheet1[[#This Row],[Quantity]]*Sheet1[[#This Row],[UnitPrice]]</f>
        <v>415.79999999999995</v>
      </c>
    </row>
    <row r="1617" spans="1:14" x14ac:dyDescent="0.3">
      <c r="A1617" s="1">
        <v>45054</v>
      </c>
      <c r="B1617" t="s">
        <v>2364</v>
      </c>
      <c r="C1617" t="s">
        <v>25</v>
      </c>
      <c r="D1617" t="s">
        <v>16</v>
      </c>
      <c r="E1617" t="s">
        <v>27</v>
      </c>
      <c r="F1617">
        <v>6</v>
      </c>
      <c r="G1617">
        <v>315.77999999999997</v>
      </c>
      <c r="H1617" t="s">
        <v>53</v>
      </c>
      <c r="I1617" t="s">
        <v>2365</v>
      </c>
      <c r="J1617" t="s">
        <v>20</v>
      </c>
      <c r="K1617" t="s">
        <v>59</v>
      </c>
      <c r="L1617" t="s">
        <v>60</v>
      </c>
      <c r="M1617" t="s">
        <v>49</v>
      </c>
      <c r="N1617">
        <f>Sheet1[[#This Row],[Quantity]]*Sheet1[[#This Row],[UnitPrice]]</f>
        <v>1894.6799999999998</v>
      </c>
    </row>
    <row r="1618" spans="1:14" x14ac:dyDescent="0.3">
      <c r="A1618" s="1">
        <v>45296</v>
      </c>
      <c r="B1618" t="s">
        <v>721</v>
      </c>
      <c r="C1618" t="s">
        <v>56</v>
      </c>
      <c r="D1618" t="s">
        <v>47</v>
      </c>
      <c r="E1618" t="s">
        <v>42</v>
      </c>
      <c r="F1618">
        <v>9</v>
      </c>
      <c r="G1618">
        <v>395.2</v>
      </c>
      <c r="H1618" t="s">
        <v>53</v>
      </c>
      <c r="I1618" t="s">
        <v>2366</v>
      </c>
      <c r="J1618" t="s">
        <v>58</v>
      </c>
      <c r="K1618" t="s">
        <v>31</v>
      </c>
      <c r="L1618" t="s">
        <v>39</v>
      </c>
      <c r="M1618" t="s">
        <v>40</v>
      </c>
      <c r="N1618">
        <f>Sheet1[[#This Row],[Quantity]]*Sheet1[[#This Row],[UnitPrice]]</f>
        <v>3556.7999999999997</v>
      </c>
    </row>
    <row r="1619" spans="1:14" x14ac:dyDescent="0.3">
      <c r="A1619" s="1">
        <v>45792</v>
      </c>
      <c r="B1619" t="s">
        <v>704</v>
      </c>
      <c r="C1619" t="s">
        <v>63</v>
      </c>
      <c r="D1619" t="s">
        <v>16</v>
      </c>
      <c r="E1619" t="s">
        <v>52</v>
      </c>
      <c r="F1619">
        <v>8</v>
      </c>
      <c r="G1619">
        <v>322.52</v>
      </c>
      <c r="H1619" t="s">
        <v>53</v>
      </c>
      <c r="I1619" t="s">
        <v>2367</v>
      </c>
      <c r="J1619" t="s">
        <v>30</v>
      </c>
      <c r="K1619" t="s">
        <v>45</v>
      </c>
      <c r="L1619" t="s">
        <v>22</v>
      </c>
      <c r="M1619" t="s">
        <v>32</v>
      </c>
      <c r="N1619">
        <f>Sheet1[[#This Row],[Quantity]]*Sheet1[[#This Row],[UnitPrice]]</f>
        <v>2580.16</v>
      </c>
    </row>
    <row r="1620" spans="1:14" x14ac:dyDescent="0.3">
      <c r="A1620" s="1">
        <v>45152</v>
      </c>
      <c r="B1620" t="s">
        <v>2368</v>
      </c>
      <c r="C1620" t="s">
        <v>73</v>
      </c>
      <c r="D1620" t="s">
        <v>47</v>
      </c>
      <c r="E1620" t="s">
        <v>17</v>
      </c>
      <c r="F1620">
        <v>10</v>
      </c>
      <c r="G1620">
        <v>174.06</v>
      </c>
      <c r="H1620" t="s">
        <v>36</v>
      </c>
      <c r="I1620" t="s">
        <v>2369</v>
      </c>
      <c r="J1620" t="s">
        <v>44</v>
      </c>
      <c r="K1620" t="s">
        <v>59</v>
      </c>
      <c r="L1620" t="s">
        <v>22</v>
      </c>
      <c r="M1620" t="s">
        <v>49</v>
      </c>
      <c r="N1620">
        <f>Sheet1[[#This Row],[Quantity]]*Sheet1[[#This Row],[UnitPrice]]</f>
        <v>1740.6</v>
      </c>
    </row>
    <row r="1621" spans="1:14" x14ac:dyDescent="0.3">
      <c r="A1621" s="1">
        <v>45196</v>
      </c>
      <c r="B1621" t="s">
        <v>346</v>
      </c>
      <c r="C1621" t="s">
        <v>63</v>
      </c>
      <c r="D1621" t="s">
        <v>47</v>
      </c>
      <c r="E1621" t="s">
        <v>64</v>
      </c>
      <c r="F1621">
        <v>10</v>
      </c>
      <c r="G1621">
        <v>98.41</v>
      </c>
      <c r="H1621" t="s">
        <v>53</v>
      </c>
      <c r="I1621" t="s">
        <v>2370</v>
      </c>
      <c r="J1621" t="s">
        <v>20</v>
      </c>
      <c r="K1621" t="s">
        <v>59</v>
      </c>
      <c r="L1621" t="s">
        <v>39</v>
      </c>
      <c r="M1621" t="s">
        <v>76</v>
      </c>
      <c r="N1621">
        <f>Sheet1[[#This Row],[Quantity]]*Sheet1[[#This Row],[UnitPrice]]</f>
        <v>984.09999999999991</v>
      </c>
    </row>
    <row r="1622" spans="1:14" x14ac:dyDescent="0.3">
      <c r="A1622" s="1">
        <v>44953</v>
      </c>
      <c r="B1622" t="s">
        <v>1715</v>
      </c>
      <c r="C1622" t="s">
        <v>90</v>
      </c>
      <c r="D1622" t="s">
        <v>16</v>
      </c>
      <c r="E1622" t="s">
        <v>35</v>
      </c>
      <c r="F1622">
        <v>9</v>
      </c>
      <c r="G1622">
        <v>246.89</v>
      </c>
      <c r="H1622" t="s">
        <v>68</v>
      </c>
      <c r="I1622" t="s">
        <v>2371</v>
      </c>
      <c r="J1622" t="s">
        <v>38</v>
      </c>
      <c r="K1622" t="s">
        <v>59</v>
      </c>
      <c r="L1622" t="s">
        <v>22</v>
      </c>
      <c r="M1622" t="s">
        <v>40</v>
      </c>
      <c r="N1622">
        <f>Sheet1[[#This Row],[Quantity]]*Sheet1[[#This Row],[UnitPrice]]</f>
        <v>2222.0099999999998</v>
      </c>
    </row>
    <row r="1623" spans="1:14" x14ac:dyDescent="0.3">
      <c r="A1623" s="1">
        <v>45659</v>
      </c>
      <c r="B1623" t="s">
        <v>2372</v>
      </c>
      <c r="C1623" t="s">
        <v>73</v>
      </c>
      <c r="D1623" t="s">
        <v>47</v>
      </c>
      <c r="E1623" t="s">
        <v>35</v>
      </c>
      <c r="F1623">
        <v>8</v>
      </c>
      <c r="G1623">
        <v>68.63</v>
      </c>
      <c r="H1623" t="s">
        <v>68</v>
      </c>
      <c r="I1623" t="s">
        <v>2373</v>
      </c>
      <c r="J1623" t="s">
        <v>30</v>
      </c>
      <c r="K1623" t="s">
        <v>45</v>
      </c>
      <c r="L1623" t="s">
        <v>39</v>
      </c>
      <c r="M1623" t="s">
        <v>32</v>
      </c>
      <c r="N1623">
        <f>Sheet1[[#This Row],[Quantity]]*Sheet1[[#This Row],[UnitPrice]]</f>
        <v>549.04</v>
      </c>
    </row>
    <row r="1624" spans="1:14" x14ac:dyDescent="0.3">
      <c r="A1624" s="1">
        <v>45766</v>
      </c>
      <c r="B1624" t="s">
        <v>1207</v>
      </c>
      <c r="C1624" t="s">
        <v>78</v>
      </c>
      <c r="D1624" t="s">
        <v>47</v>
      </c>
      <c r="E1624" t="s">
        <v>64</v>
      </c>
      <c r="F1624">
        <v>2</v>
      </c>
      <c r="G1624">
        <v>174.57</v>
      </c>
      <c r="H1624" t="s">
        <v>36</v>
      </c>
      <c r="I1624" t="s">
        <v>2374</v>
      </c>
      <c r="J1624" t="s">
        <v>30</v>
      </c>
      <c r="K1624" t="s">
        <v>45</v>
      </c>
      <c r="L1624" t="s">
        <v>22</v>
      </c>
      <c r="M1624" t="s">
        <v>23</v>
      </c>
      <c r="N1624">
        <f>Sheet1[[#This Row],[Quantity]]*Sheet1[[#This Row],[UnitPrice]]</f>
        <v>349.14</v>
      </c>
    </row>
    <row r="1625" spans="1:14" x14ac:dyDescent="0.3">
      <c r="A1625" s="1">
        <v>45284</v>
      </c>
      <c r="B1625" t="s">
        <v>1476</v>
      </c>
      <c r="C1625" t="s">
        <v>34</v>
      </c>
      <c r="D1625" t="s">
        <v>26</v>
      </c>
      <c r="E1625" t="s">
        <v>64</v>
      </c>
      <c r="F1625">
        <v>4</v>
      </c>
      <c r="G1625">
        <v>84.97</v>
      </c>
      <c r="H1625" t="s">
        <v>53</v>
      </c>
      <c r="I1625" t="s">
        <v>2375</v>
      </c>
      <c r="J1625" t="s">
        <v>44</v>
      </c>
      <c r="K1625" t="s">
        <v>21</v>
      </c>
      <c r="L1625" t="s">
        <v>22</v>
      </c>
      <c r="M1625" t="s">
        <v>61</v>
      </c>
      <c r="N1625">
        <f>Sheet1[[#This Row],[Quantity]]*Sheet1[[#This Row],[UnitPrice]]</f>
        <v>339.88</v>
      </c>
    </row>
    <row r="1626" spans="1:14" x14ac:dyDescent="0.3">
      <c r="A1626" s="1">
        <v>45190</v>
      </c>
      <c r="B1626" t="s">
        <v>2243</v>
      </c>
      <c r="C1626" t="s">
        <v>73</v>
      </c>
      <c r="D1626" t="s">
        <v>74</v>
      </c>
      <c r="E1626" t="s">
        <v>64</v>
      </c>
      <c r="F1626">
        <v>5</v>
      </c>
      <c r="G1626">
        <v>15.19</v>
      </c>
      <c r="H1626" t="s">
        <v>68</v>
      </c>
      <c r="I1626" t="s">
        <v>2376</v>
      </c>
      <c r="J1626" t="s">
        <v>20</v>
      </c>
      <c r="K1626" t="s">
        <v>31</v>
      </c>
      <c r="L1626" t="s">
        <v>22</v>
      </c>
      <c r="M1626" t="s">
        <v>32</v>
      </c>
      <c r="N1626">
        <f>Sheet1[[#This Row],[Quantity]]*Sheet1[[#This Row],[UnitPrice]]</f>
        <v>75.95</v>
      </c>
    </row>
    <row r="1627" spans="1:14" x14ac:dyDescent="0.3">
      <c r="A1627" s="1">
        <v>44990</v>
      </c>
      <c r="B1627" t="s">
        <v>216</v>
      </c>
      <c r="C1627" t="s">
        <v>51</v>
      </c>
      <c r="D1627" t="s">
        <v>47</v>
      </c>
      <c r="E1627" t="s">
        <v>17</v>
      </c>
      <c r="F1627">
        <v>10</v>
      </c>
      <c r="G1627">
        <v>133.34</v>
      </c>
      <c r="H1627" t="s">
        <v>28</v>
      </c>
      <c r="I1627" t="s">
        <v>2377</v>
      </c>
      <c r="J1627" t="s">
        <v>58</v>
      </c>
      <c r="K1627" t="s">
        <v>21</v>
      </c>
      <c r="L1627" t="s">
        <v>39</v>
      </c>
      <c r="M1627" t="s">
        <v>61</v>
      </c>
      <c r="N1627">
        <f>Sheet1[[#This Row],[Quantity]]*Sheet1[[#This Row],[UnitPrice]]</f>
        <v>1333.4</v>
      </c>
    </row>
    <row r="1628" spans="1:14" x14ac:dyDescent="0.3">
      <c r="A1628" s="1">
        <v>45437</v>
      </c>
      <c r="B1628" t="s">
        <v>737</v>
      </c>
      <c r="C1628" t="s">
        <v>34</v>
      </c>
      <c r="D1628" t="s">
        <v>74</v>
      </c>
      <c r="E1628" t="s">
        <v>35</v>
      </c>
      <c r="F1628">
        <v>5</v>
      </c>
      <c r="G1628">
        <v>129.6</v>
      </c>
      <c r="H1628" t="s">
        <v>68</v>
      </c>
      <c r="I1628" t="s">
        <v>2378</v>
      </c>
      <c r="J1628" t="s">
        <v>58</v>
      </c>
      <c r="K1628" t="s">
        <v>59</v>
      </c>
      <c r="L1628" t="s">
        <v>22</v>
      </c>
      <c r="M1628" t="s">
        <v>23</v>
      </c>
      <c r="N1628">
        <f>Sheet1[[#This Row],[Quantity]]*Sheet1[[#This Row],[UnitPrice]]</f>
        <v>648</v>
      </c>
    </row>
    <row r="1629" spans="1:14" x14ac:dyDescent="0.3">
      <c r="A1629" s="1">
        <v>45787</v>
      </c>
      <c r="B1629" t="s">
        <v>429</v>
      </c>
      <c r="C1629" t="s">
        <v>78</v>
      </c>
      <c r="D1629" t="s">
        <v>74</v>
      </c>
      <c r="E1629" t="s">
        <v>42</v>
      </c>
      <c r="F1629">
        <v>10</v>
      </c>
      <c r="G1629">
        <v>52.31</v>
      </c>
      <c r="H1629" t="s">
        <v>28</v>
      </c>
      <c r="I1629" t="s">
        <v>2379</v>
      </c>
      <c r="J1629" t="s">
        <v>20</v>
      </c>
      <c r="K1629" t="s">
        <v>45</v>
      </c>
      <c r="L1629" t="s">
        <v>60</v>
      </c>
      <c r="M1629" t="s">
        <v>23</v>
      </c>
      <c r="N1629">
        <f>Sheet1[[#This Row],[Quantity]]*Sheet1[[#This Row],[UnitPrice]]</f>
        <v>523.1</v>
      </c>
    </row>
    <row r="1630" spans="1:14" x14ac:dyDescent="0.3">
      <c r="A1630" s="1">
        <v>45318</v>
      </c>
      <c r="B1630" t="s">
        <v>1838</v>
      </c>
      <c r="C1630" t="s">
        <v>51</v>
      </c>
      <c r="D1630" t="s">
        <v>74</v>
      </c>
      <c r="E1630" t="s">
        <v>52</v>
      </c>
      <c r="F1630">
        <v>10</v>
      </c>
      <c r="G1630">
        <v>366.42</v>
      </c>
      <c r="H1630" t="s">
        <v>36</v>
      </c>
      <c r="I1630" t="s">
        <v>2380</v>
      </c>
      <c r="J1630" t="s">
        <v>44</v>
      </c>
      <c r="K1630" t="s">
        <v>31</v>
      </c>
      <c r="L1630" t="s">
        <v>39</v>
      </c>
      <c r="M1630" t="s">
        <v>23</v>
      </c>
      <c r="N1630">
        <f>Sheet1[[#This Row],[Quantity]]*Sheet1[[#This Row],[UnitPrice]]</f>
        <v>3664.2000000000003</v>
      </c>
    </row>
    <row r="1631" spans="1:14" x14ac:dyDescent="0.3">
      <c r="A1631" s="1">
        <v>45506</v>
      </c>
      <c r="B1631" t="s">
        <v>886</v>
      </c>
      <c r="C1631" t="s">
        <v>25</v>
      </c>
      <c r="D1631" t="s">
        <v>26</v>
      </c>
      <c r="E1631" t="s">
        <v>67</v>
      </c>
      <c r="F1631">
        <v>1</v>
      </c>
      <c r="G1631">
        <v>258.97000000000003</v>
      </c>
      <c r="H1631" t="s">
        <v>36</v>
      </c>
      <c r="I1631" t="s">
        <v>2381</v>
      </c>
      <c r="J1631" t="s">
        <v>30</v>
      </c>
      <c r="K1631" t="s">
        <v>31</v>
      </c>
      <c r="L1631" t="s">
        <v>22</v>
      </c>
      <c r="M1631" t="s">
        <v>40</v>
      </c>
      <c r="N1631">
        <f>Sheet1[[#This Row],[Quantity]]*Sheet1[[#This Row],[UnitPrice]]</f>
        <v>258.97000000000003</v>
      </c>
    </row>
    <row r="1632" spans="1:14" x14ac:dyDescent="0.3">
      <c r="A1632" s="1">
        <v>45285</v>
      </c>
      <c r="B1632" t="s">
        <v>867</v>
      </c>
      <c r="C1632" t="s">
        <v>78</v>
      </c>
      <c r="D1632" t="s">
        <v>74</v>
      </c>
      <c r="E1632" t="s">
        <v>64</v>
      </c>
      <c r="F1632">
        <v>10</v>
      </c>
      <c r="G1632">
        <v>292.68</v>
      </c>
      <c r="H1632" t="s">
        <v>28</v>
      </c>
      <c r="I1632" t="s">
        <v>2382</v>
      </c>
      <c r="J1632" t="s">
        <v>44</v>
      </c>
      <c r="K1632" t="s">
        <v>45</v>
      </c>
      <c r="L1632" t="s">
        <v>39</v>
      </c>
      <c r="M1632" t="s">
        <v>49</v>
      </c>
      <c r="N1632">
        <f>Sheet1[[#This Row],[Quantity]]*Sheet1[[#This Row],[UnitPrice]]</f>
        <v>2926.8</v>
      </c>
    </row>
    <row r="1633" spans="1:14" x14ac:dyDescent="0.3">
      <c r="A1633" s="1">
        <v>45681</v>
      </c>
      <c r="B1633" t="s">
        <v>235</v>
      </c>
      <c r="C1633" t="s">
        <v>25</v>
      </c>
      <c r="D1633" t="s">
        <v>16</v>
      </c>
      <c r="E1633" t="s">
        <v>67</v>
      </c>
      <c r="F1633">
        <v>5</v>
      </c>
      <c r="G1633">
        <v>224.77</v>
      </c>
      <c r="H1633" t="s">
        <v>36</v>
      </c>
      <c r="I1633" t="s">
        <v>2383</v>
      </c>
      <c r="J1633" t="s">
        <v>58</v>
      </c>
      <c r="K1633" t="s">
        <v>31</v>
      </c>
      <c r="L1633" t="s">
        <v>39</v>
      </c>
      <c r="M1633" t="s">
        <v>40</v>
      </c>
      <c r="N1633">
        <f>Sheet1[[#This Row],[Quantity]]*Sheet1[[#This Row],[UnitPrice]]</f>
        <v>1123.8500000000001</v>
      </c>
    </row>
    <row r="1634" spans="1:14" x14ac:dyDescent="0.3">
      <c r="A1634" s="1">
        <v>45265</v>
      </c>
      <c r="B1634" t="s">
        <v>2384</v>
      </c>
      <c r="C1634" t="s">
        <v>78</v>
      </c>
      <c r="D1634" t="s">
        <v>16</v>
      </c>
      <c r="E1634" t="s">
        <v>64</v>
      </c>
      <c r="F1634">
        <v>1</v>
      </c>
      <c r="G1634">
        <v>399.31</v>
      </c>
      <c r="H1634" t="s">
        <v>53</v>
      </c>
      <c r="I1634" t="s">
        <v>2385</v>
      </c>
      <c r="J1634" t="s">
        <v>20</v>
      </c>
      <c r="K1634" t="s">
        <v>45</v>
      </c>
      <c r="L1634" t="s">
        <v>39</v>
      </c>
      <c r="M1634" t="s">
        <v>84</v>
      </c>
      <c r="N1634">
        <f>Sheet1[[#This Row],[Quantity]]*Sheet1[[#This Row],[UnitPrice]]</f>
        <v>399.31</v>
      </c>
    </row>
    <row r="1635" spans="1:14" x14ac:dyDescent="0.3">
      <c r="A1635" s="1">
        <v>44991</v>
      </c>
      <c r="B1635" t="s">
        <v>290</v>
      </c>
      <c r="C1635" t="s">
        <v>25</v>
      </c>
      <c r="D1635" t="s">
        <v>26</v>
      </c>
      <c r="E1635" t="s">
        <v>67</v>
      </c>
      <c r="F1635">
        <v>4</v>
      </c>
      <c r="G1635">
        <v>61.05</v>
      </c>
      <c r="H1635" t="s">
        <v>18</v>
      </c>
      <c r="I1635" t="s">
        <v>2386</v>
      </c>
      <c r="J1635" t="s">
        <v>44</v>
      </c>
      <c r="K1635" t="s">
        <v>45</v>
      </c>
      <c r="L1635" t="s">
        <v>60</v>
      </c>
      <c r="M1635" t="s">
        <v>49</v>
      </c>
      <c r="N1635">
        <f>Sheet1[[#This Row],[Quantity]]*Sheet1[[#This Row],[UnitPrice]]</f>
        <v>244.2</v>
      </c>
    </row>
    <row r="1636" spans="1:14" x14ac:dyDescent="0.3">
      <c r="A1636" s="1">
        <v>45303</v>
      </c>
      <c r="B1636" t="s">
        <v>103</v>
      </c>
      <c r="C1636" t="s">
        <v>90</v>
      </c>
      <c r="D1636" t="s">
        <v>47</v>
      </c>
      <c r="E1636" t="s">
        <v>42</v>
      </c>
      <c r="F1636">
        <v>1</v>
      </c>
      <c r="G1636">
        <v>39.85</v>
      </c>
      <c r="H1636" t="s">
        <v>53</v>
      </c>
      <c r="I1636" t="s">
        <v>2387</v>
      </c>
      <c r="J1636" t="s">
        <v>44</v>
      </c>
      <c r="K1636" t="s">
        <v>45</v>
      </c>
      <c r="L1636" t="s">
        <v>39</v>
      </c>
      <c r="M1636" t="s">
        <v>40</v>
      </c>
      <c r="N1636">
        <f>Sheet1[[#This Row],[Quantity]]*Sheet1[[#This Row],[UnitPrice]]</f>
        <v>39.85</v>
      </c>
    </row>
    <row r="1637" spans="1:14" x14ac:dyDescent="0.3">
      <c r="A1637" s="1">
        <v>45257</v>
      </c>
      <c r="B1637" t="s">
        <v>1930</v>
      </c>
      <c r="C1637" t="s">
        <v>25</v>
      </c>
      <c r="D1637" t="s">
        <v>16</v>
      </c>
      <c r="E1637" t="s">
        <v>42</v>
      </c>
      <c r="F1637">
        <v>2</v>
      </c>
      <c r="G1637">
        <v>71.25</v>
      </c>
      <c r="H1637" t="s">
        <v>36</v>
      </c>
      <c r="I1637" t="s">
        <v>2388</v>
      </c>
      <c r="J1637" t="s">
        <v>38</v>
      </c>
      <c r="K1637" t="s">
        <v>59</v>
      </c>
      <c r="L1637" t="s">
        <v>22</v>
      </c>
      <c r="M1637" t="s">
        <v>49</v>
      </c>
      <c r="N1637">
        <f>Sheet1[[#This Row],[Quantity]]*Sheet1[[#This Row],[UnitPrice]]</f>
        <v>142.5</v>
      </c>
    </row>
    <row r="1638" spans="1:14" x14ac:dyDescent="0.3">
      <c r="A1638" s="1">
        <v>45467</v>
      </c>
      <c r="B1638" t="s">
        <v>1642</v>
      </c>
      <c r="C1638" t="s">
        <v>101</v>
      </c>
      <c r="D1638" t="s">
        <v>16</v>
      </c>
      <c r="E1638" t="s">
        <v>17</v>
      </c>
      <c r="F1638">
        <v>10</v>
      </c>
      <c r="G1638">
        <v>223.71</v>
      </c>
      <c r="H1638" t="s">
        <v>28</v>
      </c>
      <c r="I1638" t="s">
        <v>2389</v>
      </c>
      <c r="J1638" t="s">
        <v>44</v>
      </c>
      <c r="K1638" t="s">
        <v>21</v>
      </c>
      <c r="L1638" t="s">
        <v>22</v>
      </c>
      <c r="M1638" t="s">
        <v>49</v>
      </c>
      <c r="N1638">
        <f>Sheet1[[#This Row],[Quantity]]*Sheet1[[#This Row],[UnitPrice]]</f>
        <v>2237.1</v>
      </c>
    </row>
    <row r="1639" spans="1:14" x14ac:dyDescent="0.3">
      <c r="A1639" s="1">
        <v>45669</v>
      </c>
      <c r="B1639" t="s">
        <v>1263</v>
      </c>
      <c r="C1639" t="s">
        <v>78</v>
      </c>
      <c r="D1639" t="s">
        <v>16</v>
      </c>
      <c r="E1639" t="s">
        <v>67</v>
      </c>
      <c r="F1639">
        <v>9</v>
      </c>
      <c r="G1639">
        <v>79.260000000000005</v>
      </c>
      <c r="H1639" t="s">
        <v>36</v>
      </c>
      <c r="I1639" t="s">
        <v>2390</v>
      </c>
      <c r="J1639" t="s">
        <v>38</v>
      </c>
      <c r="K1639" t="s">
        <v>45</v>
      </c>
      <c r="L1639" t="s">
        <v>22</v>
      </c>
      <c r="M1639" t="s">
        <v>61</v>
      </c>
      <c r="N1639">
        <f>Sheet1[[#This Row],[Quantity]]*Sheet1[[#This Row],[UnitPrice]]</f>
        <v>713.34</v>
      </c>
    </row>
    <row r="1640" spans="1:14" x14ac:dyDescent="0.3">
      <c r="A1640" s="1">
        <v>45123</v>
      </c>
      <c r="B1640" t="s">
        <v>1684</v>
      </c>
      <c r="C1640" t="s">
        <v>56</v>
      </c>
      <c r="D1640" t="s">
        <v>74</v>
      </c>
      <c r="E1640" t="s">
        <v>42</v>
      </c>
      <c r="F1640">
        <v>6</v>
      </c>
      <c r="G1640">
        <v>352.11</v>
      </c>
      <c r="H1640" t="s">
        <v>18</v>
      </c>
      <c r="I1640" t="s">
        <v>2391</v>
      </c>
      <c r="J1640" t="s">
        <v>20</v>
      </c>
      <c r="K1640" t="s">
        <v>31</v>
      </c>
      <c r="L1640" t="s">
        <v>39</v>
      </c>
      <c r="M1640" t="s">
        <v>61</v>
      </c>
      <c r="N1640">
        <f>Sheet1[[#This Row],[Quantity]]*Sheet1[[#This Row],[UnitPrice]]</f>
        <v>2112.66</v>
      </c>
    </row>
    <row r="1641" spans="1:14" x14ac:dyDescent="0.3">
      <c r="A1641" s="1">
        <v>45101</v>
      </c>
      <c r="B1641" t="s">
        <v>876</v>
      </c>
      <c r="C1641" t="s">
        <v>78</v>
      </c>
      <c r="D1641" t="s">
        <v>74</v>
      </c>
      <c r="E1641" t="s">
        <v>42</v>
      </c>
      <c r="F1641">
        <v>2</v>
      </c>
      <c r="G1641">
        <v>264.04000000000002</v>
      </c>
      <c r="H1641" t="s">
        <v>53</v>
      </c>
      <c r="I1641" t="s">
        <v>2392</v>
      </c>
      <c r="J1641" t="s">
        <v>44</v>
      </c>
      <c r="K1641" t="s">
        <v>31</v>
      </c>
      <c r="L1641" t="s">
        <v>39</v>
      </c>
      <c r="M1641" t="s">
        <v>23</v>
      </c>
      <c r="N1641">
        <f>Sheet1[[#This Row],[Quantity]]*Sheet1[[#This Row],[UnitPrice]]</f>
        <v>528.08000000000004</v>
      </c>
    </row>
    <row r="1642" spans="1:14" x14ac:dyDescent="0.3">
      <c r="A1642" s="1">
        <v>45734</v>
      </c>
      <c r="B1642" t="s">
        <v>2393</v>
      </c>
      <c r="C1642" t="s">
        <v>56</v>
      </c>
      <c r="D1642" t="s">
        <v>74</v>
      </c>
      <c r="E1642" t="s">
        <v>35</v>
      </c>
      <c r="F1642">
        <v>4</v>
      </c>
      <c r="G1642">
        <v>141.85</v>
      </c>
      <c r="H1642" t="s">
        <v>53</v>
      </c>
      <c r="I1642" t="s">
        <v>2394</v>
      </c>
      <c r="J1642" t="s">
        <v>30</v>
      </c>
      <c r="K1642" t="s">
        <v>59</v>
      </c>
      <c r="L1642" t="s">
        <v>60</v>
      </c>
      <c r="M1642" t="s">
        <v>84</v>
      </c>
      <c r="N1642">
        <f>Sheet1[[#This Row],[Quantity]]*Sheet1[[#This Row],[UnitPrice]]</f>
        <v>567.4</v>
      </c>
    </row>
    <row r="1643" spans="1:14" x14ac:dyDescent="0.3">
      <c r="A1643" s="1">
        <v>45311</v>
      </c>
      <c r="B1643" t="s">
        <v>500</v>
      </c>
      <c r="C1643" t="s">
        <v>51</v>
      </c>
      <c r="D1643" t="s">
        <v>16</v>
      </c>
      <c r="E1643" t="s">
        <v>42</v>
      </c>
      <c r="F1643">
        <v>5</v>
      </c>
      <c r="G1643">
        <v>264.69</v>
      </c>
      <c r="H1643" t="s">
        <v>18</v>
      </c>
      <c r="I1643" t="s">
        <v>2395</v>
      </c>
      <c r="J1643" t="s">
        <v>44</v>
      </c>
      <c r="K1643" t="s">
        <v>59</v>
      </c>
      <c r="L1643" t="s">
        <v>60</v>
      </c>
      <c r="M1643" t="s">
        <v>23</v>
      </c>
      <c r="N1643">
        <f>Sheet1[[#This Row],[Quantity]]*Sheet1[[#This Row],[UnitPrice]]</f>
        <v>1323.45</v>
      </c>
    </row>
    <row r="1644" spans="1:14" x14ac:dyDescent="0.3">
      <c r="A1644" s="1">
        <v>45565</v>
      </c>
      <c r="B1644" t="s">
        <v>418</v>
      </c>
      <c r="C1644" t="s">
        <v>15</v>
      </c>
      <c r="D1644" t="s">
        <v>26</v>
      </c>
      <c r="E1644" t="s">
        <v>52</v>
      </c>
      <c r="F1644">
        <v>6</v>
      </c>
      <c r="G1644">
        <v>213.37</v>
      </c>
      <c r="H1644" t="s">
        <v>36</v>
      </c>
      <c r="I1644" t="s">
        <v>2396</v>
      </c>
      <c r="J1644" t="s">
        <v>20</v>
      </c>
      <c r="K1644" t="s">
        <v>59</v>
      </c>
      <c r="L1644" t="s">
        <v>60</v>
      </c>
      <c r="M1644" t="s">
        <v>49</v>
      </c>
      <c r="N1644">
        <f>Sheet1[[#This Row],[Quantity]]*Sheet1[[#This Row],[UnitPrice]]</f>
        <v>1280.22</v>
      </c>
    </row>
    <row r="1645" spans="1:14" x14ac:dyDescent="0.3">
      <c r="A1645" s="1">
        <v>44950</v>
      </c>
      <c r="B1645" t="s">
        <v>824</v>
      </c>
      <c r="C1645" t="s">
        <v>73</v>
      </c>
      <c r="D1645" t="s">
        <v>16</v>
      </c>
      <c r="E1645" t="s">
        <v>52</v>
      </c>
      <c r="F1645">
        <v>5</v>
      </c>
      <c r="G1645">
        <v>154.16</v>
      </c>
      <c r="H1645" t="s">
        <v>53</v>
      </c>
      <c r="I1645" t="s">
        <v>2397</v>
      </c>
      <c r="J1645" t="s">
        <v>20</v>
      </c>
      <c r="K1645" t="s">
        <v>59</v>
      </c>
      <c r="L1645" t="s">
        <v>60</v>
      </c>
      <c r="M1645" t="s">
        <v>84</v>
      </c>
      <c r="N1645">
        <f>Sheet1[[#This Row],[Quantity]]*Sheet1[[#This Row],[UnitPrice]]</f>
        <v>770.8</v>
      </c>
    </row>
    <row r="1646" spans="1:14" x14ac:dyDescent="0.3">
      <c r="A1646" s="1">
        <v>44997</v>
      </c>
      <c r="B1646" t="s">
        <v>1274</v>
      </c>
      <c r="C1646" t="s">
        <v>90</v>
      </c>
      <c r="D1646" t="s">
        <v>26</v>
      </c>
      <c r="E1646" t="s">
        <v>27</v>
      </c>
      <c r="F1646">
        <v>8</v>
      </c>
      <c r="G1646">
        <v>210.83</v>
      </c>
      <c r="H1646" t="s">
        <v>36</v>
      </c>
      <c r="I1646" t="s">
        <v>2398</v>
      </c>
      <c r="J1646" t="s">
        <v>44</v>
      </c>
      <c r="K1646" t="s">
        <v>45</v>
      </c>
      <c r="L1646" t="s">
        <v>39</v>
      </c>
      <c r="M1646" t="s">
        <v>61</v>
      </c>
      <c r="N1646">
        <f>Sheet1[[#This Row],[Quantity]]*Sheet1[[#This Row],[UnitPrice]]</f>
        <v>1686.64</v>
      </c>
    </row>
    <row r="1647" spans="1:14" x14ac:dyDescent="0.3">
      <c r="A1647" s="1">
        <v>45146</v>
      </c>
      <c r="B1647" t="s">
        <v>509</v>
      </c>
      <c r="C1647" t="s">
        <v>25</v>
      </c>
      <c r="D1647" t="s">
        <v>47</v>
      </c>
      <c r="E1647" t="s">
        <v>42</v>
      </c>
      <c r="F1647">
        <v>7</v>
      </c>
      <c r="G1647">
        <v>35.630000000000003</v>
      </c>
      <c r="H1647" t="s">
        <v>28</v>
      </c>
      <c r="I1647" t="s">
        <v>2399</v>
      </c>
      <c r="J1647" t="s">
        <v>20</v>
      </c>
      <c r="K1647" t="s">
        <v>45</v>
      </c>
      <c r="L1647" t="s">
        <v>22</v>
      </c>
      <c r="M1647" t="s">
        <v>84</v>
      </c>
      <c r="N1647">
        <f>Sheet1[[#This Row],[Quantity]]*Sheet1[[#This Row],[UnitPrice]]</f>
        <v>249.41000000000003</v>
      </c>
    </row>
    <row r="1648" spans="1:14" x14ac:dyDescent="0.3">
      <c r="A1648" s="1">
        <v>45439</v>
      </c>
      <c r="B1648" t="s">
        <v>1194</v>
      </c>
      <c r="C1648" t="s">
        <v>34</v>
      </c>
      <c r="D1648" t="s">
        <v>74</v>
      </c>
      <c r="E1648" t="s">
        <v>64</v>
      </c>
      <c r="F1648">
        <v>7</v>
      </c>
      <c r="G1648">
        <v>399.84</v>
      </c>
      <c r="H1648" t="s">
        <v>68</v>
      </c>
      <c r="I1648" t="s">
        <v>2400</v>
      </c>
      <c r="J1648" t="s">
        <v>20</v>
      </c>
      <c r="K1648" t="s">
        <v>21</v>
      </c>
      <c r="L1648" t="s">
        <v>39</v>
      </c>
      <c r="M1648" t="s">
        <v>49</v>
      </c>
      <c r="N1648">
        <f>Sheet1[[#This Row],[Quantity]]*Sheet1[[#This Row],[UnitPrice]]</f>
        <v>2798.8799999999997</v>
      </c>
    </row>
    <row r="1649" spans="1:14" x14ac:dyDescent="0.3">
      <c r="A1649" s="1">
        <v>45709</v>
      </c>
      <c r="B1649" t="s">
        <v>469</v>
      </c>
      <c r="C1649" t="s">
        <v>78</v>
      </c>
      <c r="D1649" t="s">
        <v>47</v>
      </c>
      <c r="E1649" t="s">
        <v>52</v>
      </c>
      <c r="F1649">
        <v>9</v>
      </c>
      <c r="G1649">
        <v>78.430000000000007</v>
      </c>
      <c r="H1649" t="s">
        <v>36</v>
      </c>
      <c r="I1649" t="s">
        <v>2401</v>
      </c>
      <c r="J1649" t="s">
        <v>30</v>
      </c>
      <c r="K1649" t="s">
        <v>31</v>
      </c>
      <c r="L1649" t="s">
        <v>39</v>
      </c>
      <c r="M1649" t="s">
        <v>40</v>
      </c>
      <c r="N1649">
        <f>Sheet1[[#This Row],[Quantity]]*Sheet1[[#This Row],[UnitPrice]]</f>
        <v>705.87000000000012</v>
      </c>
    </row>
    <row r="1650" spans="1:14" x14ac:dyDescent="0.3">
      <c r="A1650" s="1">
        <v>45671</v>
      </c>
      <c r="B1650" t="s">
        <v>516</v>
      </c>
      <c r="C1650" t="s">
        <v>73</v>
      </c>
      <c r="D1650" t="s">
        <v>47</v>
      </c>
      <c r="E1650" t="s">
        <v>17</v>
      </c>
      <c r="F1650">
        <v>10</v>
      </c>
      <c r="G1650">
        <v>15.83</v>
      </c>
      <c r="H1650" t="s">
        <v>28</v>
      </c>
      <c r="I1650" t="s">
        <v>2402</v>
      </c>
      <c r="J1650" t="s">
        <v>44</v>
      </c>
      <c r="K1650" t="s">
        <v>21</v>
      </c>
      <c r="L1650" t="s">
        <v>60</v>
      </c>
      <c r="M1650" t="s">
        <v>84</v>
      </c>
      <c r="N1650">
        <f>Sheet1[[#This Row],[Quantity]]*Sheet1[[#This Row],[UnitPrice]]</f>
        <v>158.30000000000001</v>
      </c>
    </row>
    <row r="1651" spans="1:14" x14ac:dyDescent="0.3">
      <c r="A1651" s="1">
        <v>45339</v>
      </c>
      <c r="B1651" t="s">
        <v>1087</v>
      </c>
      <c r="C1651" t="s">
        <v>63</v>
      </c>
      <c r="D1651" t="s">
        <v>47</v>
      </c>
      <c r="E1651" t="s">
        <v>52</v>
      </c>
      <c r="F1651">
        <v>7</v>
      </c>
      <c r="G1651">
        <v>59.78</v>
      </c>
      <c r="H1651" t="s">
        <v>68</v>
      </c>
      <c r="I1651" t="s">
        <v>2403</v>
      </c>
      <c r="J1651" t="s">
        <v>44</v>
      </c>
      <c r="K1651" t="s">
        <v>45</v>
      </c>
      <c r="L1651" t="s">
        <v>22</v>
      </c>
      <c r="M1651" t="s">
        <v>23</v>
      </c>
      <c r="N1651">
        <f>Sheet1[[#This Row],[Quantity]]*Sheet1[[#This Row],[UnitPrice]]</f>
        <v>418.46000000000004</v>
      </c>
    </row>
    <row r="1652" spans="1:14" x14ac:dyDescent="0.3">
      <c r="A1652" s="1">
        <v>45364</v>
      </c>
      <c r="B1652" t="s">
        <v>1029</v>
      </c>
      <c r="C1652" t="s">
        <v>34</v>
      </c>
      <c r="D1652" t="s">
        <v>74</v>
      </c>
      <c r="E1652" t="s">
        <v>35</v>
      </c>
      <c r="F1652">
        <v>5</v>
      </c>
      <c r="G1652">
        <v>82.19</v>
      </c>
      <c r="H1652" t="s">
        <v>36</v>
      </c>
      <c r="I1652" t="s">
        <v>2404</v>
      </c>
      <c r="J1652" t="s">
        <v>30</v>
      </c>
      <c r="K1652" t="s">
        <v>21</v>
      </c>
      <c r="L1652" t="s">
        <v>60</v>
      </c>
      <c r="M1652" t="s">
        <v>76</v>
      </c>
      <c r="N1652">
        <f>Sheet1[[#This Row],[Quantity]]*Sheet1[[#This Row],[UnitPrice]]</f>
        <v>410.95</v>
      </c>
    </row>
    <row r="1653" spans="1:14" x14ac:dyDescent="0.3">
      <c r="A1653" s="1">
        <v>45209</v>
      </c>
      <c r="B1653" t="s">
        <v>901</v>
      </c>
      <c r="C1653" t="s">
        <v>101</v>
      </c>
      <c r="D1653" t="s">
        <v>16</v>
      </c>
      <c r="E1653" t="s">
        <v>27</v>
      </c>
      <c r="F1653">
        <v>7</v>
      </c>
      <c r="G1653">
        <v>218.78</v>
      </c>
      <c r="H1653" t="s">
        <v>68</v>
      </c>
      <c r="I1653" t="s">
        <v>2405</v>
      </c>
      <c r="J1653" t="s">
        <v>38</v>
      </c>
      <c r="K1653" t="s">
        <v>21</v>
      </c>
      <c r="L1653" t="s">
        <v>39</v>
      </c>
      <c r="M1653" t="s">
        <v>84</v>
      </c>
      <c r="N1653">
        <f>Sheet1[[#This Row],[Quantity]]*Sheet1[[#This Row],[UnitPrice]]</f>
        <v>1531.46</v>
      </c>
    </row>
    <row r="1654" spans="1:14" x14ac:dyDescent="0.3">
      <c r="A1654" s="1">
        <v>45705</v>
      </c>
      <c r="B1654" t="s">
        <v>617</v>
      </c>
      <c r="C1654" t="s">
        <v>25</v>
      </c>
      <c r="D1654" t="s">
        <v>74</v>
      </c>
      <c r="E1654" t="s">
        <v>35</v>
      </c>
      <c r="F1654">
        <v>1</v>
      </c>
      <c r="G1654">
        <v>237.09</v>
      </c>
      <c r="H1654" t="s">
        <v>36</v>
      </c>
      <c r="I1654" t="s">
        <v>2406</v>
      </c>
      <c r="J1654" t="s">
        <v>58</v>
      </c>
      <c r="K1654" t="s">
        <v>45</v>
      </c>
      <c r="L1654" t="s">
        <v>22</v>
      </c>
      <c r="M1654" t="s">
        <v>49</v>
      </c>
      <c r="N1654">
        <f>Sheet1[[#This Row],[Quantity]]*Sheet1[[#This Row],[UnitPrice]]</f>
        <v>237.09</v>
      </c>
    </row>
    <row r="1655" spans="1:14" x14ac:dyDescent="0.3">
      <c r="A1655" s="1">
        <v>45340</v>
      </c>
      <c r="B1655" t="s">
        <v>2268</v>
      </c>
      <c r="C1655" t="s">
        <v>101</v>
      </c>
      <c r="D1655" t="s">
        <v>74</v>
      </c>
      <c r="E1655" t="s">
        <v>35</v>
      </c>
      <c r="F1655">
        <v>1</v>
      </c>
      <c r="G1655">
        <v>329.62</v>
      </c>
      <c r="H1655" t="s">
        <v>28</v>
      </c>
      <c r="I1655" t="s">
        <v>2407</v>
      </c>
      <c r="J1655" t="s">
        <v>20</v>
      </c>
      <c r="K1655" t="s">
        <v>31</v>
      </c>
      <c r="L1655" t="s">
        <v>39</v>
      </c>
      <c r="M1655" t="s">
        <v>61</v>
      </c>
      <c r="N1655">
        <f>Sheet1[[#This Row],[Quantity]]*Sheet1[[#This Row],[UnitPrice]]</f>
        <v>329.62</v>
      </c>
    </row>
    <row r="1656" spans="1:14" x14ac:dyDescent="0.3">
      <c r="A1656" s="1">
        <v>45573</v>
      </c>
      <c r="B1656" t="s">
        <v>1540</v>
      </c>
      <c r="C1656" t="s">
        <v>63</v>
      </c>
      <c r="D1656" t="s">
        <v>47</v>
      </c>
      <c r="E1656" t="s">
        <v>42</v>
      </c>
      <c r="F1656">
        <v>5</v>
      </c>
      <c r="G1656">
        <v>348.37</v>
      </c>
      <c r="H1656" t="s">
        <v>53</v>
      </c>
      <c r="I1656" t="s">
        <v>2408</v>
      </c>
      <c r="J1656" t="s">
        <v>20</v>
      </c>
      <c r="K1656" t="s">
        <v>21</v>
      </c>
      <c r="L1656" t="s">
        <v>39</v>
      </c>
      <c r="M1656" t="s">
        <v>84</v>
      </c>
      <c r="N1656">
        <f>Sheet1[[#This Row],[Quantity]]*Sheet1[[#This Row],[UnitPrice]]</f>
        <v>1741.85</v>
      </c>
    </row>
    <row r="1657" spans="1:14" x14ac:dyDescent="0.3">
      <c r="A1657" s="1">
        <v>45610</v>
      </c>
      <c r="B1657" t="s">
        <v>331</v>
      </c>
      <c r="C1657" t="s">
        <v>63</v>
      </c>
      <c r="D1657" t="s">
        <v>26</v>
      </c>
      <c r="E1657" t="s">
        <v>52</v>
      </c>
      <c r="F1657">
        <v>5</v>
      </c>
      <c r="G1657">
        <v>124.49</v>
      </c>
      <c r="H1657" t="s">
        <v>53</v>
      </c>
      <c r="I1657" t="s">
        <v>2409</v>
      </c>
      <c r="J1657" t="s">
        <v>44</v>
      </c>
      <c r="K1657" t="s">
        <v>21</v>
      </c>
      <c r="L1657" t="s">
        <v>22</v>
      </c>
      <c r="M1657" t="s">
        <v>32</v>
      </c>
      <c r="N1657">
        <f>Sheet1[[#This Row],[Quantity]]*Sheet1[[#This Row],[UnitPrice]]</f>
        <v>622.44999999999993</v>
      </c>
    </row>
    <row r="1658" spans="1:14" x14ac:dyDescent="0.3">
      <c r="A1658" s="1">
        <v>45366</v>
      </c>
      <c r="B1658" t="s">
        <v>2410</v>
      </c>
      <c r="C1658" t="s">
        <v>73</v>
      </c>
      <c r="D1658" t="s">
        <v>47</v>
      </c>
      <c r="E1658" t="s">
        <v>27</v>
      </c>
      <c r="F1658">
        <v>3</v>
      </c>
      <c r="G1658">
        <v>60.69</v>
      </c>
      <c r="H1658" t="s">
        <v>18</v>
      </c>
      <c r="I1658" t="s">
        <v>2411</v>
      </c>
      <c r="J1658" t="s">
        <v>44</v>
      </c>
      <c r="K1658" t="s">
        <v>59</v>
      </c>
      <c r="L1658" t="s">
        <v>22</v>
      </c>
      <c r="M1658" t="s">
        <v>40</v>
      </c>
      <c r="N1658">
        <f>Sheet1[[#This Row],[Quantity]]*Sheet1[[#This Row],[UnitPrice]]</f>
        <v>182.07</v>
      </c>
    </row>
    <row r="1659" spans="1:14" x14ac:dyDescent="0.3">
      <c r="A1659" s="1">
        <v>45679</v>
      </c>
      <c r="B1659" t="s">
        <v>109</v>
      </c>
      <c r="C1659" t="s">
        <v>34</v>
      </c>
      <c r="D1659" t="s">
        <v>74</v>
      </c>
      <c r="E1659" t="s">
        <v>64</v>
      </c>
      <c r="F1659">
        <v>6</v>
      </c>
      <c r="G1659">
        <v>164.69</v>
      </c>
      <c r="H1659" t="s">
        <v>36</v>
      </c>
      <c r="I1659" t="s">
        <v>2412</v>
      </c>
      <c r="J1659" t="s">
        <v>20</v>
      </c>
      <c r="K1659" t="s">
        <v>21</v>
      </c>
      <c r="L1659" t="s">
        <v>39</v>
      </c>
      <c r="M1659" t="s">
        <v>76</v>
      </c>
      <c r="N1659">
        <f>Sheet1[[#This Row],[Quantity]]*Sheet1[[#This Row],[UnitPrice]]</f>
        <v>988.14</v>
      </c>
    </row>
    <row r="1660" spans="1:14" x14ac:dyDescent="0.3">
      <c r="A1660" s="1">
        <v>45388</v>
      </c>
      <c r="B1660" t="s">
        <v>687</v>
      </c>
      <c r="C1660" t="s">
        <v>56</v>
      </c>
      <c r="D1660" t="s">
        <v>47</v>
      </c>
      <c r="E1660" t="s">
        <v>42</v>
      </c>
      <c r="F1660">
        <v>9</v>
      </c>
      <c r="G1660">
        <v>364.39</v>
      </c>
      <c r="H1660" t="s">
        <v>36</v>
      </c>
      <c r="I1660" t="s">
        <v>2413</v>
      </c>
      <c r="J1660" t="s">
        <v>20</v>
      </c>
      <c r="K1660" t="s">
        <v>45</v>
      </c>
      <c r="L1660" t="s">
        <v>60</v>
      </c>
      <c r="M1660" t="s">
        <v>23</v>
      </c>
      <c r="N1660">
        <f>Sheet1[[#This Row],[Quantity]]*Sheet1[[#This Row],[UnitPrice]]</f>
        <v>3279.5099999999998</v>
      </c>
    </row>
    <row r="1661" spans="1:14" x14ac:dyDescent="0.3">
      <c r="A1661" s="1">
        <v>45827</v>
      </c>
      <c r="B1661" t="s">
        <v>904</v>
      </c>
      <c r="C1661" t="s">
        <v>34</v>
      </c>
      <c r="D1661" t="s">
        <v>74</v>
      </c>
      <c r="E1661" t="s">
        <v>42</v>
      </c>
      <c r="F1661">
        <v>1</v>
      </c>
      <c r="G1661">
        <v>44.62</v>
      </c>
      <c r="H1661" t="s">
        <v>28</v>
      </c>
      <c r="I1661" t="s">
        <v>2414</v>
      </c>
      <c r="J1661" t="s">
        <v>30</v>
      </c>
      <c r="K1661" t="s">
        <v>45</v>
      </c>
      <c r="L1661" t="s">
        <v>60</v>
      </c>
      <c r="M1661" t="s">
        <v>32</v>
      </c>
      <c r="N1661">
        <f>Sheet1[[#This Row],[Quantity]]*Sheet1[[#This Row],[UnitPrice]]</f>
        <v>44.62</v>
      </c>
    </row>
    <row r="1662" spans="1:14" x14ac:dyDescent="0.3">
      <c r="A1662" s="1">
        <v>45587</v>
      </c>
      <c r="B1662" t="s">
        <v>338</v>
      </c>
      <c r="C1662" t="s">
        <v>90</v>
      </c>
      <c r="D1662" t="s">
        <v>26</v>
      </c>
      <c r="E1662" t="s">
        <v>17</v>
      </c>
      <c r="F1662">
        <v>7</v>
      </c>
      <c r="G1662">
        <v>122.95</v>
      </c>
      <c r="H1662" t="s">
        <v>53</v>
      </c>
      <c r="I1662" t="s">
        <v>2415</v>
      </c>
      <c r="J1662" t="s">
        <v>44</v>
      </c>
      <c r="K1662" t="s">
        <v>59</v>
      </c>
      <c r="L1662" t="s">
        <v>60</v>
      </c>
      <c r="M1662" t="s">
        <v>84</v>
      </c>
      <c r="N1662">
        <f>Sheet1[[#This Row],[Quantity]]*Sheet1[[#This Row],[UnitPrice]]</f>
        <v>860.65</v>
      </c>
    </row>
    <row r="1663" spans="1:14" x14ac:dyDescent="0.3">
      <c r="A1663" s="1">
        <v>45778</v>
      </c>
      <c r="B1663" t="s">
        <v>839</v>
      </c>
      <c r="C1663" t="s">
        <v>51</v>
      </c>
      <c r="D1663" t="s">
        <v>26</v>
      </c>
      <c r="E1663" t="s">
        <v>27</v>
      </c>
      <c r="F1663">
        <v>2</v>
      </c>
      <c r="G1663">
        <v>275.20999999999998</v>
      </c>
      <c r="H1663" t="s">
        <v>68</v>
      </c>
      <c r="I1663" t="s">
        <v>2416</v>
      </c>
      <c r="J1663" t="s">
        <v>30</v>
      </c>
      <c r="K1663" t="s">
        <v>59</v>
      </c>
      <c r="L1663" t="s">
        <v>39</v>
      </c>
      <c r="M1663" t="s">
        <v>32</v>
      </c>
      <c r="N1663">
        <f>Sheet1[[#This Row],[Quantity]]*Sheet1[[#This Row],[UnitPrice]]</f>
        <v>550.41999999999996</v>
      </c>
    </row>
    <row r="1664" spans="1:14" x14ac:dyDescent="0.3">
      <c r="A1664" s="1">
        <v>45799</v>
      </c>
      <c r="B1664" t="s">
        <v>1194</v>
      </c>
      <c r="C1664" t="s">
        <v>15</v>
      </c>
      <c r="D1664" t="s">
        <v>16</v>
      </c>
      <c r="E1664" t="s">
        <v>42</v>
      </c>
      <c r="F1664">
        <v>2</v>
      </c>
      <c r="G1664">
        <v>32.54</v>
      </c>
      <c r="H1664" t="s">
        <v>18</v>
      </c>
      <c r="I1664" t="s">
        <v>2417</v>
      </c>
      <c r="J1664" t="s">
        <v>58</v>
      </c>
      <c r="K1664" t="s">
        <v>31</v>
      </c>
      <c r="L1664" t="s">
        <v>39</v>
      </c>
      <c r="M1664" t="s">
        <v>32</v>
      </c>
      <c r="N1664">
        <f>Sheet1[[#This Row],[Quantity]]*Sheet1[[#This Row],[UnitPrice]]</f>
        <v>65.08</v>
      </c>
    </row>
    <row r="1665" spans="1:14" x14ac:dyDescent="0.3">
      <c r="A1665" s="1">
        <v>45225</v>
      </c>
      <c r="B1665" t="s">
        <v>389</v>
      </c>
      <c r="C1665" t="s">
        <v>25</v>
      </c>
      <c r="D1665" t="s">
        <v>16</v>
      </c>
      <c r="E1665" t="s">
        <v>64</v>
      </c>
      <c r="F1665">
        <v>8</v>
      </c>
      <c r="G1665">
        <v>112.95</v>
      </c>
      <c r="H1665" t="s">
        <v>53</v>
      </c>
      <c r="I1665" t="s">
        <v>2418</v>
      </c>
      <c r="J1665" t="s">
        <v>38</v>
      </c>
      <c r="K1665" t="s">
        <v>59</v>
      </c>
      <c r="L1665" t="s">
        <v>60</v>
      </c>
      <c r="M1665" t="s">
        <v>32</v>
      </c>
      <c r="N1665">
        <f>Sheet1[[#This Row],[Quantity]]*Sheet1[[#This Row],[UnitPrice]]</f>
        <v>903.6</v>
      </c>
    </row>
    <row r="1666" spans="1:14" x14ac:dyDescent="0.3">
      <c r="A1666" s="1">
        <v>45445</v>
      </c>
      <c r="B1666" t="s">
        <v>216</v>
      </c>
      <c r="C1666" t="s">
        <v>51</v>
      </c>
      <c r="D1666" t="s">
        <v>26</v>
      </c>
      <c r="E1666" t="s">
        <v>52</v>
      </c>
      <c r="F1666">
        <v>8</v>
      </c>
      <c r="G1666">
        <v>212.13</v>
      </c>
      <c r="H1666" t="s">
        <v>36</v>
      </c>
      <c r="I1666" t="s">
        <v>2419</v>
      </c>
      <c r="J1666" t="s">
        <v>58</v>
      </c>
      <c r="K1666" t="s">
        <v>45</v>
      </c>
      <c r="L1666" t="s">
        <v>39</v>
      </c>
      <c r="M1666" t="s">
        <v>61</v>
      </c>
      <c r="N1666">
        <f>Sheet1[[#This Row],[Quantity]]*Sheet1[[#This Row],[UnitPrice]]</f>
        <v>1697.04</v>
      </c>
    </row>
    <row r="1667" spans="1:14" x14ac:dyDescent="0.3">
      <c r="A1667" s="1">
        <v>45608</v>
      </c>
      <c r="B1667" t="s">
        <v>214</v>
      </c>
      <c r="C1667" t="s">
        <v>56</v>
      </c>
      <c r="D1667" t="s">
        <v>74</v>
      </c>
      <c r="E1667" t="s">
        <v>17</v>
      </c>
      <c r="F1667">
        <v>8</v>
      </c>
      <c r="G1667">
        <v>159.36000000000001</v>
      </c>
      <c r="H1667" t="s">
        <v>53</v>
      </c>
      <c r="I1667" t="s">
        <v>2420</v>
      </c>
      <c r="J1667" t="s">
        <v>38</v>
      </c>
      <c r="K1667" t="s">
        <v>21</v>
      </c>
      <c r="L1667" t="s">
        <v>39</v>
      </c>
      <c r="M1667" t="s">
        <v>84</v>
      </c>
      <c r="N1667">
        <f>Sheet1[[#This Row],[Quantity]]*Sheet1[[#This Row],[UnitPrice]]</f>
        <v>1274.8800000000001</v>
      </c>
    </row>
    <row r="1668" spans="1:14" x14ac:dyDescent="0.3">
      <c r="A1668" s="1">
        <v>45228</v>
      </c>
      <c r="B1668" t="s">
        <v>340</v>
      </c>
      <c r="C1668" t="s">
        <v>34</v>
      </c>
      <c r="D1668" t="s">
        <v>16</v>
      </c>
      <c r="E1668" t="s">
        <v>35</v>
      </c>
      <c r="F1668">
        <v>6</v>
      </c>
      <c r="G1668">
        <v>131.09</v>
      </c>
      <c r="H1668" t="s">
        <v>36</v>
      </c>
      <c r="I1668" t="s">
        <v>2421</v>
      </c>
      <c r="J1668" t="s">
        <v>20</v>
      </c>
      <c r="K1668" t="s">
        <v>59</v>
      </c>
      <c r="L1668" t="s">
        <v>60</v>
      </c>
      <c r="M1668" t="s">
        <v>61</v>
      </c>
      <c r="N1668">
        <f>Sheet1[[#This Row],[Quantity]]*Sheet1[[#This Row],[UnitPrice]]</f>
        <v>786.54</v>
      </c>
    </row>
    <row r="1669" spans="1:14" x14ac:dyDescent="0.3">
      <c r="A1669" s="1">
        <v>45107</v>
      </c>
      <c r="B1669" t="s">
        <v>2422</v>
      </c>
      <c r="C1669" t="s">
        <v>90</v>
      </c>
      <c r="D1669" t="s">
        <v>16</v>
      </c>
      <c r="E1669" t="s">
        <v>67</v>
      </c>
      <c r="F1669">
        <v>3</v>
      </c>
      <c r="G1669">
        <v>43.79</v>
      </c>
      <c r="H1669" t="s">
        <v>36</v>
      </c>
      <c r="I1669" t="s">
        <v>2423</v>
      </c>
      <c r="J1669" t="s">
        <v>44</v>
      </c>
      <c r="K1669" t="s">
        <v>59</v>
      </c>
      <c r="L1669" t="s">
        <v>22</v>
      </c>
      <c r="M1669" t="s">
        <v>40</v>
      </c>
      <c r="N1669">
        <f>Sheet1[[#This Row],[Quantity]]*Sheet1[[#This Row],[UnitPrice]]</f>
        <v>131.37</v>
      </c>
    </row>
    <row r="1670" spans="1:14" x14ac:dyDescent="0.3">
      <c r="A1670" s="1">
        <v>45011</v>
      </c>
      <c r="B1670" t="s">
        <v>696</v>
      </c>
      <c r="C1670" t="s">
        <v>78</v>
      </c>
      <c r="D1670" t="s">
        <v>16</v>
      </c>
      <c r="E1670" t="s">
        <v>67</v>
      </c>
      <c r="F1670">
        <v>9</v>
      </c>
      <c r="G1670">
        <v>386.54</v>
      </c>
      <c r="H1670" t="s">
        <v>36</v>
      </c>
      <c r="I1670" t="s">
        <v>2424</v>
      </c>
      <c r="J1670" t="s">
        <v>38</v>
      </c>
      <c r="K1670" t="s">
        <v>45</v>
      </c>
      <c r="L1670" t="s">
        <v>22</v>
      </c>
      <c r="M1670" t="s">
        <v>61</v>
      </c>
      <c r="N1670">
        <f>Sheet1[[#This Row],[Quantity]]*Sheet1[[#This Row],[UnitPrice]]</f>
        <v>3478.86</v>
      </c>
    </row>
    <row r="1671" spans="1:14" x14ac:dyDescent="0.3">
      <c r="A1671" s="1">
        <v>45794</v>
      </c>
      <c r="B1671" t="s">
        <v>1645</v>
      </c>
      <c r="C1671" t="s">
        <v>34</v>
      </c>
      <c r="D1671" t="s">
        <v>16</v>
      </c>
      <c r="E1671" t="s">
        <v>27</v>
      </c>
      <c r="F1671">
        <v>6</v>
      </c>
      <c r="G1671">
        <v>159.03</v>
      </c>
      <c r="H1671" t="s">
        <v>28</v>
      </c>
      <c r="I1671" t="s">
        <v>2425</v>
      </c>
      <c r="J1671" t="s">
        <v>30</v>
      </c>
      <c r="K1671" t="s">
        <v>21</v>
      </c>
      <c r="L1671" t="s">
        <v>22</v>
      </c>
      <c r="M1671" t="s">
        <v>23</v>
      </c>
      <c r="N1671">
        <f>Sheet1[[#This Row],[Quantity]]*Sheet1[[#This Row],[UnitPrice]]</f>
        <v>954.18000000000006</v>
      </c>
    </row>
    <row r="1672" spans="1:14" x14ac:dyDescent="0.3">
      <c r="A1672" s="1">
        <v>45797</v>
      </c>
      <c r="B1672" t="s">
        <v>55</v>
      </c>
      <c r="C1672" t="s">
        <v>90</v>
      </c>
      <c r="D1672" t="s">
        <v>74</v>
      </c>
      <c r="E1672" t="s">
        <v>67</v>
      </c>
      <c r="F1672">
        <v>7</v>
      </c>
      <c r="G1672">
        <v>346.39</v>
      </c>
      <c r="H1672" t="s">
        <v>28</v>
      </c>
      <c r="I1672" t="s">
        <v>2426</v>
      </c>
      <c r="J1672" t="s">
        <v>38</v>
      </c>
      <c r="K1672" t="s">
        <v>59</v>
      </c>
      <c r="L1672" t="s">
        <v>60</v>
      </c>
      <c r="M1672" t="s">
        <v>84</v>
      </c>
      <c r="N1672">
        <f>Sheet1[[#This Row],[Quantity]]*Sheet1[[#This Row],[UnitPrice]]</f>
        <v>2424.73</v>
      </c>
    </row>
    <row r="1673" spans="1:14" x14ac:dyDescent="0.3">
      <c r="A1673" s="1">
        <v>45608</v>
      </c>
      <c r="B1673" t="s">
        <v>1253</v>
      </c>
      <c r="C1673" t="s">
        <v>25</v>
      </c>
      <c r="D1673" t="s">
        <v>26</v>
      </c>
      <c r="E1673" t="s">
        <v>17</v>
      </c>
      <c r="F1673">
        <v>7</v>
      </c>
      <c r="G1673">
        <v>381.19</v>
      </c>
      <c r="H1673" t="s">
        <v>68</v>
      </c>
      <c r="I1673" t="s">
        <v>2427</v>
      </c>
      <c r="J1673" t="s">
        <v>20</v>
      </c>
      <c r="K1673" t="s">
        <v>21</v>
      </c>
      <c r="L1673" t="s">
        <v>39</v>
      </c>
      <c r="M1673" t="s">
        <v>84</v>
      </c>
      <c r="N1673">
        <f>Sheet1[[#This Row],[Quantity]]*Sheet1[[#This Row],[UnitPrice]]</f>
        <v>2668.33</v>
      </c>
    </row>
    <row r="1674" spans="1:14" x14ac:dyDescent="0.3">
      <c r="A1674" s="1">
        <v>45576</v>
      </c>
      <c r="B1674" t="s">
        <v>1500</v>
      </c>
      <c r="C1674" t="s">
        <v>101</v>
      </c>
      <c r="D1674" t="s">
        <v>16</v>
      </c>
      <c r="E1674" t="s">
        <v>27</v>
      </c>
      <c r="F1674">
        <v>4</v>
      </c>
      <c r="G1674">
        <v>268.92</v>
      </c>
      <c r="H1674" t="s">
        <v>28</v>
      </c>
      <c r="I1674" t="s">
        <v>2428</v>
      </c>
      <c r="J1674" t="s">
        <v>44</v>
      </c>
      <c r="K1674" t="s">
        <v>59</v>
      </c>
      <c r="L1674" t="s">
        <v>22</v>
      </c>
      <c r="M1674" t="s">
        <v>40</v>
      </c>
      <c r="N1674">
        <f>Sheet1[[#This Row],[Quantity]]*Sheet1[[#This Row],[UnitPrice]]</f>
        <v>1075.68</v>
      </c>
    </row>
    <row r="1675" spans="1:14" x14ac:dyDescent="0.3">
      <c r="A1675" s="1">
        <v>45662</v>
      </c>
      <c r="B1675" t="s">
        <v>196</v>
      </c>
      <c r="C1675" t="s">
        <v>34</v>
      </c>
      <c r="D1675" t="s">
        <v>47</v>
      </c>
      <c r="E1675" t="s">
        <v>52</v>
      </c>
      <c r="F1675">
        <v>7</v>
      </c>
      <c r="G1675">
        <v>33.799999999999997</v>
      </c>
      <c r="H1675" t="s">
        <v>36</v>
      </c>
      <c r="I1675" t="s">
        <v>2429</v>
      </c>
      <c r="J1675" t="s">
        <v>44</v>
      </c>
      <c r="K1675" t="s">
        <v>59</v>
      </c>
      <c r="L1675" t="s">
        <v>60</v>
      </c>
      <c r="M1675" t="s">
        <v>61</v>
      </c>
      <c r="N1675">
        <f>Sheet1[[#This Row],[Quantity]]*Sheet1[[#This Row],[UnitPrice]]</f>
        <v>236.59999999999997</v>
      </c>
    </row>
    <row r="1676" spans="1:14" x14ac:dyDescent="0.3">
      <c r="A1676" s="1">
        <v>45178</v>
      </c>
      <c r="B1676" t="s">
        <v>1620</v>
      </c>
      <c r="C1676" t="s">
        <v>34</v>
      </c>
      <c r="D1676" t="s">
        <v>26</v>
      </c>
      <c r="E1676" t="s">
        <v>35</v>
      </c>
      <c r="F1676">
        <v>9</v>
      </c>
      <c r="G1676">
        <v>112.07</v>
      </c>
      <c r="H1676" t="s">
        <v>68</v>
      </c>
      <c r="I1676" t="s">
        <v>2430</v>
      </c>
      <c r="J1676" t="s">
        <v>38</v>
      </c>
      <c r="K1676" t="s">
        <v>59</v>
      </c>
      <c r="L1676" t="s">
        <v>22</v>
      </c>
      <c r="M1676" t="s">
        <v>23</v>
      </c>
      <c r="N1676">
        <f>Sheet1[[#This Row],[Quantity]]*Sheet1[[#This Row],[UnitPrice]]</f>
        <v>1008.6299999999999</v>
      </c>
    </row>
    <row r="1677" spans="1:14" x14ac:dyDescent="0.3">
      <c r="A1677" s="1">
        <v>45064</v>
      </c>
      <c r="B1677" t="s">
        <v>246</v>
      </c>
      <c r="C1677" t="s">
        <v>56</v>
      </c>
      <c r="D1677" t="s">
        <v>26</v>
      </c>
      <c r="E1677" t="s">
        <v>27</v>
      </c>
      <c r="F1677">
        <v>9</v>
      </c>
      <c r="G1677">
        <v>29.42</v>
      </c>
      <c r="H1677" t="s">
        <v>68</v>
      </c>
      <c r="I1677" t="s">
        <v>2431</v>
      </c>
      <c r="J1677" t="s">
        <v>44</v>
      </c>
      <c r="K1677" t="s">
        <v>31</v>
      </c>
      <c r="L1677" t="s">
        <v>39</v>
      </c>
      <c r="M1677" t="s">
        <v>32</v>
      </c>
      <c r="N1677">
        <f>Sheet1[[#This Row],[Quantity]]*Sheet1[[#This Row],[UnitPrice]]</f>
        <v>264.78000000000003</v>
      </c>
    </row>
    <row r="1678" spans="1:14" x14ac:dyDescent="0.3">
      <c r="A1678" s="1">
        <v>44972</v>
      </c>
      <c r="B1678" t="s">
        <v>999</v>
      </c>
      <c r="C1678" t="s">
        <v>51</v>
      </c>
      <c r="D1678" t="s">
        <v>26</v>
      </c>
      <c r="E1678" t="s">
        <v>64</v>
      </c>
      <c r="F1678">
        <v>4</v>
      </c>
      <c r="G1678">
        <v>93.92</v>
      </c>
      <c r="H1678" t="s">
        <v>68</v>
      </c>
      <c r="I1678" t="s">
        <v>2432</v>
      </c>
      <c r="J1678" t="s">
        <v>30</v>
      </c>
      <c r="K1678" t="s">
        <v>45</v>
      </c>
      <c r="L1678" t="s">
        <v>60</v>
      </c>
      <c r="M1678" t="s">
        <v>76</v>
      </c>
      <c r="N1678">
        <f>Sheet1[[#This Row],[Quantity]]*Sheet1[[#This Row],[UnitPrice]]</f>
        <v>375.68</v>
      </c>
    </row>
    <row r="1679" spans="1:14" x14ac:dyDescent="0.3">
      <c r="A1679" s="1">
        <v>45624</v>
      </c>
      <c r="B1679" t="s">
        <v>127</v>
      </c>
      <c r="C1679" t="s">
        <v>51</v>
      </c>
      <c r="D1679" t="s">
        <v>47</v>
      </c>
      <c r="E1679" t="s">
        <v>27</v>
      </c>
      <c r="F1679">
        <v>2</v>
      </c>
      <c r="G1679">
        <v>328.66</v>
      </c>
      <c r="H1679" t="s">
        <v>53</v>
      </c>
      <c r="I1679" t="s">
        <v>2433</v>
      </c>
      <c r="J1679" t="s">
        <v>38</v>
      </c>
      <c r="K1679" t="s">
        <v>45</v>
      </c>
      <c r="L1679" t="s">
        <v>39</v>
      </c>
      <c r="M1679" t="s">
        <v>32</v>
      </c>
      <c r="N1679">
        <f>Sheet1[[#This Row],[Quantity]]*Sheet1[[#This Row],[UnitPrice]]</f>
        <v>657.32</v>
      </c>
    </row>
    <row r="1680" spans="1:14" x14ac:dyDescent="0.3">
      <c r="A1680" s="1">
        <v>45081</v>
      </c>
      <c r="B1680" t="s">
        <v>553</v>
      </c>
      <c r="C1680" t="s">
        <v>78</v>
      </c>
      <c r="D1680" t="s">
        <v>47</v>
      </c>
      <c r="E1680" t="s">
        <v>27</v>
      </c>
      <c r="F1680">
        <v>3</v>
      </c>
      <c r="G1680">
        <v>60.13</v>
      </c>
      <c r="H1680" t="s">
        <v>18</v>
      </c>
      <c r="I1680" t="s">
        <v>2434</v>
      </c>
      <c r="J1680" t="s">
        <v>30</v>
      </c>
      <c r="K1680" t="s">
        <v>21</v>
      </c>
      <c r="L1680" t="s">
        <v>22</v>
      </c>
      <c r="M1680" t="s">
        <v>61</v>
      </c>
      <c r="N1680">
        <f>Sheet1[[#This Row],[Quantity]]*Sheet1[[#This Row],[UnitPrice]]</f>
        <v>180.39000000000001</v>
      </c>
    </row>
    <row r="1681" spans="1:14" x14ac:dyDescent="0.3">
      <c r="A1681" s="1">
        <v>45234</v>
      </c>
      <c r="B1681" t="s">
        <v>1365</v>
      </c>
      <c r="C1681" t="s">
        <v>15</v>
      </c>
      <c r="D1681" t="s">
        <v>47</v>
      </c>
      <c r="E1681" t="s">
        <v>17</v>
      </c>
      <c r="F1681">
        <v>2</v>
      </c>
      <c r="G1681">
        <v>139.88999999999999</v>
      </c>
      <c r="H1681" t="s">
        <v>53</v>
      </c>
      <c r="I1681" t="s">
        <v>2435</v>
      </c>
      <c r="J1681" t="s">
        <v>58</v>
      </c>
      <c r="K1681" t="s">
        <v>45</v>
      </c>
      <c r="L1681" t="s">
        <v>60</v>
      </c>
      <c r="M1681" t="s">
        <v>23</v>
      </c>
      <c r="N1681">
        <f>Sheet1[[#This Row],[Quantity]]*Sheet1[[#This Row],[UnitPrice]]</f>
        <v>279.77999999999997</v>
      </c>
    </row>
    <row r="1682" spans="1:14" x14ac:dyDescent="0.3">
      <c r="A1682" s="1">
        <v>45809</v>
      </c>
      <c r="B1682" t="s">
        <v>395</v>
      </c>
      <c r="C1682" t="s">
        <v>51</v>
      </c>
      <c r="D1682" t="s">
        <v>26</v>
      </c>
      <c r="E1682" t="s">
        <v>67</v>
      </c>
      <c r="F1682">
        <v>10</v>
      </c>
      <c r="G1682">
        <v>258.14</v>
      </c>
      <c r="H1682" t="s">
        <v>36</v>
      </c>
      <c r="I1682" t="s">
        <v>2436</v>
      </c>
      <c r="J1682" t="s">
        <v>58</v>
      </c>
      <c r="K1682" t="s">
        <v>31</v>
      </c>
      <c r="L1682" t="s">
        <v>22</v>
      </c>
      <c r="M1682" t="s">
        <v>61</v>
      </c>
      <c r="N1682">
        <f>Sheet1[[#This Row],[Quantity]]*Sheet1[[#This Row],[UnitPrice]]</f>
        <v>2581.3999999999996</v>
      </c>
    </row>
    <row r="1683" spans="1:14" x14ac:dyDescent="0.3">
      <c r="A1683" s="1">
        <v>44939</v>
      </c>
      <c r="B1683" t="s">
        <v>2437</v>
      </c>
      <c r="C1683" t="s">
        <v>25</v>
      </c>
      <c r="D1683" t="s">
        <v>26</v>
      </c>
      <c r="E1683" t="s">
        <v>64</v>
      </c>
      <c r="F1683">
        <v>8</v>
      </c>
      <c r="G1683">
        <v>236.42</v>
      </c>
      <c r="H1683" t="s">
        <v>28</v>
      </c>
      <c r="I1683" t="s">
        <v>2438</v>
      </c>
      <c r="J1683" t="s">
        <v>20</v>
      </c>
      <c r="K1683" t="s">
        <v>59</v>
      </c>
      <c r="L1683" t="s">
        <v>39</v>
      </c>
      <c r="M1683" t="s">
        <v>40</v>
      </c>
      <c r="N1683">
        <f>Sheet1[[#This Row],[Quantity]]*Sheet1[[#This Row],[UnitPrice]]</f>
        <v>1891.36</v>
      </c>
    </row>
    <row r="1684" spans="1:14" x14ac:dyDescent="0.3">
      <c r="A1684" s="1">
        <v>45453</v>
      </c>
      <c r="B1684" t="s">
        <v>308</v>
      </c>
      <c r="C1684" t="s">
        <v>90</v>
      </c>
      <c r="D1684" t="s">
        <v>74</v>
      </c>
      <c r="E1684" t="s">
        <v>52</v>
      </c>
      <c r="F1684">
        <v>1</v>
      </c>
      <c r="G1684">
        <v>309.89</v>
      </c>
      <c r="H1684" t="s">
        <v>36</v>
      </c>
      <c r="I1684" t="s">
        <v>2439</v>
      </c>
      <c r="J1684" t="s">
        <v>38</v>
      </c>
      <c r="K1684" t="s">
        <v>21</v>
      </c>
      <c r="L1684" t="s">
        <v>22</v>
      </c>
      <c r="M1684" t="s">
        <v>49</v>
      </c>
      <c r="N1684">
        <f>Sheet1[[#This Row],[Quantity]]*Sheet1[[#This Row],[UnitPrice]]</f>
        <v>309.89</v>
      </c>
    </row>
    <row r="1685" spans="1:14" x14ac:dyDescent="0.3">
      <c r="A1685" s="1">
        <v>45433</v>
      </c>
      <c r="B1685" t="s">
        <v>599</v>
      </c>
      <c r="C1685" t="s">
        <v>78</v>
      </c>
      <c r="D1685" t="s">
        <v>47</v>
      </c>
      <c r="E1685" t="s">
        <v>35</v>
      </c>
      <c r="F1685">
        <v>7</v>
      </c>
      <c r="G1685">
        <v>291.64</v>
      </c>
      <c r="H1685" t="s">
        <v>68</v>
      </c>
      <c r="I1685" t="s">
        <v>2440</v>
      </c>
      <c r="J1685" t="s">
        <v>58</v>
      </c>
      <c r="K1685" t="s">
        <v>31</v>
      </c>
      <c r="L1685" t="s">
        <v>22</v>
      </c>
      <c r="M1685" t="s">
        <v>84</v>
      </c>
      <c r="N1685">
        <f>Sheet1[[#This Row],[Quantity]]*Sheet1[[#This Row],[UnitPrice]]</f>
        <v>2041.48</v>
      </c>
    </row>
    <row r="1686" spans="1:14" x14ac:dyDescent="0.3">
      <c r="A1686" s="1">
        <v>45785</v>
      </c>
      <c r="B1686" t="s">
        <v>1456</v>
      </c>
      <c r="C1686" t="s">
        <v>73</v>
      </c>
      <c r="D1686" t="s">
        <v>74</v>
      </c>
      <c r="E1686" t="s">
        <v>35</v>
      </c>
      <c r="F1686">
        <v>10</v>
      </c>
      <c r="G1686">
        <v>84.01</v>
      </c>
      <c r="H1686" t="s">
        <v>53</v>
      </c>
      <c r="I1686" t="s">
        <v>2441</v>
      </c>
      <c r="J1686" t="s">
        <v>38</v>
      </c>
      <c r="K1686" t="s">
        <v>45</v>
      </c>
      <c r="L1686" t="s">
        <v>60</v>
      </c>
      <c r="M1686" t="s">
        <v>32</v>
      </c>
      <c r="N1686">
        <f>Sheet1[[#This Row],[Quantity]]*Sheet1[[#This Row],[UnitPrice]]</f>
        <v>840.1</v>
      </c>
    </row>
    <row r="1687" spans="1:14" x14ac:dyDescent="0.3">
      <c r="A1687" s="1">
        <v>45194</v>
      </c>
      <c r="B1687" t="s">
        <v>1029</v>
      </c>
      <c r="C1687" t="s">
        <v>15</v>
      </c>
      <c r="D1687" t="s">
        <v>47</v>
      </c>
      <c r="E1687" t="s">
        <v>42</v>
      </c>
      <c r="F1687">
        <v>3</v>
      </c>
      <c r="G1687">
        <v>60.66</v>
      </c>
      <c r="H1687" t="s">
        <v>53</v>
      </c>
      <c r="I1687" t="s">
        <v>2442</v>
      </c>
      <c r="J1687" t="s">
        <v>44</v>
      </c>
      <c r="K1687" t="s">
        <v>21</v>
      </c>
      <c r="L1687" t="s">
        <v>60</v>
      </c>
      <c r="M1687" t="s">
        <v>49</v>
      </c>
      <c r="N1687">
        <f>Sheet1[[#This Row],[Quantity]]*Sheet1[[#This Row],[UnitPrice]]</f>
        <v>181.98</v>
      </c>
    </row>
    <row r="1688" spans="1:14" x14ac:dyDescent="0.3">
      <c r="A1688" s="1">
        <v>45702</v>
      </c>
      <c r="B1688" t="s">
        <v>704</v>
      </c>
      <c r="C1688" t="s">
        <v>56</v>
      </c>
      <c r="D1688" t="s">
        <v>47</v>
      </c>
      <c r="E1688" t="s">
        <v>67</v>
      </c>
      <c r="F1688">
        <v>5</v>
      </c>
      <c r="G1688">
        <v>364.23</v>
      </c>
      <c r="H1688" t="s">
        <v>68</v>
      </c>
      <c r="I1688" t="s">
        <v>2443</v>
      </c>
      <c r="J1688" t="s">
        <v>20</v>
      </c>
      <c r="K1688" t="s">
        <v>45</v>
      </c>
      <c r="L1688" t="s">
        <v>22</v>
      </c>
      <c r="M1688" t="s">
        <v>40</v>
      </c>
      <c r="N1688">
        <f>Sheet1[[#This Row],[Quantity]]*Sheet1[[#This Row],[UnitPrice]]</f>
        <v>1821.15</v>
      </c>
    </row>
    <row r="1689" spans="1:14" x14ac:dyDescent="0.3">
      <c r="A1689" s="1">
        <v>45159</v>
      </c>
      <c r="B1689" t="s">
        <v>152</v>
      </c>
      <c r="C1689" t="s">
        <v>90</v>
      </c>
      <c r="D1689" t="s">
        <v>47</v>
      </c>
      <c r="E1689" t="s">
        <v>35</v>
      </c>
      <c r="F1689">
        <v>7</v>
      </c>
      <c r="G1689">
        <v>55.08</v>
      </c>
      <c r="H1689" t="s">
        <v>36</v>
      </c>
      <c r="I1689" t="s">
        <v>2444</v>
      </c>
      <c r="J1689" t="s">
        <v>44</v>
      </c>
      <c r="K1689" t="s">
        <v>21</v>
      </c>
      <c r="L1689" t="s">
        <v>60</v>
      </c>
      <c r="M1689" t="s">
        <v>49</v>
      </c>
      <c r="N1689">
        <f>Sheet1[[#This Row],[Quantity]]*Sheet1[[#This Row],[UnitPrice]]</f>
        <v>385.56</v>
      </c>
    </row>
    <row r="1690" spans="1:14" x14ac:dyDescent="0.3">
      <c r="A1690" s="1">
        <v>45399</v>
      </c>
      <c r="B1690" t="s">
        <v>2036</v>
      </c>
      <c r="C1690" t="s">
        <v>51</v>
      </c>
      <c r="D1690" t="s">
        <v>16</v>
      </c>
      <c r="E1690" t="s">
        <v>27</v>
      </c>
      <c r="F1690">
        <v>2</v>
      </c>
      <c r="G1690">
        <v>235.68</v>
      </c>
      <c r="H1690" t="s">
        <v>36</v>
      </c>
      <c r="I1690" t="s">
        <v>2445</v>
      </c>
      <c r="J1690" t="s">
        <v>58</v>
      </c>
      <c r="K1690" t="s">
        <v>21</v>
      </c>
      <c r="L1690" t="s">
        <v>22</v>
      </c>
      <c r="M1690" t="s">
        <v>76</v>
      </c>
      <c r="N1690">
        <f>Sheet1[[#This Row],[Quantity]]*Sheet1[[#This Row],[UnitPrice]]</f>
        <v>471.36</v>
      </c>
    </row>
    <row r="1691" spans="1:14" x14ac:dyDescent="0.3">
      <c r="A1691" s="1">
        <v>45304</v>
      </c>
      <c r="B1691" t="s">
        <v>2270</v>
      </c>
      <c r="C1691" t="s">
        <v>25</v>
      </c>
      <c r="D1691" t="s">
        <v>16</v>
      </c>
      <c r="E1691" t="s">
        <v>42</v>
      </c>
      <c r="F1691">
        <v>10</v>
      </c>
      <c r="G1691">
        <v>278.33</v>
      </c>
      <c r="H1691" t="s">
        <v>36</v>
      </c>
      <c r="I1691" t="s">
        <v>2446</v>
      </c>
      <c r="J1691" t="s">
        <v>38</v>
      </c>
      <c r="K1691" t="s">
        <v>59</v>
      </c>
      <c r="L1691" t="s">
        <v>22</v>
      </c>
      <c r="M1691" t="s">
        <v>23</v>
      </c>
      <c r="N1691">
        <f>Sheet1[[#This Row],[Quantity]]*Sheet1[[#This Row],[UnitPrice]]</f>
        <v>2783.2999999999997</v>
      </c>
    </row>
    <row r="1692" spans="1:14" x14ac:dyDescent="0.3">
      <c r="A1692" s="1">
        <v>45685</v>
      </c>
      <c r="B1692" t="s">
        <v>103</v>
      </c>
      <c r="C1692" t="s">
        <v>51</v>
      </c>
      <c r="D1692" t="s">
        <v>16</v>
      </c>
      <c r="E1692" t="s">
        <v>67</v>
      </c>
      <c r="F1692">
        <v>7</v>
      </c>
      <c r="G1692">
        <v>334.22</v>
      </c>
      <c r="H1692" t="s">
        <v>68</v>
      </c>
      <c r="I1692" t="s">
        <v>2447</v>
      </c>
      <c r="J1692" t="s">
        <v>20</v>
      </c>
      <c r="K1692" t="s">
        <v>21</v>
      </c>
      <c r="L1692" t="s">
        <v>39</v>
      </c>
      <c r="M1692" t="s">
        <v>84</v>
      </c>
      <c r="N1692">
        <f>Sheet1[[#This Row],[Quantity]]*Sheet1[[#This Row],[UnitPrice]]</f>
        <v>2339.54</v>
      </c>
    </row>
    <row r="1693" spans="1:14" x14ac:dyDescent="0.3">
      <c r="A1693" s="1">
        <v>45097</v>
      </c>
      <c r="B1693" t="s">
        <v>333</v>
      </c>
      <c r="C1693" t="s">
        <v>90</v>
      </c>
      <c r="D1693" t="s">
        <v>16</v>
      </c>
      <c r="E1693" t="s">
        <v>64</v>
      </c>
      <c r="F1693">
        <v>9</v>
      </c>
      <c r="G1693">
        <v>316.2</v>
      </c>
      <c r="H1693" t="s">
        <v>68</v>
      </c>
      <c r="I1693" t="s">
        <v>2448</v>
      </c>
      <c r="J1693" t="s">
        <v>38</v>
      </c>
      <c r="K1693" t="s">
        <v>45</v>
      </c>
      <c r="L1693" t="s">
        <v>39</v>
      </c>
      <c r="M1693" t="s">
        <v>84</v>
      </c>
      <c r="N1693">
        <f>Sheet1[[#This Row],[Quantity]]*Sheet1[[#This Row],[UnitPrice]]</f>
        <v>2845.7999999999997</v>
      </c>
    </row>
    <row r="1694" spans="1:14" x14ac:dyDescent="0.3">
      <c r="A1694" s="1">
        <v>45567</v>
      </c>
      <c r="B1694" t="s">
        <v>1557</v>
      </c>
      <c r="C1694" t="s">
        <v>56</v>
      </c>
      <c r="D1694" t="s">
        <v>26</v>
      </c>
      <c r="E1694" t="s">
        <v>27</v>
      </c>
      <c r="F1694">
        <v>9</v>
      </c>
      <c r="G1694">
        <v>261.12</v>
      </c>
      <c r="H1694" t="s">
        <v>28</v>
      </c>
      <c r="I1694" t="s">
        <v>2449</v>
      </c>
      <c r="J1694" t="s">
        <v>20</v>
      </c>
      <c r="K1694" t="s">
        <v>21</v>
      </c>
      <c r="L1694" t="s">
        <v>22</v>
      </c>
      <c r="M1694" t="s">
        <v>76</v>
      </c>
      <c r="N1694">
        <f>Sheet1[[#This Row],[Quantity]]*Sheet1[[#This Row],[UnitPrice]]</f>
        <v>2350.08</v>
      </c>
    </row>
    <row r="1695" spans="1:14" x14ac:dyDescent="0.3">
      <c r="A1695" s="1">
        <v>45234</v>
      </c>
      <c r="B1695" t="s">
        <v>2450</v>
      </c>
      <c r="C1695" t="s">
        <v>51</v>
      </c>
      <c r="D1695" t="s">
        <v>26</v>
      </c>
      <c r="E1695" t="s">
        <v>17</v>
      </c>
      <c r="F1695">
        <v>5</v>
      </c>
      <c r="G1695">
        <v>152.94999999999999</v>
      </c>
      <c r="H1695" t="s">
        <v>53</v>
      </c>
      <c r="I1695" t="s">
        <v>2451</v>
      </c>
      <c r="J1695" t="s">
        <v>20</v>
      </c>
      <c r="K1695" t="s">
        <v>59</v>
      </c>
      <c r="L1695" t="s">
        <v>22</v>
      </c>
      <c r="M1695" t="s">
        <v>23</v>
      </c>
      <c r="N1695">
        <f>Sheet1[[#This Row],[Quantity]]*Sheet1[[#This Row],[UnitPrice]]</f>
        <v>764.75</v>
      </c>
    </row>
    <row r="1696" spans="1:14" x14ac:dyDescent="0.3">
      <c r="A1696" s="1">
        <v>45496</v>
      </c>
      <c r="B1696" t="s">
        <v>1807</v>
      </c>
      <c r="C1696" t="s">
        <v>101</v>
      </c>
      <c r="D1696" t="s">
        <v>47</v>
      </c>
      <c r="E1696" t="s">
        <v>27</v>
      </c>
      <c r="F1696">
        <v>1</v>
      </c>
      <c r="G1696">
        <v>273.63</v>
      </c>
      <c r="H1696" t="s">
        <v>28</v>
      </c>
      <c r="I1696" t="s">
        <v>2452</v>
      </c>
      <c r="J1696" t="s">
        <v>58</v>
      </c>
      <c r="K1696" t="s">
        <v>31</v>
      </c>
      <c r="L1696" t="s">
        <v>39</v>
      </c>
      <c r="M1696" t="s">
        <v>84</v>
      </c>
      <c r="N1696">
        <f>Sheet1[[#This Row],[Quantity]]*Sheet1[[#This Row],[UnitPrice]]</f>
        <v>273.63</v>
      </c>
    </row>
    <row r="1697" spans="1:14" x14ac:dyDescent="0.3">
      <c r="A1697" s="1">
        <v>45288</v>
      </c>
      <c r="B1697" t="s">
        <v>225</v>
      </c>
      <c r="C1697" t="s">
        <v>101</v>
      </c>
      <c r="D1697" t="s">
        <v>74</v>
      </c>
      <c r="E1697" t="s">
        <v>17</v>
      </c>
      <c r="F1697">
        <v>2</v>
      </c>
      <c r="G1697">
        <v>100.43</v>
      </c>
      <c r="H1697" t="s">
        <v>28</v>
      </c>
      <c r="I1697" t="s">
        <v>2453</v>
      </c>
      <c r="J1697" t="s">
        <v>30</v>
      </c>
      <c r="K1697" t="s">
        <v>21</v>
      </c>
      <c r="L1697" t="s">
        <v>60</v>
      </c>
      <c r="M1697" t="s">
        <v>32</v>
      </c>
      <c r="N1697">
        <f>Sheet1[[#This Row],[Quantity]]*Sheet1[[#This Row],[UnitPrice]]</f>
        <v>200.86</v>
      </c>
    </row>
    <row r="1698" spans="1:14" x14ac:dyDescent="0.3">
      <c r="A1698" s="1">
        <v>45023</v>
      </c>
      <c r="B1698" t="s">
        <v>1297</v>
      </c>
      <c r="C1698" t="s">
        <v>34</v>
      </c>
      <c r="D1698" t="s">
        <v>26</v>
      </c>
      <c r="E1698" t="s">
        <v>17</v>
      </c>
      <c r="F1698">
        <v>4</v>
      </c>
      <c r="G1698">
        <v>129.51</v>
      </c>
      <c r="H1698" t="s">
        <v>28</v>
      </c>
      <c r="I1698" t="s">
        <v>2454</v>
      </c>
      <c r="J1698" t="s">
        <v>30</v>
      </c>
      <c r="K1698" t="s">
        <v>59</v>
      </c>
      <c r="L1698" t="s">
        <v>39</v>
      </c>
      <c r="M1698" t="s">
        <v>40</v>
      </c>
      <c r="N1698">
        <f>Sheet1[[#This Row],[Quantity]]*Sheet1[[#This Row],[UnitPrice]]</f>
        <v>518.04</v>
      </c>
    </row>
    <row r="1699" spans="1:14" x14ac:dyDescent="0.3">
      <c r="A1699" s="1">
        <v>44974</v>
      </c>
      <c r="B1699" t="s">
        <v>2455</v>
      </c>
      <c r="C1699" t="s">
        <v>78</v>
      </c>
      <c r="D1699" t="s">
        <v>26</v>
      </c>
      <c r="E1699" t="s">
        <v>35</v>
      </c>
      <c r="F1699">
        <v>1</v>
      </c>
      <c r="G1699">
        <v>196.22</v>
      </c>
      <c r="H1699" t="s">
        <v>68</v>
      </c>
      <c r="I1699" t="s">
        <v>2456</v>
      </c>
      <c r="J1699" t="s">
        <v>30</v>
      </c>
      <c r="K1699" t="s">
        <v>45</v>
      </c>
      <c r="L1699" t="s">
        <v>39</v>
      </c>
      <c r="M1699" t="s">
        <v>40</v>
      </c>
      <c r="N1699">
        <f>Sheet1[[#This Row],[Quantity]]*Sheet1[[#This Row],[UnitPrice]]</f>
        <v>196.22</v>
      </c>
    </row>
    <row r="1700" spans="1:14" x14ac:dyDescent="0.3">
      <c r="A1700" s="1">
        <v>45740</v>
      </c>
      <c r="B1700" t="s">
        <v>829</v>
      </c>
      <c r="C1700" t="s">
        <v>101</v>
      </c>
      <c r="D1700" t="s">
        <v>26</v>
      </c>
      <c r="E1700" t="s">
        <v>17</v>
      </c>
      <c r="F1700">
        <v>9</v>
      </c>
      <c r="G1700">
        <v>341.6</v>
      </c>
      <c r="H1700" t="s">
        <v>28</v>
      </c>
      <c r="I1700" t="s">
        <v>2457</v>
      </c>
      <c r="J1700" t="s">
        <v>58</v>
      </c>
      <c r="K1700" t="s">
        <v>59</v>
      </c>
      <c r="L1700" t="s">
        <v>39</v>
      </c>
      <c r="M1700" t="s">
        <v>49</v>
      </c>
      <c r="N1700">
        <f>Sheet1[[#This Row],[Quantity]]*Sheet1[[#This Row],[UnitPrice]]</f>
        <v>3074.4</v>
      </c>
    </row>
    <row r="1701" spans="1:14" x14ac:dyDescent="0.3">
      <c r="A1701" s="1">
        <v>45152</v>
      </c>
      <c r="B1701" t="s">
        <v>1201</v>
      </c>
      <c r="C1701" t="s">
        <v>56</v>
      </c>
      <c r="D1701" t="s">
        <v>26</v>
      </c>
      <c r="E1701" t="s">
        <v>52</v>
      </c>
      <c r="F1701">
        <v>1</v>
      </c>
      <c r="G1701">
        <v>371.27</v>
      </c>
      <c r="H1701" t="s">
        <v>68</v>
      </c>
      <c r="I1701" t="s">
        <v>2458</v>
      </c>
      <c r="J1701" t="s">
        <v>30</v>
      </c>
      <c r="K1701" t="s">
        <v>21</v>
      </c>
      <c r="L1701" t="s">
        <v>22</v>
      </c>
      <c r="M1701" t="s">
        <v>49</v>
      </c>
      <c r="N1701">
        <f>Sheet1[[#This Row],[Quantity]]*Sheet1[[#This Row],[UnitPrice]]</f>
        <v>371.27</v>
      </c>
    </row>
    <row r="1702" spans="1:14" x14ac:dyDescent="0.3">
      <c r="A1702" s="1">
        <v>45487</v>
      </c>
      <c r="B1702" t="s">
        <v>127</v>
      </c>
      <c r="C1702" t="s">
        <v>51</v>
      </c>
      <c r="D1702" t="s">
        <v>74</v>
      </c>
      <c r="E1702" t="s">
        <v>35</v>
      </c>
      <c r="F1702">
        <v>5</v>
      </c>
      <c r="G1702">
        <v>132.68</v>
      </c>
      <c r="H1702" t="s">
        <v>28</v>
      </c>
      <c r="I1702" t="s">
        <v>2459</v>
      </c>
      <c r="J1702" t="s">
        <v>58</v>
      </c>
      <c r="K1702" t="s">
        <v>45</v>
      </c>
      <c r="L1702" t="s">
        <v>39</v>
      </c>
      <c r="M1702" t="s">
        <v>61</v>
      </c>
      <c r="N1702">
        <f>Sheet1[[#This Row],[Quantity]]*Sheet1[[#This Row],[UnitPrice]]</f>
        <v>663.40000000000009</v>
      </c>
    </row>
    <row r="1703" spans="1:14" x14ac:dyDescent="0.3">
      <c r="A1703" s="1">
        <v>45763</v>
      </c>
      <c r="B1703" t="s">
        <v>109</v>
      </c>
      <c r="C1703" t="s">
        <v>51</v>
      </c>
      <c r="D1703" t="s">
        <v>16</v>
      </c>
      <c r="E1703" t="s">
        <v>42</v>
      </c>
      <c r="F1703">
        <v>3</v>
      </c>
      <c r="G1703">
        <v>21.15</v>
      </c>
      <c r="H1703" t="s">
        <v>28</v>
      </c>
      <c r="I1703" t="s">
        <v>2460</v>
      </c>
      <c r="J1703" t="s">
        <v>20</v>
      </c>
      <c r="K1703" t="s">
        <v>21</v>
      </c>
      <c r="L1703" t="s">
        <v>39</v>
      </c>
      <c r="M1703" t="s">
        <v>76</v>
      </c>
      <c r="N1703">
        <f>Sheet1[[#This Row],[Quantity]]*Sheet1[[#This Row],[UnitPrice]]</f>
        <v>63.449999999999996</v>
      </c>
    </row>
    <row r="1704" spans="1:14" x14ac:dyDescent="0.3">
      <c r="A1704" s="1">
        <v>45049</v>
      </c>
      <c r="B1704" t="s">
        <v>1159</v>
      </c>
      <c r="C1704" t="s">
        <v>25</v>
      </c>
      <c r="D1704" t="s">
        <v>47</v>
      </c>
      <c r="E1704" t="s">
        <v>27</v>
      </c>
      <c r="F1704">
        <v>7</v>
      </c>
      <c r="G1704">
        <v>262.11</v>
      </c>
      <c r="H1704" t="s">
        <v>36</v>
      </c>
      <c r="I1704" t="s">
        <v>2461</v>
      </c>
      <c r="J1704" t="s">
        <v>58</v>
      </c>
      <c r="K1704" t="s">
        <v>21</v>
      </c>
      <c r="L1704" t="s">
        <v>22</v>
      </c>
      <c r="M1704" t="s">
        <v>76</v>
      </c>
      <c r="N1704">
        <f>Sheet1[[#This Row],[Quantity]]*Sheet1[[#This Row],[UnitPrice]]</f>
        <v>1834.77</v>
      </c>
    </row>
    <row r="1705" spans="1:14" x14ac:dyDescent="0.3">
      <c r="A1705" s="1">
        <v>45351</v>
      </c>
      <c r="B1705" t="s">
        <v>1070</v>
      </c>
      <c r="C1705" t="s">
        <v>15</v>
      </c>
      <c r="D1705" t="s">
        <v>16</v>
      </c>
      <c r="E1705" t="s">
        <v>35</v>
      </c>
      <c r="F1705">
        <v>4</v>
      </c>
      <c r="G1705">
        <v>20.86</v>
      </c>
      <c r="H1705" t="s">
        <v>36</v>
      </c>
      <c r="I1705" t="s">
        <v>2462</v>
      </c>
      <c r="J1705" t="s">
        <v>20</v>
      </c>
      <c r="K1705" t="s">
        <v>31</v>
      </c>
      <c r="L1705" t="s">
        <v>22</v>
      </c>
      <c r="M1705" t="s">
        <v>32</v>
      </c>
      <c r="N1705">
        <f>Sheet1[[#This Row],[Quantity]]*Sheet1[[#This Row],[UnitPrice]]</f>
        <v>83.44</v>
      </c>
    </row>
    <row r="1706" spans="1:14" x14ac:dyDescent="0.3">
      <c r="A1706" s="1">
        <v>45834</v>
      </c>
      <c r="B1706" t="s">
        <v>1144</v>
      </c>
      <c r="C1706" t="s">
        <v>73</v>
      </c>
      <c r="D1706" t="s">
        <v>26</v>
      </c>
      <c r="E1706" t="s">
        <v>27</v>
      </c>
      <c r="F1706">
        <v>5</v>
      </c>
      <c r="G1706">
        <v>350.15</v>
      </c>
      <c r="H1706" t="s">
        <v>68</v>
      </c>
      <c r="I1706" t="s">
        <v>2463</v>
      </c>
      <c r="J1706" t="s">
        <v>44</v>
      </c>
      <c r="K1706" t="s">
        <v>21</v>
      </c>
      <c r="L1706" t="s">
        <v>39</v>
      </c>
      <c r="M1706" t="s">
        <v>32</v>
      </c>
      <c r="N1706">
        <f>Sheet1[[#This Row],[Quantity]]*Sheet1[[#This Row],[UnitPrice]]</f>
        <v>1750.75</v>
      </c>
    </row>
    <row r="1707" spans="1:14" x14ac:dyDescent="0.3">
      <c r="A1707" s="1">
        <v>45773</v>
      </c>
      <c r="B1707" t="s">
        <v>2464</v>
      </c>
      <c r="C1707" t="s">
        <v>51</v>
      </c>
      <c r="D1707" t="s">
        <v>16</v>
      </c>
      <c r="E1707" t="s">
        <v>42</v>
      </c>
      <c r="F1707">
        <v>2</v>
      </c>
      <c r="G1707">
        <v>302.49</v>
      </c>
      <c r="H1707" t="s">
        <v>53</v>
      </c>
      <c r="I1707" t="s">
        <v>2465</v>
      </c>
      <c r="J1707" t="s">
        <v>20</v>
      </c>
      <c r="K1707" t="s">
        <v>31</v>
      </c>
      <c r="L1707" t="s">
        <v>60</v>
      </c>
      <c r="M1707" t="s">
        <v>23</v>
      </c>
      <c r="N1707">
        <f>Sheet1[[#This Row],[Quantity]]*Sheet1[[#This Row],[UnitPrice]]</f>
        <v>604.98</v>
      </c>
    </row>
    <row r="1708" spans="1:14" x14ac:dyDescent="0.3">
      <c r="A1708" s="1">
        <v>44998</v>
      </c>
      <c r="B1708" t="s">
        <v>1167</v>
      </c>
      <c r="C1708" t="s">
        <v>25</v>
      </c>
      <c r="D1708" t="s">
        <v>74</v>
      </c>
      <c r="E1708" t="s">
        <v>35</v>
      </c>
      <c r="F1708">
        <v>1</v>
      </c>
      <c r="G1708">
        <v>42.78</v>
      </c>
      <c r="H1708" t="s">
        <v>18</v>
      </c>
      <c r="I1708" t="s">
        <v>2466</v>
      </c>
      <c r="J1708" t="s">
        <v>58</v>
      </c>
      <c r="K1708" t="s">
        <v>45</v>
      </c>
      <c r="L1708" t="s">
        <v>60</v>
      </c>
      <c r="M1708" t="s">
        <v>49</v>
      </c>
      <c r="N1708">
        <f>Sheet1[[#This Row],[Quantity]]*Sheet1[[#This Row],[UnitPrice]]</f>
        <v>42.78</v>
      </c>
    </row>
    <row r="1709" spans="1:14" x14ac:dyDescent="0.3">
      <c r="A1709" s="1">
        <v>45071</v>
      </c>
      <c r="B1709" t="s">
        <v>1190</v>
      </c>
      <c r="C1709" t="s">
        <v>73</v>
      </c>
      <c r="D1709" t="s">
        <v>47</v>
      </c>
      <c r="E1709" t="s">
        <v>67</v>
      </c>
      <c r="F1709">
        <v>2</v>
      </c>
      <c r="G1709">
        <v>126.37</v>
      </c>
      <c r="H1709" t="s">
        <v>28</v>
      </c>
      <c r="I1709" t="s">
        <v>2467</v>
      </c>
      <c r="J1709" t="s">
        <v>20</v>
      </c>
      <c r="K1709" t="s">
        <v>21</v>
      </c>
      <c r="L1709" t="s">
        <v>39</v>
      </c>
      <c r="M1709" t="s">
        <v>32</v>
      </c>
      <c r="N1709">
        <f>Sheet1[[#This Row],[Quantity]]*Sheet1[[#This Row],[UnitPrice]]</f>
        <v>252.74</v>
      </c>
    </row>
    <row r="1710" spans="1:14" x14ac:dyDescent="0.3">
      <c r="A1710" s="1">
        <v>45359</v>
      </c>
      <c r="B1710" t="s">
        <v>167</v>
      </c>
      <c r="C1710" t="s">
        <v>15</v>
      </c>
      <c r="D1710" t="s">
        <v>16</v>
      </c>
      <c r="E1710" t="s">
        <v>17</v>
      </c>
      <c r="F1710">
        <v>2</v>
      </c>
      <c r="G1710">
        <v>151.88999999999999</v>
      </c>
      <c r="H1710" t="s">
        <v>18</v>
      </c>
      <c r="I1710" t="s">
        <v>2468</v>
      </c>
      <c r="J1710" t="s">
        <v>30</v>
      </c>
      <c r="K1710" t="s">
        <v>59</v>
      </c>
      <c r="L1710" t="s">
        <v>22</v>
      </c>
      <c r="M1710" t="s">
        <v>40</v>
      </c>
      <c r="N1710">
        <f>Sheet1[[#This Row],[Quantity]]*Sheet1[[#This Row],[UnitPrice]]</f>
        <v>303.77999999999997</v>
      </c>
    </row>
    <row r="1711" spans="1:14" x14ac:dyDescent="0.3">
      <c r="A1711" s="1">
        <v>44956</v>
      </c>
      <c r="B1711" t="s">
        <v>1100</v>
      </c>
      <c r="C1711" t="s">
        <v>51</v>
      </c>
      <c r="D1711" t="s">
        <v>74</v>
      </c>
      <c r="E1711" t="s">
        <v>52</v>
      </c>
      <c r="F1711">
        <v>7</v>
      </c>
      <c r="G1711">
        <v>29.59</v>
      </c>
      <c r="H1711" t="s">
        <v>28</v>
      </c>
      <c r="I1711" t="s">
        <v>2469</v>
      </c>
      <c r="J1711" t="s">
        <v>44</v>
      </c>
      <c r="K1711" t="s">
        <v>21</v>
      </c>
      <c r="L1711" t="s">
        <v>22</v>
      </c>
      <c r="M1711" t="s">
        <v>49</v>
      </c>
      <c r="N1711">
        <f>Sheet1[[#This Row],[Quantity]]*Sheet1[[#This Row],[UnitPrice]]</f>
        <v>207.13</v>
      </c>
    </row>
    <row r="1712" spans="1:14" x14ac:dyDescent="0.3">
      <c r="A1712" s="1">
        <v>45439</v>
      </c>
      <c r="B1712" t="s">
        <v>853</v>
      </c>
      <c r="C1712" t="s">
        <v>73</v>
      </c>
      <c r="D1712" t="s">
        <v>47</v>
      </c>
      <c r="E1712" t="s">
        <v>64</v>
      </c>
      <c r="F1712">
        <v>2</v>
      </c>
      <c r="G1712">
        <v>322.73</v>
      </c>
      <c r="H1712" t="s">
        <v>53</v>
      </c>
      <c r="I1712" t="s">
        <v>2470</v>
      </c>
      <c r="J1712" t="s">
        <v>44</v>
      </c>
      <c r="K1712" t="s">
        <v>59</v>
      </c>
      <c r="L1712" t="s">
        <v>22</v>
      </c>
      <c r="M1712" t="s">
        <v>49</v>
      </c>
      <c r="N1712">
        <f>Sheet1[[#This Row],[Quantity]]*Sheet1[[#This Row],[UnitPrice]]</f>
        <v>645.46</v>
      </c>
    </row>
    <row r="1713" spans="1:14" x14ac:dyDescent="0.3">
      <c r="A1713" s="1">
        <v>45566</v>
      </c>
      <c r="B1713" t="s">
        <v>628</v>
      </c>
      <c r="C1713" t="s">
        <v>78</v>
      </c>
      <c r="D1713" t="s">
        <v>16</v>
      </c>
      <c r="E1713" t="s">
        <v>35</v>
      </c>
      <c r="F1713">
        <v>9</v>
      </c>
      <c r="G1713">
        <v>184.8</v>
      </c>
      <c r="H1713" t="s">
        <v>36</v>
      </c>
      <c r="I1713" t="s">
        <v>2471</v>
      </c>
      <c r="J1713" t="s">
        <v>44</v>
      </c>
      <c r="K1713" t="s">
        <v>45</v>
      </c>
      <c r="L1713" t="s">
        <v>60</v>
      </c>
      <c r="M1713" t="s">
        <v>84</v>
      </c>
      <c r="N1713">
        <f>Sheet1[[#This Row],[Quantity]]*Sheet1[[#This Row],[UnitPrice]]</f>
        <v>1663.2</v>
      </c>
    </row>
    <row r="1714" spans="1:14" x14ac:dyDescent="0.3">
      <c r="A1714" s="1">
        <v>45733</v>
      </c>
      <c r="B1714" t="s">
        <v>14</v>
      </c>
      <c r="C1714" t="s">
        <v>25</v>
      </c>
      <c r="D1714" t="s">
        <v>16</v>
      </c>
      <c r="E1714" t="s">
        <v>64</v>
      </c>
      <c r="F1714">
        <v>5</v>
      </c>
      <c r="G1714">
        <v>106.95</v>
      </c>
      <c r="H1714" t="s">
        <v>68</v>
      </c>
      <c r="I1714" t="s">
        <v>2472</v>
      </c>
      <c r="J1714" t="s">
        <v>38</v>
      </c>
      <c r="K1714" t="s">
        <v>59</v>
      </c>
      <c r="L1714" t="s">
        <v>22</v>
      </c>
      <c r="M1714" t="s">
        <v>49</v>
      </c>
      <c r="N1714">
        <f>Sheet1[[#This Row],[Quantity]]*Sheet1[[#This Row],[UnitPrice]]</f>
        <v>534.75</v>
      </c>
    </row>
    <row r="1715" spans="1:14" x14ac:dyDescent="0.3">
      <c r="A1715" s="1">
        <v>45068</v>
      </c>
      <c r="B1715" t="s">
        <v>1642</v>
      </c>
      <c r="C1715" t="s">
        <v>101</v>
      </c>
      <c r="D1715" t="s">
        <v>26</v>
      </c>
      <c r="E1715" t="s">
        <v>42</v>
      </c>
      <c r="F1715">
        <v>1</v>
      </c>
      <c r="G1715">
        <v>257.74</v>
      </c>
      <c r="H1715" t="s">
        <v>28</v>
      </c>
      <c r="I1715" t="s">
        <v>2473</v>
      </c>
      <c r="J1715" t="s">
        <v>20</v>
      </c>
      <c r="K1715" t="s">
        <v>59</v>
      </c>
      <c r="L1715" t="s">
        <v>22</v>
      </c>
      <c r="M1715" t="s">
        <v>49</v>
      </c>
      <c r="N1715">
        <f>Sheet1[[#This Row],[Quantity]]*Sheet1[[#This Row],[UnitPrice]]</f>
        <v>257.74</v>
      </c>
    </row>
    <row r="1716" spans="1:14" x14ac:dyDescent="0.3">
      <c r="A1716" s="1">
        <v>44969</v>
      </c>
      <c r="B1716" t="s">
        <v>1263</v>
      </c>
      <c r="C1716" t="s">
        <v>90</v>
      </c>
      <c r="D1716" t="s">
        <v>26</v>
      </c>
      <c r="E1716" t="s">
        <v>67</v>
      </c>
      <c r="F1716">
        <v>9</v>
      </c>
      <c r="G1716">
        <v>117.58</v>
      </c>
      <c r="H1716" t="s">
        <v>28</v>
      </c>
      <c r="I1716" t="s">
        <v>2474</v>
      </c>
      <c r="J1716" t="s">
        <v>30</v>
      </c>
      <c r="K1716" t="s">
        <v>45</v>
      </c>
      <c r="L1716" t="s">
        <v>22</v>
      </c>
      <c r="M1716" t="s">
        <v>61</v>
      </c>
      <c r="N1716">
        <f>Sheet1[[#This Row],[Quantity]]*Sheet1[[#This Row],[UnitPrice]]</f>
        <v>1058.22</v>
      </c>
    </row>
    <row r="1717" spans="1:14" x14ac:dyDescent="0.3">
      <c r="A1717" s="1">
        <v>45454</v>
      </c>
      <c r="B1717" t="s">
        <v>2475</v>
      </c>
      <c r="C1717" t="s">
        <v>73</v>
      </c>
      <c r="D1717" t="s">
        <v>16</v>
      </c>
      <c r="E1717" t="s">
        <v>27</v>
      </c>
      <c r="F1717">
        <v>1</v>
      </c>
      <c r="G1717">
        <v>16.02</v>
      </c>
      <c r="H1717" t="s">
        <v>28</v>
      </c>
      <c r="I1717" t="s">
        <v>2476</v>
      </c>
      <c r="J1717" t="s">
        <v>30</v>
      </c>
      <c r="K1717" t="s">
        <v>21</v>
      </c>
      <c r="L1717" t="s">
        <v>22</v>
      </c>
      <c r="M1717" t="s">
        <v>84</v>
      </c>
      <c r="N1717">
        <f>Sheet1[[#This Row],[Quantity]]*Sheet1[[#This Row],[UnitPrice]]</f>
        <v>16.02</v>
      </c>
    </row>
    <row r="1718" spans="1:14" x14ac:dyDescent="0.3">
      <c r="A1718" s="1">
        <v>45497</v>
      </c>
      <c r="B1718" t="s">
        <v>438</v>
      </c>
      <c r="C1718" t="s">
        <v>78</v>
      </c>
      <c r="D1718" t="s">
        <v>16</v>
      </c>
      <c r="E1718" t="s">
        <v>17</v>
      </c>
      <c r="F1718">
        <v>7</v>
      </c>
      <c r="G1718">
        <v>108.08</v>
      </c>
      <c r="H1718" t="s">
        <v>68</v>
      </c>
      <c r="I1718" t="s">
        <v>2477</v>
      </c>
      <c r="J1718" t="s">
        <v>44</v>
      </c>
      <c r="K1718" t="s">
        <v>31</v>
      </c>
      <c r="L1718" t="s">
        <v>39</v>
      </c>
      <c r="M1718" t="s">
        <v>76</v>
      </c>
      <c r="N1718">
        <f>Sheet1[[#This Row],[Quantity]]*Sheet1[[#This Row],[UnitPrice]]</f>
        <v>756.56</v>
      </c>
    </row>
    <row r="1719" spans="1:14" x14ac:dyDescent="0.3">
      <c r="A1719" s="1">
        <v>45242</v>
      </c>
      <c r="B1719" t="s">
        <v>373</v>
      </c>
      <c r="C1719" t="s">
        <v>34</v>
      </c>
      <c r="D1719" t="s">
        <v>74</v>
      </c>
      <c r="E1719" t="s">
        <v>17</v>
      </c>
      <c r="F1719">
        <v>9</v>
      </c>
      <c r="G1719">
        <v>137.26</v>
      </c>
      <c r="H1719" t="s">
        <v>28</v>
      </c>
      <c r="I1719" t="s">
        <v>2478</v>
      </c>
      <c r="J1719" t="s">
        <v>20</v>
      </c>
      <c r="K1719" t="s">
        <v>59</v>
      </c>
      <c r="L1719" t="s">
        <v>39</v>
      </c>
      <c r="M1719" t="s">
        <v>61</v>
      </c>
      <c r="N1719">
        <f>Sheet1[[#This Row],[Quantity]]*Sheet1[[#This Row],[UnitPrice]]</f>
        <v>1235.3399999999999</v>
      </c>
    </row>
    <row r="1720" spans="1:14" x14ac:dyDescent="0.3">
      <c r="A1720" s="1">
        <v>45469</v>
      </c>
      <c r="B1720" t="s">
        <v>1109</v>
      </c>
      <c r="C1720" t="s">
        <v>15</v>
      </c>
      <c r="D1720" t="s">
        <v>26</v>
      </c>
      <c r="E1720" t="s">
        <v>27</v>
      </c>
      <c r="F1720">
        <v>5</v>
      </c>
      <c r="G1720">
        <v>206.39</v>
      </c>
      <c r="H1720" t="s">
        <v>68</v>
      </c>
      <c r="I1720" t="s">
        <v>2479</v>
      </c>
      <c r="J1720" t="s">
        <v>20</v>
      </c>
      <c r="K1720" t="s">
        <v>21</v>
      </c>
      <c r="L1720" t="s">
        <v>22</v>
      </c>
      <c r="M1720" t="s">
        <v>76</v>
      </c>
      <c r="N1720">
        <f>Sheet1[[#This Row],[Quantity]]*Sheet1[[#This Row],[UnitPrice]]</f>
        <v>1031.9499999999998</v>
      </c>
    </row>
    <row r="1721" spans="1:14" x14ac:dyDescent="0.3">
      <c r="A1721" s="1">
        <v>45715</v>
      </c>
      <c r="B1721" t="s">
        <v>1765</v>
      </c>
      <c r="C1721" t="s">
        <v>73</v>
      </c>
      <c r="D1721" t="s">
        <v>47</v>
      </c>
      <c r="E1721" t="s">
        <v>52</v>
      </c>
      <c r="F1721">
        <v>3</v>
      </c>
      <c r="G1721">
        <v>375.7</v>
      </c>
      <c r="H1721" t="s">
        <v>36</v>
      </c>
      <c r="I1721" t="s">
        <v>2480</v>
      </c>
      <c r="J1721" t="s">
        <v>20</v>
      </c>
      <c r="K1721" t="s">
        <v>45</v>
      </c>
      <c r="L1721" t="s">
        <v>22</v>
      </c>
      <c r="M1721" t="s">
        <v>32</v>
      </c>
      <c r="N1721">
        <f>Sheet1[[#This Row],[Quantity]]*Sheet1[[#This Row],[UnitPrice]]</f>
        <v>1127.0999999999999</v>
      </c>
    </row>
    <row r="1722" spans="1:14" x14ac:dyDescent="0.3">
      <c r="A1722" s="1">
        <v>45441</v>
      </c>
      <c r="B1722" t="s">
        <v>357</v>
      </c>
      <c r="C1722" t="s">
        <v>73</v>
      </c>
      <c r="D1722" t="s">
        <v>26</v>
      </c>
      <c r="E1722" t="s">
        <v>27</v>
      </c>
      <c r="F1722">
        <v>2</v>
      </c>
      <c r="G1722">
        <v>257.27</v>
      </c>
      <c r="H1722" t="s">
        <v>28</v>
      </c>
      <c r="I1722" t="s">
        <v>2481</v>
      </c>
      <c r="J1722" t="s">
        <v>58</v>
      </c>
      <c r="K1722" t="s">
        <v>59</v>
      </c>
      <c r="L1722" t="s">
        <v>60</v>
      </c>
      <c r="M1722" t="s">
        <v>76</v>
      </c>
      <c r="N1722">
        <f>Sheet1[[#This Row],[Quantity]]*Sheet1[[#This Row],[UnitPrice]]</f>
        <v>514.54</v>
      </c>
    </row>
    <row r="1723" spans="1:14" x14ac:dyDescent="0.3">
      <c r="A1723" s="1">
        <v>45697</v>
      </c>
      <c r="B1723" t="s">
        <v>596</v>
      </c>
      <c r="C1723" t="s">
        <v>51</v>
      </c>
      <c r="D1723" t="s">
        <v>16</v>
      </c>
      <c r="E1723" t="s">
        <v>27</v>
      </c>
      <c r="F1723">
        <v>7</v>
      </c>
      <c r="G1723">
        <v>44.59</v>
      </c>
      <c r="H1723" t="s">
        <v>68</v>
      </c>
      <c r="I1723" t="s">
        <v>2482</v>
      </c>
      <c r="J1723" t="s">
        <v>30</v>
      </c>
      <c r="K1723" t="s">
        <v>59</v>
      </c>
      <c r="L1723" t="s">
        <v>60</v>
      </c>
      <c r="M1723" t="s">
        <v>61</v>
      </c>
      <c r="N1723">
        <f>Sheet1[[#This Row],[Quantity]]*Sheet1[[#This Row],[UnitPrice]]</f>
        <v>312.13</v>
      </c>
    </row>
    <row r="1724" spans="1:14" x14ac:dyDescent="0.3">
      <c r="A1724" s="1">
        <v>45439</v>
      </c>
      <c r="B1724" t="s">
        <v>223</v>
      </c>
      <c r="C1724" t="s">
        <v>56</v>
      </c>
      <c r="D1724" t="s">
        <v>16</v>
      </c>
      <c r="E1724" t="s">
        <v>67</v>
      </c>
      <c r="F1724">
        <v>9</v>
      </c>
      <c r="G1724">
        <v>309.23</v>
      </c>
      <c r="H1724" t="s">
        <v>68</v>
      </c>
      <c r="I1724" t="s">
        <v>2483</v>
      </c>
      <c r="J1724" t="s">
        <v>38</v>
      </c>
      <c r="K1724" t="s">
        <v>45</v>
      </c>
      <c r="L1724" t="s">
        <v>60</v>
      </c>
      <c r="M1724" t="s">
        <v>49</v>
      </c>
      <c r="N1724">
        <f>Sheet1[[#This Row],[Quantity]]*Sheet1[[#This Row],[UnitPrice]]</f>
        <v>2783.07</v>
      </c>
    </row>
    <row r="1725" spans="1:14" x14ac:dyDescent="0.3">
      <c r="A1725" s="1">
        <v>45082</v>
      </c>
      <c r="B1725" t="s">
        <v>381</v>
      </c>
      <c r="C1725" t="s">
        <v>34</v>
      </c>
      <c r="D1725" t="s">
        <v>74</v>
      </c>
      <c r="E1725" t="s">
        <v>27</v>
      </c>
      <c r="F1725">
        <v>6</v>
      </c>
      <c r="G1725">
        <v>133.94</v>
      </c>
      <c r="H1725" t="s">
        <v>36</v>
      </c>
      <c r="I1725" t="s">
        <v>2484</v>
      </c>
      <c r="J1725" t="s">
        <v>20</v>
      </c>
      <c r="K1725" t="s">
        <v>31</v>
      </c>
      <c r="L1725" t="s">
        <v>39</v>
      </c>
      <c r="M1725" t="s">
        <v>49</v>
      </c>
      <c r="N1725">
        <f>Sheet1[[#This Row],[Quantity]]*Sheet1[[#This Row],[UnitPrice]]</f>
        <v>803.64</v>
      </c>
    </row>
    <row r="1726" spans="1:14" x14ac:dyDescent="0.3">
      <c r="A1726" s="1">
        <v>45162</v>
      </c>
      <c r="B1726" t="s">
        <v>2485</v>
      </c>
      <c r="C1726" t="s">
        <v>51</v>
      </c>
      <c r="D1726" t="s">
        <v>47</v>
      </c>
      <c r="E1726" t="s">
        <v>27</v>
      </c>
      <c r="F1726">
        <v>3</v>
      </c>
      <c r="G1726">
        <v>268.52</v>
      </c>
      <c r="H1726" t="s">
        <v>28</v>
      </c>
      <c r="I1726" t="s">
        <v>2486</v>
      </c>
      <c r="J1726" t="s">
        <v>20</v>
      </c>
      <c r="K1726" t="s">
        <v>21</v>
      </c>
      <c r="L1726" t="s">
        <v>39</v>
      </c>
      <c r="M1726" t="s">
        <v>32</v>
      </c>
      <c r="N1726">
        <f>Sheet1[[#This Row],[Quantity]]*Sheet1[[#This Row],[UnitPrice]]</f>
        <v>805.56</v>
      </c>
    </row>
    <row r="1727" spans="1:14" x14ac:dyDescent="0.3">
      <c r="A1727" s="1">
        <v>45299</v>
      </c>
      <c r="B1727" t="s">
        <v>502</v>
      </c>
      <c r="C1727" t="s">
        <v>101</v>
      </c>
      <c r="D1727" t="s">
        <v>74</v>
      </c>
      <c r="E1727" t="s">
        <v>64</v>
      </c>
      <c r="F1727">
        <v>6</v>
      </c>
      <c r="G1727">
        <v>181.74</v>
      </c>
      <c r="H1727" t="s">
        <v>28</v>
      </c>
      <c r="I1727" t="s">
        <v>2487</v>
      </c>
      <c r="J1727" t="s">
        <v>44</v>
      </c>
      <c r="K1727" t="s">
        <v>59</v>
      </c>
      <c r="L1727" t="s">
        <v>22</v>
      </c>
      <c r="M1727" t="s">
        <v>49</v>
      </c>
      <c r="N1727">
        <f>Sheet1[[#This Row],[Quantity]]*Sheet1[[#This Row],[UnitPrice]]</f>
        <v>1090.44</v>
      </c>
    </row>
    <row r="1728" spans="1:14" x14ac:dyDescent="0.3">
      <c r="A1728" s="1">
        <v>45510</v>
      </c>
      <c r="B1728" t="s">
        <v>1892</v>
      </c>
      <c r="C1728" t="s">
        <v>78</v>
      </c>
      <c r="D1728" t="s">
        <v>26</v>
      </c>
      <c r="E1728" t="s">
        <v>42</v>
      </c>
      <c r="F1728">
        <v>3</v>
      </c>
      <c r="G1728">
        <v>356.32</v>
      </c>
      <c r="H1728" t="s">
        <v>18</v>
      </c>
      <c r="I1728" t="s">
        <v>2488</v>
      </c>
      <c r="J1728" t="s">
        <v>20</v>
      </c>
      <c r="K1728" t="s">
        <v>59</v>
      </c>
      <c r="L1728" t="s">
        <v>39</v>
      </c>
      <c r="M1728" t="s">
        <v>84</v>
      </c>
      <c r="N1728">
        <f>Sheet1[[#This Row],[Quantity]]*Sheet1[[#This Row],[UnitPrice]]</f>
        <v>1068.96</v>
      </c>
    </row>
    <row r="1729" spans="1:14" x14ac:dyDescent="0.3">
      <c r="A1729" s="1">
        <v>44996</v>
      </c>
      <c r="B1729" t="s">
        <v>596</v>
      </c>
      <c r="C1729" t="s">
        <v>73</v>
      </c>
      <c r="D1729" t="s">
        <v>26</v>
      </c>
      <c r="E1729" t="s">
        <v>67</v>
      </c>
      <c r="F1729">
        <v>10</v>
      </c>
      <c r="G1729">
        <v>273.17</v>
      </c>
      <c r="H1729" t="s">
        <v>68</v>
      </c>
      <c r="I1729" t="s">
        <v>2489</v>
      </c>
      <c r="J1729" t="s">
        <v>30</v>
      </c>
      <c r="K1729" t="s">
        <v>59</v>
      </c>
      <c r="L1729" t="s">
        <v>60</v>
      </c>
      <c r="M1729" t="s">
        <v>23</v>
      </c>
      <c r="N1729">
        <f>Sheet1[[#This Row],[Quantity]]*Sheet1[[#This Row],[UnitPrice]]</f>
        <v>2731.7000000000003</v>
      </c>
    </row>
    <row r="1730" spans="1:14" x14ac:dyDescent="0.3">
      <c r="A1730" s="1">
        <v>45505</v>
      </c>
      <c r="B1730" t="s">
        <v>1320</v>
      </c>
      <c r="C1730" t="s">
        <v>15</v>
      </c>
      <c r="D1730" t="s">
        <v>74</v>
      </c>
      <c r="E1730" t="s">
        <v>64</v>
      </c>
      <c r="F1730">
        <v>5</v>
      </c>
      <c r="G1730">
        <v>386.61</v>
      </c>
      <c r="H1730" t="s">
        <v>68</v>
      </c>
      <c r="I1730" t="s">
        <v>2490</v>
      </c>
      <c r="J1730" t="s">
        <v>58</v>
      </c>
      <c r="K1730" t="s">
        <v>31</v>
      </c>
      <c r="L1730" t="s">
        <v>22</v>
      </c>
      <c r="M1730" t="s">
        <v>32</v>
      </c>
      <c r="N1730">
        <f>Sheet1[[#This Row],[Quantity]]*Sheet1[[#This Row],[UnitPrice]]</f>
        <v>1933.0500000000002</v>
      </c>
    </row>
    <row r="1731" spans="1:14" x14ac:dyDescent="0.3">
      <c r="A1731" s="1">
        <v>45251</v>
      </c>
      <c r="B1731" t="s">
        <v>1874</v>
      </c>
      <c r="C1731" t="s">
        <v>15</v>
      </c>
      <c r="D1731" t="s">
        <v>16</v>
      </c>
      <c r="E1731" t="s">
        <v>42</v>
      </c>
      <c r="F1731">
        <v>5</v>
      </c>
      <c r="G1731">
        <v>69.55</v>
      </c>
      <c r="H1731" t="s">
        <v>28</v>
      </c>
      <c r="I1731" t="s">
        <v>2491</v>
      </c>
      <c r="J1731" t="s">
        <v>38</v>
      </c>
      <c r="K1731" t="s">
        <v>21</v>
      </c>
      <c r="L1731" t="s">
        <v>22</v>
      </c>
      <c r="M1731" t="s">
        <v>84</v>
      </c>
      <c r="N1731">
        <f>Sheet1[[#This Row],[Quantity]]*Sheet1[[#This Row],[UnitPrice]]</f>
        <v>347.75</v>
      </c>
    </row>
    <row r="1732" spans="1:14" x14ac:dyDescent="0.3">
      <c r="A1732" s="1">
        <v>45020</v>
      </c>
      <c r="B1732" t="s">
        <v>1212</v>
      </c>
      <c r="C1732" t="s">
        <v>78</v>
      </c>
      <c r="D1732" t="s">
        <v>74</v>
      </c>
      <c r="E1732" t="s">
        <v>64</v>
      </c>
      <c r="F1732">
        <v>4</v>
      </c>
      <c r="G1732">
        <v>374.3</v>
      </c>
      <c r="H1732" t="s">
        <v>68</v>
      </c>
      <c r="I1732" t="s">
        <v>2492</v>
      </c>
      <c r="J1732" t="s">
        <v>44</v>
      </c>
      <c r="K1732" t="s">
        <v>31</v>
      </c>
      <c r="L1732" t="s">
        <v>60</v>
      </c>
      <c r="M1732" t="s">
        <v>84</v>
      </c>
      <c r="N1732">
        <f>Sheet1[[#This Row],[Quantity]]*Sheet1[[#This Row],[UnitPrice]]</f>
        <v>1497.2</v>
      </c>
    </row>
    <row r="1733" spans="1:14" x14ac:dyDescent="0.3">
      <c r="A1733" s="1">
        <v>45632</v>
      </c>
      <c r="B1733" t="s">
        <v>1448</v>
      </c>
      <c r="C1733" t="s">
        <v>90</v>
      </c>
      <c r="D1733" t="s">
        <v>26</v>
      </c>
      <c r="E1733" t="s">
        <v>67</v>
      </c>
      <c r="F1733">
        <v>2</v>
      </c>
      <c r="G1733">
        <v>34.03</v>
      </c>
      <c r="H1733" t="s">
        <v>28</v>
      </c>
      <c r="I1733" t="s">
        <v>2493</v>
      </c>
      <c r="J1733" t="s">
        <v>30</v>
      </c>
      <c r="K1733" t="s">
        <v>21</v>
      </c>
      <c r="L1733" t="s">
        <v>60</v>
      </c>
      <c r="M1733" t="s">
        <v>40</v>
      </c>
      <c r="N1733">
        <f>Sheet1[[#This Row],[Quantity]]*Sheet1[[#This Row],[UnitPrice]]</f>
        <v>68.06</v>
      </c>
    </row>
    <row r="1734" spans="1:14" x14ac:dyDescent="0.3">
      <c r="A1734" s="1">
        <v>45295</v>
      </c>
      <c r="B1734" t="s">
        <v>1203</v>
      </c>
      <c r="C1734" t="s">
        <v>73</v>
      </c>
      <c r="D1734" t="s">
        <v>74</v>
      </c>
      <c r="E1734" t="s">
        <v>67</v>
      </c>
      <c r="F1734">
        <v>8</v>
      </c>
      <c r="G1734">
        <v>21.25</v>
      </c>
      <c r="H1734" t="s">
        <v>53</v>
      </c>
      <c r="I1734" t="s">
        <v>2494</v>
      </c>
      <c r="J1734" t="s">
        <v>30</v>
      </c>
      <c r="K1734" t="s">
        <v>59</v>
      </c>
      <c r="L1734" t="s">
        <v>22</v>
      </c>
      <c r="M1734" t="s">
        <v>32</v>
      </c>
      <c r="N1734">
        <f>Sheet1[[#This Row],[Quantity]]*Sheet1[[#This Row],[UnitPrice]]</f>
        <v>170</v>
      </c>
    </row>
    <row r="1735" spans="1:14" x14ac:dyDescent="0.3">
      <c r="A1735" s="1">
        <v>45124</v>
      </c>
      <c r="B1735" t="s">
        <v>1041</v>
      </c>
      <c r="C1735" t="s">
        <v>101</v>
      </c>
      <c r="D1735" t="s">
        <v>74</v>
      </c>
      <c r="E1735" t="s">
        <v>27</v>
      </c>
      <c r="F1735">
        <v>9</v>
      </c>
      <c r="G1735">
        <v>126.15</v>
      </c>
      <c r="H1735" t="s">
        <v>68</v>
      </c>
      <c r="I1735" t="s">
        <v>2495</v>
      </c>
      <c r="J1735" t="s">
        <v>58</v>
      </c>
      <c r="K1735" t="s">
        <v>21</v>
      </c>
      <c r="L1735" t="s">
        <v>60</v>
      </c>
      <c r="M1735" t="s">
        <v>49</v>
      </c>
      <c r="N1735">
        <f>Sheet1[[#This Row],[Quantity]]*Sheet1[[#This Row],[UnitPrice]]</f>
        <v>1135.3500000000001</v>
      </c>
    </row>
    <row r="1736" spans="1:14" x14ac:dyDescent="0.3">
      <c r="A1736" s="1">
        <v>45718</v>
      </c>
      <c r="B1736" t="s">
        <v>752</v>
      </c>
      <c r="C1736" t="s">
        <v>51</v>
      </c>
      <c r="D1736" t="s">
        <v>16</v>
      </c>
      <c r="E1736" t="s">
        <v>35</v>
      </c>
      <c r="F1736">
        <v>9</v>
      </c>
      <c r="G1736">
        <v>204.16</v>
      </c>
      <c r="H1736" t="s">
        <v>28</v>
      </c>
      <c r="I1736" t="s">
        <v>2496</v>
      </c>
      <c r="J1736" t="s">
        <v>30</v>
      </c>
      <c r="K1736" t="s">
        <v>21</v>
      </c>
      <c r="L1736" t="s">
        <v>22</v>
      </c>
      <c r="M1736" t="s">
        <v>61</v>
      </c>
      <c r="N1736">
        <f>Sheet1[[#This Row],[Quantity]]*Sheet1[[#This Row],[UnitPrice]]</f>
        <v>1837.44</v>
      </c>
    </row>
    <row r="1737" spans="1:14" x14ac:dyDescent="0.3">
      <c r="A1737" s="1">
        <v>45696</v>
      </c>
      <c r="B1737" t="s">
        <v>2450</v>
      </c>
      <c r="C1737" t="s">
        <v>51</v>
      </c>
      <c r="D1737" t="s">
        <v>74</v>
      </c>
      <c r="E1737" t="s">
        <v>35</v>
      </c>
      <c r="F1737">
        <v>2</v>
      </c>
      <c r="G1737">
        <v>260.92</v>
      </c>
      <c r="H1737" t="s">
        <v>53</v>
      </c>
      <c r="I1737" t="s">
        <v>2497</v>
      </c>
      <c r="J1737" t="s">
        <v>58</v>
      </c>
      <c r="K1737" t="s">
        <v>59</v>
      </c>
      <c r="L1737" t="s">
        <v>22</v>
      </c>
      <c r="M1737" t="s">
        <v>23</v>
      </c>
      <c r="N1737">
        <f>Sheet1[[#This Row],[Quantity]]*Sheet1[[#This Row],[UnitPrice]]</f>
        <v>521.84</v>
      </c>
    </row>
    <row r="1738" spans="1:14" x14ac:dyDescent="0.3">
      <c r="A1738" s="1">
        <v>45510</v>
      </c>
      <c r="B1738" t="s">
        <v>46</v>
      </c>
      <c r="C1738" t="s">
        <v>101</v>
      </c>
      <c r="D1738" t="s">
        <v>26</v>
      </c>
      <c r="E1738" t="s">
        <v>52</v>
      </c>
      <c r="F1738">
        <v>2</v>
      </c>
      <c r="G1738">
        <v>133.31</v>
      </c>
      <c r="H1738" t="s">
        <v>18</v>
      </c>
      <c r="I1738" t="s">
        <v>2498</v>
      </c>
      <c r="J1738" t="s">
        <v>20</v>
      </c>
      <c r="K1738" t="s">
        <v>31</v>
      </c>
      <c r="L1738" t="s">
        <v>39</v>
      </c>
      <c r="M1738" t="s">
        <v>84</v>
      </c>
      <c r="N1738">
        <f>Sheet1[[#This Row],[Quantity]]*Sheet1[[#This Row],[UnitPrice]]</f>
        <v>266.62</v>
      </c>
    </row>
    <row r="1739" spans="1:14" x14ac:dyDescent="0.3">
      <c r="A1739" s="1">
        <v>45081</v>
      </c>
      <c r="B1739" t="s">
        <v>1506</v>
      </c>
      <c r="C1739" t="s">
        <v>101</v>
      </c>
      <c r="D1739" t="s">
        <v>47</v>
      </c>
      <c r="E1739" t="s">
        <v>52</v>
      </c>
      <c r="F1739">
        <v>9</v>
      </c>
      <c r="G1739">
        <v>281.94</v>
      </c>
      <c r="H1739" t="s">
        <v>36</v>
      </c>
      <c r="I1739" t="s">
        <v>2499</v>
      </c>
      <c r="J1739" t="s">
        <v>44</v>
      </c>
      <c r="K1739" t="s">
        <v>31</v>
      </c>
      <c r="L1739" t="s">
        <v>60</v>
      </c>
      <c r="M1739" t="s">
        <v>61</v>
      </c>
      <c r="N1739">
        <f>Sheet1[[#This Row],[Quantity]]*Sheet1[[#This Row],[UnitPrice]]</f>
        <v>2537.46</v>
      </c>
    </row>
    <row r="1740" spans="1:14" x14ac:dyDescent="0.3">
      <c r="A1740" s="1">
        <v>45637</v>
      </c>
      <c r="B1740" t="s">
        <v>1639</v>
      </c>
      <c r="C1740" t="s">
        <v>101</v>
      </c>
      <c r="D1740" t="s">
        <v>74</v>
      </c>
      <c r="E1740" t="s">
        <v>27</v>
      </c>
      <c r="F1740">
        <v>5</v>
      </c>
      <c r="G1740">
        <v>280.52999999999997</v>
      </c>
      <c r="H1740" t="s">
        <v>68</v>
      </c>
      <c r="I1740" t="s">
        <v>2500</v>
      </c>
      <c r="J1740" t="s">
        <v>20</v>
      </c>
      <c r="K1740" t="s">
        <v>31</v>
      </c>
      <c r="L1740" t="s">
        <v>22</v>
      </c>
      <c r="M1740" t="s">
        <v>76</v>
      </c>
      <c r="N1740">
        <f>Sheet1[[#This Row],[Quantity]]*Sheet1[[#This Row],[UnitPrice]]</f>
        <v>1402.6499999999999</v>
      </c>
    </row>
    <row r="1741" spans="1:14" x14ac:dyDescent="0.3">
      <c r="A1741" s="1">
        <v>45768</v>
      </c>
      <c r="B1741" t="s">
        <v>1106</v>
      </c>
      <c r="C1741" t="s">
        <v>90</v>
      </c>
      <c r="D1741" t="s">
        <v>16</v>
      </c>
      <c r="E1741" t="s">
        <v>27</v>
      </c>
      <c r="F1741">
        <v>3</v>
      </c>
      <c r="G1741">
        <v>200.9</v>
      </c>
      <c r="H1741" t="s">
        <v>68</v>
      </c>
      <c r="I1741" t="s">
        <v>2501</v>
      </c>
      <c r="J1741" t="s">
        <v>20</v>
      </c>
      <c r="K1741" t="s">
        <v>45</v>
      </c>
      <c r="L1741" t="s">
        <v>39</v>
      </c>
      <c r="M1741" t="s">
        <v>49</v>
      </c>
      <c r="N1741">
        <f>Sheet1[[#This Row],[Quantity]]*Sheet1[[#This Row],[UnitPrice]]</f>
        <v>602.70000000000005</v>
      </c>
    </row>
    <row r="1742" spans="1:14" x14ac:dyDescent="0.3">
      <c r="A1742" s="1">
        <v>45159</v>
      </c>
      <c r="B1742" t="s">
        <v>884</v>
      </c>
      <c r="C1742" t="s">
        <v>56</v>
      </c>
      <c r="D1742" t="s">
        <v>47</v>
      </c>
      <c r="E1742" t="s">
        <v>35</v>
      </c>
      <c r="F1742">
        <v>1</v>
      </c>
      <c r="G1742">
        <v>96.6</v>
      </c>
      <c r="H1742" t="s">
        <v>53</v>
      </c>
      <c r="I1742" t="s">
        <v>2502</v>
      </c>
      <c r="J1742" t="s">
        <v>30</v>
      </c>
      <c r="K1742" t="s">
        <v>45</v>
      </c>
      <c r="L1742" t="s">
        <v>22</v>
      </c>
      <c r="M1742" t="s">
        <v>49</v>
      </c>
      <c r="N1742">
        <f>Sheet1[[#This Row],[Quantity]]*Sheet1[[#This Row],[UnitPrice]]</f>
        <v>96.6</v>
      </c>
    </row>
    <row r="1743" spans="1:14" x14ac:dyDescent="0.3">
      <c r="A1743" s="1">
        <v>45410</v>
      </c>
      <c r="B1743" t="s">
        <v>647</v>
      </c>
      <c r="C1743" t="s">
        <v>56</v>
      </c>
      <c r="D1743" t="s">
        <v>26</v>
      </c>
      <c r="E1743" t="s">
        <v>52</v>
      </c>
      <c r="F1743">
        <v>8</v>
      </c>
      <c r="G1743">
        <v>76.790000000000006</v>
      </c>
      <c r="H1743" t="s">
        <v>18</v>
      </c>
      <c r="I1743" t="s">
        <v>2503</v>
      </c>
      <c r="J1743" t="s">
        <v>30</v>
      </c>
      <c r="K1743" t="s">
        <v>21</v>
      </c>
      <c r="L1743" t="s">
        <v>60</v>
      </c>
      <c r="M1743" t="s">
        <v>61</v>
      </c>
      <c r="N1743">
        <f>Sheet1[[#This Row],[Quantity]]*Sheet1[[#This Row],[UnitPrice]]</f>
        <v>614.32000000000005</v>
      </c>
    </row>
    <row r="1744" spans="1:14" x14ac:dyDescent="0.3">
      <c r="A1744" s="1">
        <v>45418</v>
      </c>
      <c r="B1744" t="s">
        <v>498</v>
      </c>
      <c r="C1744" t="s">
        <v>78</v>
      </c>
      <c r="D1744" t="s">
        <v>74</v>
      </c>
      <c r="E1744" t="s">
        <v>64</v>
      </c>
      <c r="F1744">
        <v>1</v>
      </c>
      <c r="G1744">
        <v>156.76</v>
      </c>
      <c r="H1744" t="s">
        <v>36</v>
      </c>
      <c r="I1744" t="s">
        <v>2504</v>
      </c>
      <c r="J1744" t="s">
        <v>58</v>
      </c>
      <c r="K1744" t="s">
        <v>31</v>
      </c>
      <c r="L1744" t="s">
        <v>22</v>
      </c>
      <c r="M1744" t="s">
        <v>49</v>
      </c>
      <c r="N1744">
        <f>Sheet1[[#This Row],[Quantity]]*Sheet1[[#This Row],[UnitPrice]]</f>
        <v>156.76</v>
      </c>
    </row>
    <row r="1745" spans="1:14" x14ac:dyDescent="0.3">
      <c r="A1745" s="1">
        <v>45184</v>
      </c>
      <c r="B1745" t="s">
        <v>2410</v>
      </c>
      <c r="C1745" t="s">
        <v>63</v>
      </c>
      <c r="D1745" t="s">
        <v>47</v>
      </c>
      <c r="E1745" t="s">
        <v>17</v>
      </c>
      <c r="F1745">
        <v>5</v>
      </c>
      <c r="G1745">
        <v>180.96</v>
      </c>
      <c r="H1745" t="s">
        <v>53</v>
      </c>
      <c r="I1745" t="s">
        <v>2505</v>
      </c>
      <c r="J1745" t="s">
        <v>38</v>
      </c>
      <c r="K1745" t="s">
        <v>59</v>
      </c>
      <c r="L1745" t="s">
        <v>22</v>
      </c>
      <c r="M1745" t="s">
        <v>40</v>
      </c>
      <c r="N1745">
        <f>Sheet1[[#This Row],[Quantity]]*Sheet1[[#This Row],[UnitPrice]]</f>
        <v>904.80000000000007</v>
      </c>
    </row>
    <row r="1746" spans="1:14" x14ac:dyDescent="0.3">
      <c r="A1746" s="1">
        <v>45437</v>
      </c>
      <c r="B1746" t="s">
        <v>2506</v>
      </c>
      <c r="C1746" t="s">
        <v>25</v>
      </c>
      <c r="D1746" t="s">
        <v>74</v>
      </c>
      <c r="E1746" t="s">
        <v>52</v>
      </c>
      <c r="F1746">
        <v>7</v>
      </c>
      <c r="G1746">
        <v>83.2</v>
      </c>
      <c r="H1746" t="s">
        <v>53</v>
      </c>
      <c r="I1746" t="s">
        <v>2507</v>
      </c>
      <c r="J1746" t="s">
        <v>44</v>
      </c>
      <c r="K1746" t="s">
        <v>59</v>
      </c>
      <c r="L1746" t="s">
        <v>22</v>
      </c>
      <c r="M1746" t="s">
        <v>23</v>
      </c>
      <c r="N1746">
        <f>Sheet1[[#This Row],[Quantity]]*Sheet1[[#This Row],[UnitPrice]]</f>
        <v>582.4</v>
      </c>
    </row>
    <row r="1747" spans="1:14" x14ac:dyDescent="0.3">
      <c r="A1747" s="1">
        <v>45203</v>
      </c>
      <c r="B1747" t="s">
        <v>180</v>
      </c>
      <c r="C1747" t="s">
        <v>78</v>
      </c>
      <c r="D1747" t="s">
        <v>26</v>
      </c>
      <c r="E1747" t="s">
        <v>27</v>
      </c>
      <c r="F1747">
        <v>4</v>
      </c>
      <c r="G1747">
        <v>30.7</v>
      </c>
      <c r="H1747" t="s">
        <v>36</v>
      </c>
      <c r="I1747" t="s">
        <v>2508</v>
      </c>
      <c r="J1747" t="s">
        <v>38</v>
      </c>
      <c r="K1747" t="s">
        <v>45</v>
      </c>
      <c r="L1747" t="s">
        <v>39</v>
      </c>
      <c r="M1747" t="s">
        <v>76</v>
      </c>
      <c r="N1747">
        <f>Sheet1[[#This Row],[Quantity]]*Sheet1[[#This Row],[UnitPrice]]</f>
        <v>122.8</v>
      </c>
    </row>
    <row r="1748" spans="1:14" x14ac:dyDescent="0.3">
      <c r="A1748" s="1">
        <v>45648</v>
      </c>
      <c r="B1748" t="s">
        <v>813</v>
      </c>
      <c r="C1748" t="s">
        <v>56</v>
      </c>
      <c r="D1748" t="s">
        <v>16</v>
      </c>
      <c r="E1748" t="s">
        <v>27</v>
      </c>
      <c r="F1748">
        <v>4</v>
      </c>
      <c r="G1748">
        <v>17.38</v>
      </c>
      <c r="H1748" t="s">
        <v>68</v>
      </c>
      <c r="I1748" t="s">
        <v>2509</v>
      </c>
      <c r="J1748" t="s">
        <v>58</v>
      </c>
      <c r="K1748" t="s">
        <v>45</v>
      </c>
      <c r="L1748" t="s">
        <v>22</v>
      </c>
      <c r="M1748" t="s">
        <v>61</v>
      </c>
      <c r="N1748">
        <f>Sheet1[[#This Row],[Quantity]]*Sheet1[[#This Row],[UnitPrice]]</f>
        <v>69.52</v>
      </c>
    </row>
    <row r="1749" spans="1:14" x14ac:dyDescent="0.3">
      <c r="A1749" s="1">
        <v>45724</v>
      </c>
      <c r="B1749" t="s">
        <v>1290</v>
      </c>
      <c r="C1749" t="s">
        <v>78</v>
      </c>
      <c r="D1749" t="s">
        <v>16</v>
      </c>
      <c r="E1749" t="s">
        <v>17</v>
      </c>
      <c r="F1749">
        <v>10</v>
      </c>
      <c r="G1749">
        <v>146.81</v>
      </c>
      <c r="H1749" t="s">
        <v>68</v>
      </c>
      <c r="I1749" t="s">
        <v>2510</v>
      </c>
      <c r="J1749" t="s">
        <v>44</v>
      </c>
      <c r="K1749" t="s">
        <v>31</v>
      </c>
      <c r="L1749" t="s">
        <v>60</v>
      </c>
      <c r="M1749" t="s">
        <v>23</v>
      </c>
      <c r="N1749">
        <f>Sheet1[[#This Row],[Quantity]]*Sheet1[[#This Row],[UnitPrice]]</f>
        <v>1468.1</v>
      </c>
    </row>
    <row r="1750" spans="1:14" x14ac:dyDescent="0.3">
      <c r="A1750" s="1">
        <v>45701</v>
      </c>
      <c r="B1750" t="s">
        <v>516</v>
      </c>
      <c r="C1750" t="s">
        <v>15</v>
      </c>
      <c r="D1750" t="s">
        <v>26</v>
      </c>
      <c r="E1750" t="s">
        <v>27</v>
      </c>
      <c r="F1750">
        <v>9</v>
      </c>
      <c r="G1750">
        <v>258.06</v>
      </c>
      <c r="H1750" t="s">
        <v>68</v>
      </c>
      <c r="I1750" t="s">
        <v>2511</v>
      </c>
      <c r="J1750" t="s">
        <v>38</v>
      </c>
      <c r="K1750" t="s">
        <v>45</v>
      </c>
      <c r="L1750" t="s">
        <v>60</v>
      </c>
      <c r="M1750" t="s">
        <v>32</v>
      </c>
      <c r="N1750">
        <f>Sheet1[[#This Row],[Quantity]]*Sheet1[[#This Row],[UnitPrice]]</f>
        <v>2322.54</v>
      </c>
    </row>
    <row r="1751" spans="1:14" x14ac:dyDescent="0.3">
      <c r="A1751" s="1">
        <v>45418</v>
      </c>
      <c r="B1751" t="s">
        <v>252</v>
      </c>
      <c r="C1751" t="s">
        <v>34</v>
      </c>
      <c r="D1751" t="s">
        <v>26</v>
      </c>
      <c r="E1751" t="s">
        <v>35</v>
      </c>
      <c r="F1751">
        <v>4</v>
      </c>
      <c r="G1751">
        <v>263.54000000000002</v>
      </c>
      <c r="H1751" t="s">
        <v>18</v>
      </c>
      <c r="I1751" t="s">
        <v>2512</v>
      </c>
      <c r="J1751" t="s">
        <v>20</v>
      </c>
      <c r="K1751" t="s">
        <v>45</v>
      </c>
      <c r="L1751" t="s">
        <v>22</v>
      </c>
      <c r="M1751" t="s">
        <v>49</v>
      </c>
      <c r="N1751">
        <f>Sheet1[[#This Row],[Quantity]]*Sheet1[[#This Row],[UnitPrice]]</f>
        <v>1054.1600000000001</v>
      </c>
    </row>
    <row r="1752" spans="1:14" x14ac:dyDescent="0.3">
      <c r="A1752" s="1">
        <v>45044</v>
      </c>
      <c r="B1752" t="s">
        <v>1613</v>
      </c>
      <c r="C1752" t="s">
        <v>63</v>
      </c>
      <c r="D1752" t="s">
        <v>74</v>
      </c>
      <c r="E1752" t="s">
        <v>52</v>
      </c>
      <c r="F1752">
        <v>1</v>
      </c>
      <c r="G1752">
        <v>258.83</v>
      </c>
      <c r="H1752" t="s">
        <v>36</v>
      </c>
      <c r="I1752" t="s">
        <v>2513</v>
      </c>
      <c r="J1752" t="s">
        <v>30</v>
      </c>
      <c r="K1752" t="s">
        <v>21</v>
      </c>
      <c r="L1752" t="s">
        <v>22</v>
      </c>
      <c r="M1752" t="s">
        <v>40</v>
      </c>
      <c r="N1752">
        <f>Sheet1[[#This Row],[Quantity]]*Sheet1[[#This Row],[UnitPrice]]</f>
        <v>258.83</v>
      </c>
    </row>
    <row r="1753" spans="1:14" x14ac:dyDescent="0.3">
      <c r="A1753" s="1">
        <v>45127</v>
      </c>
      <c r="B1753" t="s">
        <v>2514</v>
      </c>
      <c r="C1753" t="s">
        <v>73</v>
      </c>
      <c r="D1753" t="s">
        <v>74</v>
      </c>
      <c r="E1753" t="s">
        <v>17</v>
      </c>
      <c r="F1753">
        <v>6</v>
      </c>
      <c r="G1753">
        <v>320.45999999999998</v>
      </c>
      <c r="H1753" t="s">
        <v>28</v>
      </c>
      <c r="I1753" t="s">
        <v>2515</v>
      </c>
      <c r="J1753" t="s">
        <v>58</v>
      </c>
      <c r="K1753" t="s">
        <v>21</v>
      </c>
      <c r="L1753" t="s">
        <v>22</v>
      </c>
      <c r="M1753" t="s">
        <v>32</v>
      </c>
      <c r="N1753">
        <f>Sheet1[[#This Row],[Quantity]]*Sheet1[[#This Row],[UnitPrice]]</f>
        <v>1922.7599999999998</v>
      </c>
    </row>
    <row r="1754" spans="1:14" x14ac:dyDescent="0.3">
      <c r="A1754" s="1">
        <v>45557</v>
      </c>
      <c r="B1754" t="s">
        <v>178</v>
      </c>
      <c r="C1754" t="s">
        <v>73</v>
      </c>
      <c r="D1754" t="s">
        <v>74</v>
      </c>
      <c r="E1754" t="s">
        <v>52</v>
      </c>
      <c r="F1754">
        <v>9</v>
      </c>
      <c r="G1754">
        <v>331.31</v>
      </c>
      <c r="H1754" t="s">
        <v>36</v>
      </c>
      <c r="I1754" t="s">
        <v>2516</v>
      </c>
      <c r="J1754" t="s">
        <v>30</v>
      </c>
      <c r="K1754" t="s">
        <v>45</v>
      </c>
      <c r="L1754" t="s">
        <v>39</v>
      </c>
      <c r="M1754" t="s">
        <v>61</v>
      </c>
      <c r="N1754">
        <f>Sheet1[[#This Row],[Quantity]]*Sheet1[[#This Row],[UnitPrice]]</f>
        <v>2981.79</v>
      </c>
    </row>
    <row r="1755" spans="1:14" x14ac:dyDescent="0.3">
      <c r="A1755" s="1">
        <v>45246</v>
      </c>
      <c r="B1755" t="s">
        <v>2517</v>
      </c>
      <c r="C1755" t="s">
        <v>56</v>
      </c>
      <c r="D1755" t="s">
        <v>26</v>
      </c>
      <c r="E1755" t="s">
        <v>27</v>
      </c>
      <c r="F1755">
        <v>10</v>
      </c>
      <c r="G1755">
        <v>193.2</v>
      </c>
      <c r="H1755" t="s">
        <v>53</v>
      </c>
      <c r="I1755" t="s">
        <v>2518</v>
      </c>
      <c r="J1755" t="s">
        <v>44</v>
      </c>
      <c r="K1755" t="s">
        <v>45</v>
      </c>
      <c r="L1755" t="s">
        <v>39</v>
      </c>
      <c r="M1755" t="s">
        <v>32</v>
      </c>
      <c r="N1755">
        <f>Sheet1[[#This Row],[Quantity]]*Sheet1[[#This Row],[UnitPrice]]</f>
        <v>1932</v>
      </c>
    </row>
    <row r="1756" spans="1:14" x14ac:dyDescent="0.3">
      <c r="A1756" s="1">
        <v>45368</v>
      </c>
      <c r="B1756" t="s">
        <v>184</v>
      </c>
      <c r="C1756" t="s">
        <v>25</v>
      </c>
      <c r="D1756" t="s">
        <v>26</v>
      </c>
      <c r="E1756" t="s">
        <v>42</v>
      </c>
      <c r="F1756">
        <v>3</v>
      </c>
      <c r="G1756">
        <v>202.34</v>
      </c>
      <c r="H1756" t="s">
        <v>18</v>
      </c>
      <c r="I1756" t="s">
        <v>2519</v>
      </c>
      <c r="J1756" t="s">
        <v>38</v>
      </c>
      <c r="K1756" t="s">
        <v>45</v>
      </c>
      <c r="L1756" t="s">
        <v>39</v>
      </c>
      <c r="M1756" t="s">
        <v>61</v>
      </c>
      <c r="N1756">
        <f>Sheet1[[#This Row],[Quantity]]*Sheet1[[#This Row],[UnitPrice]]</f>
        <v>607.02</v>
      </c>
    </row>
    <row r="1757" spans="1:14" x14ac:dyDescent="0.3">
      <c r="A1757" s="1">
        <v>45699</v>
      </c>
      <c r="B1757" t="s">
        <v>92</v>
      </c>
      <c r="C1757" t="s">
        <v>51</v>
      </c>
      <c r="D1757" t="s">
        <v>47</v>
      </c>
      <c r="E1757" t="s">
        <v>17</v>
      </c>
      <c r="F1757">
        <v>1</v>
      </c>
      <c r="G1757">
        <v>94.87</v>
      </c>
      <c r="H1757" t="s">
        <v>68</v>
      </c>
      <c r="I1757" t="s">
        <v>2520</v>
      </c>
      <c r="J1757" t="s">
        <v>44</v>
      </c>
      <c r="K1757" t="s">
        <v>21</v>
      </c>
      <c r="L1757" t="s">
        <v>39</v>
      </c>
      <c r="M1757" t="s">
        <v>84</v>
      </c>
      <c r="N1757">
        <f>Sheet1[[#This Row],[Quantity]]*Sheet1[[#This Row],[UnitPrice]]</f>
        <v>94.87</v>
      </c>
    </row>
    <row r="1758" spans="1:14" x14ac:dyDescent="0.3">
      <c r="A1758" s="1">
        <v>45422</v>
      </c>
      <c r="B1758" t="s">
        <v>162</v>
      </c>
      <c r="C1758" t="s">
        <v>56</v>
      </c>
      <c r="D1758" t="s">
        <v>47</v>
      </c>
      <c r="E1758" t="s">
        <v>17</v>
      </c>
      <c r="F1758">
        <v>2</v>
      </c>
      <c r="G1758">
        <v>294.98</v>
      </c>
      <c r="H1758" t="s">
        <v>28</v>
      </c>
      <c r="I1758" t="s">
        <v>2521</v>
      </c>
      <c r="J1758" t="s">
        <v>20</v>
      </c>
      <c r="K1758" t="s">
        <v>21</v>
      </c>
      <c r="L1758" t="s">
        <v>22</v>
      </c>
      <c r="M1758" t="s">
        <v>40</v>
      </c>
      <c r="N1758">
        <f>Sheet1[[#This Row],[Quantity]]*Sheet1[[#This Row],[UnitPrice]]</f>
        <v>589.96</v>
      </c>
    </row>
    <row r="1759" spans="1:14" x14ac:dyDescent="0.3">
      <c r="A1759" s="1">
        <v>45763</v>
      </c>
      <c r="B1759" t="s">
        <v>271</v>
      </c>
      <c r="C1759" t="s">
        <v>78</v>
      </c>
      <c r="D1759" t="s">
        <v>26</v>
      </c>
      <c r="E1759" t="s">
        <v>64</v>
      </c>
      <c r="F1759">
        <v>8</v>
      </c>
      <c r="G1759">
        <v>249.03</v>
      </c>
      <c r="H1759" t="s">
        <v>53</v>
      </c>
      <c r="I1759" t="s">
        <v>2522</v>
      </c>
      <c r="J1759" t="s">
        <v>20</v>
      </c>
      <c r="K1759" t="s">
        <v>31</v>
      </c>
      <c r="L1759" t="s">
        <v>22</v>
      </c>
      <c r="M1759" t="s">
        <v>76</v>
      </c>
      <c r="N1759">
        <f>Sheet1[[#This Row],[Quantity]]*Sheet1[[#This Row],[UnitPrice]]</f>
        <v>1992.24</v>
      </c>
    </row>
    <row r="1760" spans="1:14" x14ac:dyDescent="0.3">
      <c r="A1760" s="1">
        <v>45191</v>
      </c>
      <c r="B1760" t="s">
        <v>1460</v>
      </c>
      <c r="C1760" t="s">
        <v>63</v>
      </c>
      <c r="D1760" t="s">
        <v>47</v>
      </c>
      <c r="E1760" t="s">
        <v>64</v>
      </c>
      <c r="F1760">
        <v>6</v>
      </c>
      <c r="G1760">
        <v>264.35000000000002</v>
      </c>
      <c r="H1760" t="s">
        <v>28</v>
      </c>
      <c r="I1760" t="s">
        <v>2523</v>
      </c>
      <c r="J1760" t="s">
        <v>20</v>
      </c>
      <c r="K1760" t="s">
        <v>59</v>
      </c>
      <c r="L1760" t="s">
        <v>60</v>
      </c>
      <c r="M1760" t="s">
        <v>40</v>
      </c>
      <c r="N1760">
        <f>Sheet1[[#This Row],[Quantity]]*Sheet1[[#This Row],[UnitPrice]]</f>
        <v>1586.1000000000001</v>
      </c>
    </row>
    <row r="1761" spans="1:14" x14ac:dyDescent="0.3">
      <c r="A1761" s="1">
        <v>45185</v>
      </c>
      <c r="B1761" t="s">
        <v>469</v>
      </c>
      <c r="C1761" t="s">
        <v>25</v>
      </c>
      <c r="D1761" t="s">
        <v>26</v>
      </c>
      <c r="E1761" t="s">
        <v>17</v>
      </c>
      <c r="F1761">
        <v>6</v>
      </c>
      <c r="G1761">
        <v>63.86</v>
      </c>
      <c r="H1761" t="s">
        <v>18</v>
      </c>
      <c r="I1761" t="s">
        <v>2524</v>
      </c>
      <c r="J1761" t="s">
        <v>38</v>
      </c>
      <c r="K1761" t="s">
        <v>45</v>
      </c>
      <c r="L1761" t="s">
        <v>39</v>
      </c>
      <c r="M1761" t="s">
        <v>23</v>
      </c>
      <c r="N1761">
        <f>Sheet1[[#This Row],[Quantity]]*Sheet1[[#This Row],[UnitPrice]]</f>
        <v>383.15999999999997</v>
      </c>
    </row>
    <row r="1762" spans="1:14" x14ac:dyDescent="0.3">
      <c r="A1762" s="1">
        <v>45815</v>
      </c>
      <c r="B1762" t="s">
        <v>910</v>
      </c>
      <c r="C1762" t="s">
        <v>90</v>
      </c>
      <c r="D1762" t="s">
        <v>47</v>
      </c>
      <c r="E1762" t="s">
        <v>52</v>
      </c>
      <c r="F1762">
        <v>9</v>
      </c>
      <c r="G1762">
        <v>170.79</v>
      </c>
      <c r="H1762" t="s">
        <v>68</v>
      </c>
      <c r="I1762" t="s">
        <v>2525</v>
      </c>
      <c r="J1762" t="s">
        <v>30</v>
      </c>
      <c r="K1762" t="s">
        <v>45</v>
      </c>
      <c r="L1762" t="s">
        <v>22</v>
      </c>
      <c r="M1762" t="s">
        <v>23</v>
      </c>
      <c r="N1762">
        <f>Sheet1[[#This Row],[Quantity]]*Sheet1[[#This Row],[UnitPrice]]</f>
        <v>1537.11</v>
      </c>
    </row>
    <row r="1763" spans="1:14" x14ac:dyDescent="0.3">
      <c r="A1763" s="1">
        <v>45597</v>
      </c>
      <c r="B1763" t="s">
        <v>975</v>
      </c>
      <c r="C1763" t="s">
        <v>73</v>
      </c>
      <c r="D1763" t="s">
        <v>47</v>
      </c>
      <c r="E1763" t="s">
        <v>52</v>
      </c>
      <c r="F1763">
        <v>4</v>
      </c>
      <c r="G1763">
        <v>149.36000000000001</v>
      </c>
      <c r="H1763" t="s">
        <v>68</v>
      </c>
      <c r="I1763" t="s">
        <v>2526</v>
      </c>
      <c r="J1763" t="s">
        <v>20</v>
      </c>
      <c r="K1763" t="s">
        <v>45</v>
      </c>
      <c r="L1763" t="s">
        <v>60</v>
      </c>
      <c r="M1763" t="s">
        <v>40</v>
      </c>
      <c r="N1763">
        <f>Sheet1[[#This Row],[Quantity]]*Sheet1[[#This Row],[UnitPrice]]</f>
        <v>597.44000000000005</v>
      </c>
    </row>
    <row r="1764" spans="1:14" x14ac:dyDescent="0.3">
      <c r="A1764" s="1">
        <v>45654</v>
      </c>
      <c r="B1764" t="s">
        <v>379</v>
      </c>
      <c r="C1764" t="s">
        <v>51</v>
      </c>
      <c r="D1764" t="s">
        <v>16</v>
      </c>
      <c r="E1764" t="s">
        <v>64</v>
      </c>
      <c r="F1764">
        <v>1</v>
      </c>
      <c r="G1764">
        <v>170.62</v>
      </c>
      <c r="H1764" t="s">
        <v>68</v>
      </c>
      <c r="I1764" t="s">
        <v>2527</v>
      </c>
      <c r="J1764" t="s">
        <v>44</v>
      </c>
      <c r="K1764" t="s">
        <v>21</v>
      </c>
      <c r="L1764" t="s">
        <v>60</v>
      </c>
      <c r="M1764" t="s">
        <v>23</v>
      </c>
      <c r="N1764">
        <f>Sheet1[[#This Row],[Quantity]]*Sheet1[[#This Row],[UnitPrice]]</f>
        <v>170.62</v>
      </c>
    </row>
    <row r="1765" spans="1:14" x14ac:dyDescent="0.3">
      <c r="A1765" s="1">
        <v>45245</v>
      </c>
      <c r="B1765" t="s">
        <v>1192</v>
      </c>
      <c r="C1765" t="s">
        <v>90</v>
      </c>
      <c r="D1765" t="s">
        <v>74</v>
      </c>
      <c r="E1765" t="s">
        <v>17</v>
      </c>
      <c r="F1765">
        <v>10</v>
      </c>
      <c r="G1765">
        <v>99.73</v>
      </c>
      <c r="H1765" t="s">
        <v>36</v>
      </c>
      <c r="I1765" t="s">
        <v>2528</v>
      </c>
      <c r="J1765" t="s">
        <v>30</v>
      </c>
      <c r="K1765" t="s">
        <v>21</v>
      </c>
      <c r="L1765" t="s">
        <v>60</v>
      </c>
      <c r="M1765" t="s">
        <v>76</v>
      </c>
      <c r="N1765">
        <f>Sheet1[[#This Row],[Quantity]]*Sheet1[[#This Row],[UnitPrice]]</f>
        <v>997.30000000000007</v>
      </c>
    </row>
    <row r="1766" spans="1:14" x14ac:dyDescent="0.3">
      <c r="A1766" s="1">
        <v>45081</v>
      </c>
      <c r="B1766" t="s">
        <v>1126</v>
      </c>
      <c r="C1766" t="s">
        <v>51</v>
      </c>
      <c r="D1766" t="s">
        <v>16</v>
      </c>
      <c r="E1766" t="s">
        <v>27</v>
      </c>
      <c r="F1766">
        <v>6</v>
      </c>
      <c r="G1766">
        <v>123.3</v>
      </c>
      <c r="H1766" t="s">
        <v>28</v>
      </c>
      <c r="I1766" t="s">
        <v>2529</v>
      </c>
      <c r="J1766" t="s">
        <v>30</v>
      </c>
      <c r="K1766" t="s">
        <v>59</v>
      </c>
      <c r="L1766" t="s">
        <v>22</v>
      </c>
      <c r="M1766" t="s">
        <v>61</v>
      </c>
      <c r="N1766">
        <f>Sheet1[[#This Row],[Quantity]]*Sheet1[[#This Row],[UnitPrice]]</f>
        <v>739.8</v>
      </c>
    </row>
    <row r="1767" spans="1:14" x14ac:dyDescent="0.3">
      <c r="A1767" s="1">
        <v>45352</v>
      </c>
      <c r="B1767" t="s">
        <v>1934</v>
      </c>
      <c r="C1767" t="s">
        <v>34</v>
      </c>
      <c r="D1767" t="s">
        <v>26</v>
      </c>
      <c r="E1767" t="s">
        <v>27</v>
      </c>
      <c r="F1767">
        <v>7</v>
      </c>
      <c r="G1767">
        <v>154.19</v>
      </c>
      <c r="H1767" t="s">
        <v>53</v>
      </c>
      <c r="I1767" t="s">
        <v>2530</v>
      </c>
      <c r="J1767" t="s">
        <v>38</v>
      </c>
      <c r="K1767" t="s">
        <v>45</v>
      </c>
      <c r="L1767" t="s">
        <v>39</v>
      </c>
      <c r="M1767" t="s">
        <v>40</v>
      </c>
      <c r="N1767">
        <f>Sheet1[[#This Row],[Quantity]]*Sheet1[[#This Row],[UnitPrice]]</f>
        <v>1079.33</v>
      </c>
    </row>
    <row r="1768" spans="1:14" x14ac:dyDescent="0.3">
      <c r="A1768" s="1">
        <v>45080</v>
      </c>
      <c r="B1768" t="s">
        <v>605</v>
      </c>
      <c r="C1768" t="s">
        <v>56</v>
      </c>
      <c r="D1768" t="s">
        <v>26</v>
      </c>
      <c r="E1768" t="s">
        <v>42</v>
      </c>
      <c r="F1768">
        <v>1</v>
      </c>
      <c r="G1768">
        <v>310.64999999999998</v>
      </c>
      <c r="H1768" t="s">
        <v>53</v>
      </c>
      <c r="I1768" t="s">
        <v>2531</v>
      </c>
      <c r="J1768" t="s">
        <v>38</v>
      </c>
      <c r="K1768" t="s">
        <v>31</v>
      </c>
      <c r="L1768" t="s">
        <v>39</v>
      </c>
      <c r="M1768" t="s">
        <v>23</v>
      </c>
      <c r="N1768">
        <f>Sheet1[[#This Row],[Quantity]]*Sheet1[[#This Row],[UnitPrice]]</f>
        <v>310.64999999999998</v>
      </c>
    </row>
    <row r="1769" spans="1:14" x14ac:dyDescent="0.3">
      <c r="A1769" s="1">
        <v>45526</v>
      </c>
      <c r="B1769" t="s">
        <v>418</v>
      </c>
      <c r="C1769" t="s">
        <v>51</v>
      </c>
      <c r="D1769" t="s">
        <v>16</v>
      </c>
      <c r="E1769" t="s">
        <v>67</v>
      </c>
      <c r="F1769">
        <v>9</v>
      </c>
      <c r="G1769">
        <v>120.28</v>
      </c>
      <c r="H1769" t="s">
        <v>53</v>
      </c>
      <c r="I1769" t="s">
        <v>2532</v>
      </c>
      <c r="J1769" t="s">
        <v>20</v>
      </c>
      <c r="K1769" t="s">
        <v>45</v>
      </c>
      <c r="L1769" t="s">
        <v>60</v>
      </c>
      <c r="M1769" t="s">
        <v>32</v>
      </c>
      <c r="N1769">
        <f>Sheet1[[#This Row],[Quantity]]*Sheet1[[#This Row],[UnitPrice]]</f>
        <v>1082.52</v>
      </c>
    </row>
    <row r="1770" spans="1:14" x14ac:dyDescent="0.3">
      <c r="A1770" s="1">
        <v>45595</v>
      </c>
      <c r="B1770" t="s">
        <v>433</v>
      </c>
      <c r="C1770" t="s">
        <v>56</v>
      </c>
      <c r="D1770" t="s">
        <v>74</v>
      </c>
      <c r="E1770" t="s">
        <v>52</v>
      </c>
      <c r="F1770">
        <v>3</v>
      </c>
      <c r="G1770">
        <v>337.89</v>
      </c>
      <c r="H1770" t="s">
        <v>53</v>
      </c>
      <c r="I1770" t="s">
        <v>2533</v>
      </c>
      <c r="J1770" t="s">
        <v>44</v>
      </c>
      <c r="K1770" t="s">
        <v>21</v>
      </c>
      <c r="L1770" t="s">
        <v>22</v>
      </c>
      <c r="M1770" t="s">
        <v>76</v>
      </c>
      <c r="N1770">
        <f>Sheet1[[#This Row],[Quantity]]*Sheet1[[#This Row],[UnitPrice]]</f>
        <v>1013.67</v>
      </c>
    </row>
    <row r="1771" spans="1:14" x14ac:dyDescent="0.3">
      <c r="A1771" s="1">
        <v>45006</v>
      </c>
      <c r="B1771" t="s">
        <v>148</v>
      </c>
      <c r="C1771" t="s">
        <v>15</v>
      </c>
      <c r="D1771" t="s">
        <v>26</v>
      </c>
      <c r="E1771" t="s">
        <v>42</v>
      </c>
      <c r="F1771">
        <v>7</v>
      </c>
      <c r="G1771">
        <v>66.760000000000005</v>
      </c>
      <c r="H1771" t="s">
        <v>53</v>
      </c>
      <c r="I1771" t="s">
        <v>2534</v>
      </c>
      <c r="J1771" t="s">
        <v>20</v>
      </c>
      <c r="K1771" t="s">
        <v>45</v>
      </c>
      <c r="L1771" t="s">
        <v>39</v>
      </c>
      <c r="M1771" t="s">
        <v>84</v>
      </c>
      <c r="N1771">
        <f>Sheet1[[#This Row],[Quantity]]*Sheet1[[#This Row],[UnitPrice]]</f>
        <v>467.32000000000005</v>
      </c>
    </row>
    <row r="1772" spans="1:14" x14ac:dyDescent="0.3">
      <c r="A1772" s="1">
        <v>45782</v>
      </c>
      <c r="B1772" t="s">
        <v>2535</v>
      </c>
      <c r="C1772" t="s">
        <v>63</v>
      </c>
      <c r="D1772" t="s">
        <v>26</v>
      </c>
      <c r="E1772" t="s">
        <v>27</v>
      </c>
      <c r="F1772">
        <v>3</v>
      </c>
      <c r="G1772">
        <v>370.92</v>
      </c>
      <c r="H1772" t="s">
        <v>53</v>
      </c>
      <c r="I1772" t="s">
        <v>2536</v>
      </c>
      <c r="J1772" t="s">
        <v>20</v>
      </c>
      <c r="K1772" t="s">
        <v>59</v>
      </c>
      <c r="L1772" t="s">
        <v>22</v>
      </c>
      <c r="M1772" t="s">
        <v>49</v>
      </c>
      <c r="N1772">
        <f>Sheet1[[#This Row],[Quantity]]*Sheet1[[#This Row],[UnitPrice]]</f>
        <v>1112.76</v>
      </c>
    </row>
    <row r="1773" spans="1:14" x14ac:dyDescent="0.3">
      <c r="A1773" s="1">
        <v>45256</v>
      </c>
      <c r="B1773" t="s">
        <v>329</v>
      </c>
      <c r="C1773" t="s">
        <v>78</v>
      </c>
      <c r="D1773" t="s">
        <v>16</v>
      </c>
      <c r="E1773" t="s">
        <v>64</v>
      </c>
      <c r="F1773">
        <v>3</v>
      </c>
      <c r="G1773">
        <v>203.32</v>
      </c>
      <c r="H1773" t="s">
        <v>53</v>
      </c>
      <c r="I1773" t="s">
        <v>2537</v>
      </c>
      <c r="J1773" t="s">
        <v>38</v>
      </c>
      <c r="K1773" t="s">
        <v>45</v>
      </c>
      <c r="L1773" t="s">
        <v>60</v>
      </c>
      <c r="M1773" t="s">
        <v>61</v>
      </c>
      <c r="N1773">
        <f>Sheet1[[#This Row],[Quantity]]*Sheet1[[#This Row],[UnitPrice]]</f>
        <v>609.96</v>
      </c>
    </row>
    <row r="1774" spans="1:14" x14ac:dyDescent="0.3">
      <c r="A1774" s="1">
        <v>45341</v>
      </c>
      <c r="B1774" t="s">
        <v>796</v>
      </c>
      <c r="C1774" t="s">
        <v>90</v>
      </c>
      <c r="D1774" t="s">
        <v>74</v>
      </c>
      <c r="E1774" t="s">
        <v>35</v>
      </c>
      <c r="F1774">
        <v>9</v>
      </c>
      <c r="G1774">
        <v>136.79</v>
      </c>
      <c r="H1774" t="s">
        <v>68</v>
      </c>
      <c r="I1774" t="s">
        <v>2538</v>
      </c>
      <c r="J1774" t="s">
        <v>30</v>
      </c>
      <c r="K1774" t="s">
        <v>59</v>
      </c>
      <c r="L1774" t="s">
        <v>22</v>
      </c>
      <c r="M1774" t="s">
        <v>49</v>
      </c>
      <c r="N1774">
        <f>Sheet1[[#This Row],[Quantity]]*Sheet1[[#This Row],[UnitPrice]]</f>
        <v>1231.1099999999999</v>
      </c>
    </row>
    <row r="1775" spans="1:14" x14ac:dyDescent="0.3">
      <c r="A1775" s="1">
        <v>45320</v>
      </c>
      <c r="B1775" t="s">
        <v>1569</v>
      </c>
      <c r="C1775" t="s">
        <v>51</v>
      </c>
      <c r="D1775" t="s">
        <v>16</v>
      </c>
      <c r="E1775" t="s">
        <v>17</v>
      </c>
      <c r="F1775">
        <v>5</v>
      </c>
      <c r="G1775">
        <v>130.1</v>
      </c>
      <c r="H1775" t="s">
        <v>18</v>
      </c>
      <c r="I1775" t="s">
        <v>2539</v>
      </c>
      <c r="J1775" t="s">
        <v>58</v>
      </c>
      <c r="K1775" t="s">
        <v>21</v>
      </c>
      <c r="L1775" t="s">
        <v>39</v>
      </c>
      <c r="M1775" t="s">
        <v>49</v>
      </c>
      <c r="N1775">
        <f>Sheet1[[#This Row],[Quantity]]*Sheet1[[#This Row],[UnitPrice]]</f>
        <v>650.5</v>
      </c>
    </row>
    <row r="1776" spans="1:14" x14ac:dyDescent="0.3">
      <c r="A1776" s="1">
        <v>45733</v>
      </c>
      <c r="B1776" t="s">
        <v>202</v>
      </c>
      <c r="C1776" t="s">
        <v>63</v>
      </c>
      <c r="D1776" t="s">
        <v>47</v>
      </c>
      <c r="E1776" t="s">
        <v>27</v>
      </c>
      <c r="F1776">
        <v>10</v>
      </c>
      <c r="G1776">
        <v>60.34</v>
      </c>
      <c r="H1776" t="s">
        <v>68</v>
      </c>
      <c r="I1776" t="s">
        <v>2540</v>
      </c>
      <c r="J1776" t="s">
        <v>30</v>
      </c>
      <c r="K1776" t="s">
        <v>59</v>
      </c>
      <c r="L1776" t="s">
        <v>22</v>
      </c>
      <c r="M1776" t="s">
        <v>49</v>
      </c>
      <c r="N1776">
        <f>Sheet1[[#This Row],[Quantity]]*Sheet1[[#This Row],[UnitPrice]]</f>
        <v>603.40000000000009</v>
      </c>
    </row>
    <row r="1777" spans="1:14" x14ac:dyDescent="0.3">
      <c r="A1777" s="1">
        <v>45478</v>
      </c>
      <c r="B1777" t="s">
        <v>1953</v>
      </c>
      <c r="C1777" t="s">
        <v>78</v>
      </c>
      <c r="D1777" t="s">
        <v>47</v>
      </c>
      <c r="E1777" t="s">
        <v>35</v>
      </c>
      <c r="F1777">
        <v>8</v>
      </c>
      <c r="G1777">
        <v>13.17</v>
      </c>
      <c r="H1777" t="s">
        <v>36</v>
      </c>
      <c r="I1777" t="s">
        <v>2541</v>
      </c>
      <c r="J1777" t="s">
        <v>20</v>
      </c>
      <c r="K1777" t="s">
        <v>21</v>
      </c>
      <c r="L1777" t="s">
        <v>22</v>
      </c>
      <c r="M1777" t="s">
        <v>40</v>
      </c>
      <c r="N1777">
        <f>Sheet1[[#This Row],[Quantity]]*Sheet1[[#This Row],[UnitPrice]]</f>
        <v>105.36</v>
      </c>
    </row>
    <row r="1778" spans="1:14" x14ac:dyDescent="0.3">
      <c r="A1778" s="1">
        <v>45259</v>
      </c>
      <c r="B1778" t="s">
        <v>491</v>
      </c>
      <c r="C1778" t="s">
        <v>56</v>
      </c>
      <c r="D1778" t="s">
        <v>47</v>
      </c>
      <c r="E1778" t="s">
        <v>52</v>
      </c>
      <c r="F1778">
        <v>5</v>
      </c>
      <c r="G1778">
        <v>160.54</v>
      </c>
      <c r="H1778" t="s">
        <v>68</v>
      </c>
      <c r="I1778" t="s">
        <v>2542</v>
      </c>
      <c r="J1778" t="s">
        <v>30</v>
      </c>
      <c r="K1778" t="s">
        <v>59</v>
      </c>
      <c r="L1778" t="s">
        <v>60</v>
      </c>
      <c r="M1778" t="s">
        <v>76</v>
      </c>
      <c r="N1778">
        <f>Sheet1[[#This Row],[Quantity]]*Sheet1[[#This Row],[UnitPrice]]</f>
        <v>802.69999999999993</v>
      </c>
    </row>
    <row r="1779" spans="1:14" x14ac:dyDescent="0.3">
      <c r="A1779" s="1">
        <v>45811</v>
      </c>
      <c r="B1779" t="s">
        <v>1790</v>
      </c>
      <c r="C1779" t="s">
        <v>56</v>
      </c>
      <c r="D1779" t="s">
        <v>26</v>
      </c>
      <c r="E1779" t="s">
        <v>42</v>
      </c>
      <c r="F1779">
        <v>7</v>
      </c>
      <c r="G1779">
        <v>255.98</v>
      </c>
      <c r="H1779" t="s">
        <v>53</v>
      </c>
      <c r="I1779" t="s">
        <v>2543</v>
      </c>
      <c r="J1779" t="s">
        <v>58</v>
      </c>
      <c r="K1779" t="s">
        <v>21</v>
      </c>
      <c r="L1779" t="s">
        <v>39</v>
      </c>
      <c r="M1779" t="s">
        <v>84</v>
      </c>
      <c r="N1779">
        <f>Sheet1[[#This Row],[Quantity]]*Sheet1[[#This Row],[UnitPrice]]</f>
        <v>1791.86</v>
      </c>
    </row>
    <row r="1780" spans="1:14" x14ac:dyDescent="0.3">
      <c r="A1780" s="1">
        <v>45610</v>
      </c>
      <c r="B1780" t="s">
        <v>886</v>
      </c>
      <c r="C1780" t="s">
        <v>56</v>
      </c>
      <c r="D1780" t="s">
        <v>16</v>
      </c>
      <c r="E1780" t="s">
        <v>35</v>
      </c>
      <c r="F1780">
        <v>7</v>
      </c>
      <c r="G1780">
        <v>161.94999999999999</v>
      </c>
      <c r="H1780" t="s">
        <v>53</v>
      </c>
      <c r="I1780" t="s">
        <v>2544</v>
      </c>
      <c r="J1780" t="s">
        <v>44</v>
      </c>
      <c r="K1780" t="s">
        <v>59</v>
      </c>
      <c r="L1780" t="s">
        <v>22</v>
      </c>
      <c r="M1780" t="s">
        <v>32</v>
      </c>
      <c r="N1780">
        <f>Sheet1[[#This Row],[Quantity]]*Sheet1[[#This Row],[UnitPrice]]</f>
        <v>1133.6499999999999</v>
      </c>
    </row>
    <row r="1781" spans="1:14" x14ac:dyDescent="0.3">
      <c r="A1781" s="1">
        <v>45756</v>
      </c>
      <c r="B1781" t="s">
        <v>250</v>
      </c>
      <c r="C1781" t="s">
        <v>51</v>
      </c>
      <c r="D1781" t="s">
        <v>16</v>
      </c>
      <c r="E1781" t="s">
        <v>17</v>
      </c>
      <c r="F1781">
        <v>3</v>
      </c>
      <c r="G1781">
        <v>288.88</v>
      </c>
      <c r="H1781" t="s">
        <v>36</v>
      </c>
      <c r="I1781" t="s">
        <v>2545</v>
      </c>
      <c r="J1781" t="s">
        <v>30</v>
      </c>
      <c r="K1781" t="s">
        <v>45</v>
      </c>
      <c r="L1781" t="s">
        <v>60</v>
      </c>
      <c r="M1781" t="s">
        <v>76</v>
      </c>
      <c r="N1781">
        <f>Sheet1[[#This Row],[Quantity]]*Sheet1[[#This Row],[UnitPrice]]</f>
        <v>866.64</v>
      </c>
    </row>
    <row r="1782" spans="1:14" x14ac:dyDescent="0.3">
      <c r="A1782" s="1">
        <v>45668</v>
      </c>
      <c r="B1782" t="s">
        <v>721</v>
      </c>
      <c r="C1782" t="s">
        <v>101</v>
      </c>
      <c r="D1782" t="s">
        <v>16</v>
      </c>
      <c r="E1782" t="s">
        <v>52</v>
      </c>
      <c r="F1782">
        <v>6</v>
      </c>
      <c r="G1782">
        <v>151.75</v>
      </c>
      <c r="H1782" t="s">
        <v>28</v>
      </c>
      <c r="I1782" t="s">
        <v>2546</v>
      </c>
      <c r="J1782" t="s">
        <v>58</v>
      </c>
      <c r="K1782" t="s">
        <v>59</v>
      </c>
      <c r="L1782" t="s">
        <v>39</v>
      </c>
      <c r="M1782" t="s">
        <v>23</v>
      </c>
      <c r="N1782">
        <f>Sheet1[[#This Row],[Quantity]]*Sheet1[[#This Row],[UnitPrice]]</f>
        <v>910.5</v>
      </c>
    </row>
    <row r="1783" spans="1:14" x14ac:dyDescent="0.3">
      <c r="A1783" s="1">
        <v>45483</v>
      </c>
      <c r="B1783" t="s">
        <v>867</v>
      </c>
      <c r="C1783" t="s">
        <v>25</v>
      </c>
      <c r="D1783" t="s">
        <v>47</v>
      </c>
      <c r="E1783" t="s">
        <v>42</v>
      </c>
      <c r="F1783">
        <v>4</v>
      </c>
      <c r="G1783">
        <v>205.78</v>
      </c>
      <c r="H1783" t="s">
        <v>28</v>
      </c>
      <c r="I1783" t="s">
        <v>2547</v>
      </c>
      <c r="J1783" t="s">
        <v>20</v>
      </c>
      <c r="K1783" t="s">
        <v>31</v>
      </c>
      <c r="L1783" t="s">
        <v>39</v>
      </c>
      <c r="M1783" t="s">
        <v>76</v>
      </c>
      <c r="N1783">
        <f>Sheet1[[#This Row],[Quantity]]*Sheet1[[#This Row],[UnitPrice]]</f>
        <v>823.12</v>
      </c>
    </row>
    <row r="1784" spans="1:14" x14ac:dyDescent="0.3">
      <c r="A1784" s="1">
        <v>45184</v>
      </c>
      <c r="B1784" t="s">
        <v>346</v>
      </c>
      <c r="C1784" t="s">
        <v>34</v>
      </c>
      <c r="D1784" t="s">
        <v>16</v>
      </c>
      <c r="E1784" t="s">
        <v>35</v>
      </c>
      <c r="F1784">
        <v>2</v>
      </c>
      <c r="G1784">
        <v>12.5</v>
      </c>
      <c r="H1784" t="s">
        <v>53</v>
      </c>
      <c r="I1784" t="s">
        <v>2548</v>
      </c>
      <c r="J1784" t="s">
        <v>20</v>
      </c>
      <c r="K1784" t="s">
        <v>59</v>
      </c>
      <c r="L1784" t="s">
        <v>39</v>
      </c>
      <c r="M1784" t="s">
        <v>40</v>
      </c>
      <c r="N1784">
        <f>Sheet1[[#This Row],[Quantity]]*Sheet1[[#This Row],[UnitPrice]]</f>
        <v>25</v>
      </c>
    </row>
    <row r="1785" spans="1:14" x14ac:dyDescent="0.3">
      <c r="A1785" s="1">
        <v>45750</v>
      </c>
      <c r="B1785" t="s">
        <v>1207</v>
      </c>
      <c r="C1785" t="s">
        <v>78</v>
      </c>
      <c r="D1785" t="s">
        <v>74</v>
      </c>
      <c r="E1785" t="s">
        <v>67</v>
      </c>
      <c r="F1785">
        <v>7</v>
      </c>
      <c r="G1785">
        <v>19.100000000000001</v>
      </c>
      <c r="H1785" t="s">
        <v>68</v>
      </c>
      <c r="I1785" t="s">
        <v>2549</v>
      </c>
      <c r="J1785" t="s">
        <v>20</v>
      </c>
      <c r="K1785" t="s">
        <v>59</v>
      </c>
      <c r="L1785" t="s">
        <v>22</v>
      </c>
      <c r="M1785" t="s">
        <v>32</v>
      </c>
      <c r="N1785">
        <f>Sheet1[[#This Row],[Quantity]]*Sheet1[[#This Row],[UnitPrice]]</f>
        <v>133.70000000000002</v>
      </c>
    </row>
    <row r="1786" spans="1:14" x14ac:dyDescent="0.3">
      <c r="A1786" s="1">
        <v>45160</v>
      </c>
      <c r="B1786" t="s">
        <v>281</v>
      </c>
      <c r="C1786" t="s">
        <v>34</v>
      </c>
      <c r="D1786" t="s">
        <v>16</v>
      </c>
      <c r="E1786" t="s">
        <v>35</v>
      </c>
      <c r="F1786">
        <v>7</v>
      </c>
      <c r="G1786">
        <v>342.43</v>
      </c>
      <c r="H1786" t="s">
        <v>36</v>
      </c>
      <c r="I1786" t="s">
        <v>2550</v>
      </c>
      <c r="J1786" t="s">
        <v>44</v>
      </c>
      <c r="K1786" t="s">
        <v>59</v>
      </c>
      <c r="L1786" t="s">
        <v>60</v>
      </c>
      <c r="M1786" t="s">
        <v>84</v>
      </c>
      <c r="N1786">
        <f>Sheet1[[#This Row],[Quantity]]*Sheet1[[#This Row],[UnitPrice]]</f>
        <v>2397.0100000000002</v>
      </c>
    </row>
    <row r="1787" spans="1:14" x14ac:dyDescent="0.3">
      <c r="A1787" s="1">
        <v>45769</v>
      </c>
      <c r="B1787" t="s">
        <v>2551</v>
      </c>
      <c r="C1787" t="s">
        <v>15</v>
      </c>
      <c r="D1787" t="s">
        <v>74</v>
      </c>
      <c r="E1787" t="s">
        <v>42</v>
      </c>
      <c r="F1787">
        <v>6</v>
      </c>
      <c r="G1787">
        <v>84.35</v>
      </c>
      <c r="H1787" t="s">
        <v>53</v>
      </c>
      <c r="I1787" t="s">
        <v>2552</v>
      </c>
      <c r="J1787" t="s">
        <v>58</v>
      </c>
      <c r="K1787" t="s">
        <v>59</v>
      </c>
      <c r="L1787" t="s">
        <v>22</v>
      </c>
      <c r="M1787" t="s">
        <v>84</v>
      </c>
      <c r="N1787">
        <f>Sheet1[[#This Row],[Quantity]]*Sheet1[[#This Row],[UnitPrice]]</f>
        <v>506.09999999999997</v>
      </c>
    </row>
    <row r="1788" spans="1:14" x14ac:dyDescent="0.3">
      <c r="A1788" s="1">
        <v>45812</v>
      </c>
      <c r="B1788" t="s">
        <v>1272</v>
      </c>
      <c r="C1788" t="s">
        <v>101</v>
      </c>
      <c r="D1788" t="s">
        <v>74</v>
      </c>
      <c r="E1788" t="s">
        <v>52</v>
      </c>
      <c r="F1788">
        <v>9</v>
      </c>
      <c r="G1788">
        <v>120.3</v>
      </c>
      <c r="H1788" t="s">
        <v>28</v>
      </c>
      <c r="I1788" t="s">
        <v>2553</v>
      </c>
      <c r="J1788" t="s">
        <v>20</v>
      </c>
      <c r="K1788" t="s">
        <v>21</v>
      </c>
      <c r="L1788" t="s">
        <v>22</v>
      </c>
      <c r="M1788" t="s">
        <v>76</v>
      </c>
      <c r="N1788">
        <f>Sheet1[[#This Row],[Quantity]]*Sheet1[[#This Row],[UnitPrice]]</f>
        <v>1082.7</v>
      </c>
    </row>
    <row r="1789" spans="1:14" x14ac:dyDescent="0.3">
      <c r="A1789" s="1">
        <v>45111</v>
      </c>
      <c r="B1789" t="s">
        <v>1756</v>
      </c>
      <c r="C1789" t="s">
        <v>73</v>
      </c>
      <c r="D1789" t="s">
        <v>47</v>
      </c>
      <c r="E1789" t="s">
        <v>64</v>
      </c>
      <c r="F1789">
        <v>7</v>
      </c>
      <c r="G1789">
        <v>150.54</v>
      </c>
      <c r="H1789" t="s">
        <v>68</v>
      </c>
      <c r="I1789" t="s">
        <v>2554</v>
      </c>
      <c r="J1789" t="s">
        <v>44</v>
      </c>
      <c r="K1789" t="s">
        <v>31</v>
      </c>
      <c r="L1789" t="s">
        <v>22</v>
      </c>
      <c r="M1789" t="s">
        <v>84</v>
      </c>
      <c r="N1789">
        <f>Sheet1[[#This Row],[Quantity]]*Sheet1[[#This Row],[UnitPrice]]</f>
        <v>1053.78</v>
      </c>
    </row>
    <row r="1790" spans="1:14" x14ac:dyDescent="0.3">
      <c r="A1790" s="1">
        <v>45391</v>
      </c>
      <c r="B1790" t="s">
        <v>2555</v>
      </c>
      <c r="C1790" t="s">
        <v>25</v>
      </c>
      <c r="D1790" t="s">
        <v>47</v>
      </c>
      <c r="E1790" t="s">
        <v>27</v>
      </c>
      <c r="F1790">
        <v>9</v>
      </c>
      <c r="G1790">
        <v>154.54</v>
      </c>
      <c r="H1790" t="s">
        <v>28</v>
      </c>
      <c r="I1790" t="s">
        <v>2556</v>
      </c>
      <c r="J1790" t="s">
        <v>20</v>
      </c>
      <c r="K1790" t="s">
        <v>21</v>
      </c>
      <c r="L1790" t="s">
        <v>39</v>
      </c>
      <c r="M1790" t="s">
        <v>84</v>
      </c>
      <c r="N1790">
        <f>Sheet1[[#This Row],[Quantity]]*Sheet1[[#This Row],[UnitPrice]]</f>
        <v>1390.86</v>
      </c>
    </row>
    <row r="1791" spans="1:14" x14ac:dyDescent="0.3">
      <c r="A1791" s="1">
        <v>44949</v>
      </c>
      <c r="B1791" t="s">
        <v>2555</v>
      </c>
      <c r="C1791" t="s">
        <v>25</v>
      </c>
      <c r="D1791" t="s">
        <v>26</v>
      </c>
      <c r="E1791" t="s">
        <v>52</v>
      </c>
      <c r="F1791">
        <v>4</v>
      </c>
      <c r="G1791">
        <v>169.72</v>
      </c>
      <c r="H1791" t="s">
        <v>53</v>
      </c>
      <c r="I1791" t="s">
        <v>2557</v>
      </c>
      <c r="J1791" t="s">
        <v>44</v>
      </c>
      <c r="K1791" t="s">
        <v>59</v>
      </c>
      <c r="L1791" t="s">
        <v>39</v>
      </c>
      <c r="M1791" t="s">
        <v>49</v>
      </c>
      <c r="N1791">
        <f>Sheet1[[#This Row],[Quantity]]*Sheet1[[#This Row],[UnitPrice]]</f>
        <v>678.88</v>
      </c>
    </row>
    <row r="1792" spans="1:14" x14ac:dyDescent="0.3">
      <c r="A1792" s="1">
        <v>45775</v>
      </c>
      <c r="B1792" t="s">
        <v>2188</v>
      </c>
      <c r="C1792" t="s">
        <v>101</v>
      </c>
      <c r="D1792" t="s">
        <v>74</v>
      </c>
      <c r="E1792" t="s">
        <v>27</v>
      </c>
      <c r="F1792">
        <v>5</v>
      </c>
      <c r="G1792">
        <v>135.86000000000001</v>
      </c>
      <c r="H1792" t="s">
        <v>68</v>
      </c>
      <c r="I1792" t="s">
        <v>2558</v>
      </c>
      <c r="J1792" t="s">
        <v>20</v>
      </c>
      <c r="K1792" t="s">
        <v>59</v>
      </c>
      <c r="L1792" t="s">
        <v>39</v>
      </c>
      <c r="M1792" t="s">
        <v>49</v>
      </c>
      <c r="N1792">
        <f>Sheet1[[#This Row],[Quantity]]*Sheet1[[#This Row],[UnitPrice]]</f>
        <v>679.30000000000007</v>
      </c>
    </row>
    <row r="1793" spans="1:14" x14ac:dyDescent="0.3">
      <c r="A1793" s="1">
        <v>45744</v>
      </c>
      <c r="B1793" t="s">
        <v>85</v>
      </c>
      <c r="C1793" t="s">
        <v>25</v>
      </c>
      <c r="D1793" t="s">
        <v>16</v>
      </c>
      <c r="E1793" t="s">
        <v>64</v>
      </c>
      <c r="F1793">
        <v>9</v>
      </c>
      <c r="G1793">
        <v>141.4</v>
      </c>
      <c r="H1793" t="s">
        <v>68</v>
      </c>
      <c r="I1793" t="s">
        <v>2559</v>
      </c>
      <c r="J1793" t="s">
        <v>20</v>
      </c>
      <c r="K1793" t="s">
        <v>21</v>
      </c>
      <c r="L1793" t="s">
        <v>60</v>
      </c>
      <c r="M1793" t="s">
        <v>40</v>
      </c>
      <c r="N1793">
        <f>Sheet1[[#This Row],[Quantity]]*Sheet1[[#This Row],[UnitPrice]]</f>
        <v>1272.6000000000001</v>
      </c>
    </row>
    <row r="1794" spans="1:14" x14ac:dyDescent="0.3">
      <c r="A1794" s="1">
        <v>45734</v>
      </c>
      <c r="B1794" t="s">
        <v>33</v>
      </c>
      <c r="C1794" t="s">
        <v>56</v>
      </c>
      <c r="D1794" t="s">
        <v>74</v>
      </c>
      <c r="E1794" t="s">
        <v>52</v>
      </c>
      <c r="F1794">
        <v>3</v>
      </c>
      <c r="G1794">
        <v>177.64</v>
      </c>
      <c r="H1794" t="s">
        <v>18</v>
      </c>
      <c r="I1794" t="s">
        <v>2560</v>
      </c>
      <c r="J1794" t="s">
        <v>44</v>
      </c>
      <c r="K1794" t="s">
        <v>59</v>
      </c>
      <c r="L1794" t="s">
        <v>39</v>
      </c>
      <c r="M1794" t="s">
        <v>84</v>
      </c>
      <c r="N1794">
        <f>Sheet1[[#This Row],[Quantity]]*Sheet1[[#This Row],[UnitPrice]]</f>
        <v>532.91999999999996</v>
      </c>
    </row>
    <row r="1795" spans="1:14" x14ac:dyDescent="0.3">
      <c r="A1795" s="1">
        <v>45098</v>
      </c>
      <c r="B1795" t="s">
        <v>198</v>
      </c>
      <c r="C1795" t="s">
        <v>90</v>
      </c>
      <c r="D1795" t="s">
        <v>16</v>
      </c>
      <c r="E1795" t="s">
        <v>17</v>
      </c>
      <c r="F1795">
        <v>9</v>
      </c>
      <c r="G1795">
        <v>120.79</v>
      </c>
      <c r="H1795" t="s">
        <v>28</v>
      </c>
      <c r="I1795" t="s">
        <v>2561</v>
      </c>
      <c r="J1795" t="s">
        <v>38</v>
      </c>
      <c r="K1795" t="s">
        <v>31</v>
      </c>
      <c r="L1795" t="s">
        <v>39</v>
      </c>
      <c r="M1795" t="s">
        <v>76</v>
      </c>
      <c r="N1795">
        <f>Sheet1[[#This Row],[Quantity]]*Sheet1[[#This Row],[UnitPrice]]</f>
        <v>1087.1100000000001</v>
      </c>
    </row>
    <row r="1796" spans="1:14" x14ac:dyDescent="0.3">
      <c r="A1796" s="1">
        <v>45116</v>
      </c>
      <c r="B1796" t="s">
        <v>252</v>
      </c>
      <c r="C1796" t="s">
        <v>63</v>
      </c>
      <c r="D1796" t="s">
        <v>26</v>
      </c>
      <c r="E1796" t="s">
        <v>67</v>
      </c>
      <c r="F1796">
        <v>1</v>
      </c>
      <c r="G1796">
        <v>154.19</v>
      </c>
      <c r="H1796" t="s">
        <v>18</v>
      </c>
      <c r="I1796" t="s">
        <v>2562</v>
      </c>
      <c r="J1796" t="s">
        <v>58</v>
      </c>
      <c r="K1796" t="s">
        <v>21</v>
      </c>
      <c r="L1796" t="s">
        <v>22</v>
      </c>
      <c r="M1796" t="s">
        <v>61</v>
      </c>
      <c r="N1796">
        <f>Sheet1[[#This Row],[Quantity]]*Sheet1[[#This Row],[UnitPrice]]</f>
        <v>154.19</v>
      </c>
    </row>
    <row r="1797" spans="1:14" x14ac:dyDescent="0.3">
      <c r="A1797" s="1">
        <v>45202</v>
      </c>
      <c r="B1797" t="s">
        <v>1684</v>
      </c>
      <c r="C1797" t="s">
        <v>15</v>
      </c>
      <c r="D1797" t="s">
        <v>47</v>
      </c>
      <c r="E1797" t="s">
        <v>52</v>
      </c>
      <c r="F1797">
        <v>9</v>
      </c>
      <c r="G1797">
        <v>195.15</v>
      </c>
      <c r="H1797" t="s">
        <v>18</v>
      </c>
      <c r="I1797" t="s">
        <v>2563</v>
      </c>
      <c r="J1797" t="s">
        <v>30</v>
      </c>
      <c r="K1797" t="s">
        <v>59</v>
      </c>
      <c r="L1797" t="s">
        <v>39</v>
      </c>
      <c r="M1797" t="s">
        <v>84</v>
      </c>
      <c r="N1797">
        <f>Sheet1[[#This Row],[Quantity]]*Sheet1[[#This Row],[UnitPrice]]</f>
        <v>1756.3500000000001</v>
      </c>
    </row>
    <row r="1798" spans="1:14" x14ac:dyDescent="0.3">
      <c r="A1798" s="1">
        <v>45175</v>
      </c>
      <c r="B1798" t="s">
        <v>1821</v>
      </c>
      <c r="C1798" t="s">
        <v>34</v>
      </c>
      <c r="D1798" t="s">
        <v>26</v>
      </c>
      <c r="E1798" t="s">
        <v>35</v>
      </c>
      <c r="F1798">
        <v>8</v>
      </c>
      <c r="G1798">
        <v>212.14</v>
      </c>
      <c r="H1798" t="s">
        <v>36</v>
      </c>
      <c r="I1798" t="s">
        <v>2564</v>
      </c>
      <c r="J1798" t="s">
        <v>44</v>
      </c>
      <c r="K1798" t="s">
        <v>31</v>
      </c>
      <c r="L1798" t="s">
        <v>39</v>
      </c>
      <c r="M1798" t="s">
        <v>76</v>
      </c>
      <c r="N1798">
        <f>Sheet1[[#This Row],[Quantity]]*Sheet1[[#This Row],[UnitPrice]]</f>
        <v>1697.12</v>
      </c>
    </row>
    <row r="1799" spans="1:14" x14ac:dyDescent="0.3">
      <c r="A1799" s="1">
        <v>45346</v>
      </c>
      <c r="B1799" t="s">
        <v>1705</v>
      </c>
      <c r="C1799" t="s">
        <v>51</v>
      </c>
      <c r="D1799" t="s">
        <v>47</v>
      </c>
      <c r="E1799" t="s">
        <v>17</v>
      </c>
      <c r="F1799">
        <v>10</v>
      </c>
      <c r="G1799">
        <v>81.290000000000006</v>
      </c>
      <c r="H1799" t="s">
        <v>36</v>
      </c>
      <c r="I1799" t="s">
        <v>2565</v>
      </c>
      <c r="J1799" t="s">
        <v>20</v>
      </c>
      <c r="K1799" t="s">
        <v>59</v>
      </c>
      <c r="L1799" t="s">
        <v>39</v>
      </c>
      <c r="M1799" t="s">
        <v>23</v>
      </c>
      <c r="N1799">
        <f>Sheet1[[#This Row],[Quantity]]*Sheet1[[#This Row],[UnitPrice]]</f>
        <v>812.90000000000009</v>
      </c>
    </row>
    <row r="1800" spans="1:14" x14ac:dyDescent="0.3">
      <c r="A1800" s="1">
        <v>44934</v>
      </c>
      <c r="B1800" t="s">
        <v>1223</v>
      </c>
      <c r="C1800" t="s">
        <v>78</v>
      </c>
      <c r="D1800" t="s">
        <v>26</v>
      </c>
      <c r="E1800" t="s">
        <v>27</v>
      </c>
      <c r="F1800">
        <v>3</v>
      </c>
      <c r="G1800">
        <v>64.42</v>
      </c>
      <c r="H1800" t="s">
        <v>36</v>
      </c>
      <c r="I1800" t="s">
        <v>2566</v>
      </c>
      <c r="J1800" t="s">
        <v>20</v>
      </c>
      <c r="K1800" t="s">
        <v>21</v>
      </c>
      <c r="L1800" t="s">
        <v>60</v>
      </c>
      <c r="M1800" t="s">
        <v>61</v>
      </c>
      <c r="N1800">
        <f>Sheet1[[#This Row],[Quantity]]*Sheet1[[#This Row],[UnitPrice]]</f>
        <v>193.26</v>
      </c>
    </row>
    <row r="1801" spans="1:14" x14ac:dyDescent="0.3">
      <c r="A1801" s="1">
        <v>44945</v>
      </c>
      <c r="B1801" t="s">
        <v>522</v>
      </c>
      <c r="C1801" t="s">
        <v>90</v>
      </c>
      <c r="D1801" t="s">
        <v>16</v>
      </c>
      <c r="E1801" t="s">
        <v>35</v>
      </c>
      <c r="F1801">
        <v>4</v>
      </c>
      <c r="G1801">
        <v>230.15</v>
      </c>
      <c r="H1801" t="s">
        <v>18</v>
      </c>
      <c r="I1801" t="s">
        <v>2567</v>
      </c>
      <c r="J1801" t="s">
        <v>20</v>
      </c>
      <c r="K1801" t="s">
        <v>45</v>
      </c>
      <c r="L1801" t="s">
        <v>22</v>
      </c>
      <c r="M1801" t="s">
        <v>32</v>
      </c>
      <c r="N1801">
        <f>Sheet1[[#This Row],[Quantity]]*Sheet1[[#This Row],[UnitPrice]]</f>
        <v>920.6</v>
      </c>
    </row>
    <row r="1802" spans="1:14" x14ac:dyDescent="0.3">
      <c r="A1802" s="1">
        <v>45504</v>
      </c>
      <c r="B1802" t="s">
        <v>1381</v>
      </c>
      <c r="C1802" t="s">
        <v>73</v>
      </c>
      <c r="D1802" t="s">
        <v>47</v>
      </c>
      <c r="E1802" t="s">
        <v>67</v>
      </c>
      <c r="F1802">
        <v>7</v>
      </c>
      <c r="G1802">
        <v>143.31</v>
      </c>
      <c r="H1802" t="s">
        <v>28</v>
      </c>
      <c r="I1802" t="s">
        <v>2568</v>
      </c>
      <c r="J1802" t="s">
        <v>44</v>
      </c>
      <c r="K1802" t="s">
        <v>45</v>
      </c>
      <c r="L1802" t="s">
        <v>39</v>
      </c>
      <c r="M1802" t="s">
        <v>76</v>
      </c>
      <c r="N1802">
        <f>Sheet1[[#This Row],[Quantity]]*Sheet1[[#This Row],[UnitPrice]]</f>
        <v>1003.1700000000001</v>
      </c>
    </row>
    <row r="1803" spans="1:14" x14ac:dyDescent="0.3">
      <c r="A1803" s="1">
        <v>45653</v>
      </c>
      <c r="B1803" t="s">
        <v>591</v>
      </c>
      <c r="C1803" t="s">
        <v>78</v>
      </c>
      <c r="D1803" t="s">
        <v>47</v>
      </c>
      <c r="E1803" t="s">
        <v>67</v>
      </c>
      <c r="F1803">
        <v>3</v>
      </c>
      <c r="G1803">
        <v>95.88</v>
      </c>
      <c r="H1803" t="s">
        <v>36</v>
      </c>
      <c r="I1803" t="s">
        <v>2569</v>
      </c>
      <c r="J1803" t="s">
        <v>44</v>
      </c>
      <c r="K1803" t="s">
        <v>45</v>
      </c>
      <c r="L1803" t="s">
        <v>60</v>
      </c>
      <c r="M1803" t="s">
        <v>40</v>
      </c>
      <c r="N1803">
        <f>Sheet1[[#This Row],[Quantity]]*Sheet1[[#This Row],[UnitPrice]]</f>
        <v>287.64</v>
      </c>
    </row>
    <row r="1804" spans="1:14" x14ac:dyDescent="0.3">
      <c r="A1804" s="1">
        <v>45789</v>
      </c>
      <c r="B1804" t="s">
        <v>956</v>
      </c>
      <c r="C1804" t="s">
        <v>101</v>
      </c>
      <c r="D1804" t="s">
        <v>16</v>
      </c>
      <c r="E1804" t="s">
        <v>17</v>
      </c>
      <c r="F1804">
        <v>7</v>
      </c>
      <c r="G1804">
        <v>6.09</v>
      </c>
      <c r="H1804" t="s">
        <v>18</v>
      </c>
      <c r="I1804" t="s">
        <v>2570</v>
      </c>
      <c r="J1804" t="s">
        <v>30</v>
      </c>
      <c r="K1804" t="s">
        <v>31</v>
      </c>
      <c r="L1804" t="s">
        <v>39</v>
      </c>
      <c r="M1804" t="s">
        <v>49</v>
      </c>
      <c r="N1804">
        <f>Sheet1[[#This Row],[Quantity]]*Sheet1[[#This Row],[UnitPrice]]</f>
        <v>42.629999999999995</v>
      </c>
    </row>
    <row r="1805" spans="1:14" x14ac:dyDescent="0.3">
      <c r="A1805" s="1">
        <v>45591</v>
      </c>
      <c r="B1805" t="s">
        <v>737</v>
      </c>
      <c r="C1805" t="s">
        <v>101</v>
      </c>
      <c r="D1805" t="s">
        <v>16</v>
      </c>
      <c r="E1805" t="s">
        <v>27</v>
      </c>
      <c r="F1805">
        <v>5</v>
      </c>
      <c r="G1805">
        <v>55.87</v>
      </c>
      <c r="H1805" t="s">
        <v>36</v>
      </c>
      <c r="I1805" t="s">
        <v>2571</v>
      </c>
      <c r="J1805" t="s">
        <v>20</v>
      </c>
      <c r="K1805" t="s">
        <v>59</v>
      </c>
      <c r="L1805" t="s">
        <v>22</v>
      </c>
      <c r="M1805" t="s">
        <v>23</v>
      </c>
      <c r="N1805">
        <f>Sheet1[[#This Row],[Quantity]]*Sheet1[[#This Row],[UnitPrice]]</f>
        <v>279.34999999999997</v>
      </c>
    </row>
    <row r="1806" spans="1:14" x14ac:dyDescent="0.3">
      <c r="A1806" s="1">
        <v>45016</v>
      </c>
      <c r="B1806" t="s">
        <v>190</v>
      </c>
      <c r="C1806" t="s">
        <v>101</v>
      </c>
      <c r="D1806" t="s">
        <v>16</v>
      </c>
      <c r="E1806" t="s">
        <v>17</v>
      </c>
      <c r="F1806">
        <v>9</v>
      </c>
      <c r="G1806">
        <v>317.69</v>
      </c>
      <c r="H1806" t="s">
        <v>68</v>
      </c>
      <c r="I1806" t="s">
        <v>2572</v>
      </c>
      <c r="J1806" t="s">
        <v>30</v>
      </c>
      <c r="K1806" t="s">
        <v>45</v>
      </c>
      <c r="L1806" t="s">
        <v>39</v>
      </c>
      <c r="M1806" t="s">
        <v>40</v>
      </c>
      <c r="N1806">
        <f>Sheet1[[#This Row],[Quantity]]*Sheet1[[#This Row],[UnitPrice]]</f>
        <v>2859.21</v>
      </c>
    </row>
    <row r="1807" spans="1:14" x14ac:dyDescent="0.3">
      <c r="A1807" s="1">
        <v>45213</v>
      </c>
      <c r="B1807" t="s">
        <v>182</v>
      </c>
      <c r="C1807" t="s">
        <v>73</v>
      </c>
      <c r="D1807" t="s">
        <v>74</v>
      </c>
      <c r="E1807" t="s">
        <v>35</v>
      </c>
      <c r="F1807">
        <v>3</v>
      </c>
      <c r="G1807">
        <v>22.13</v>
      </c>
      <c r="H1807" t="s">
        <v>68</v>
      </c>
      <c r="I1807" t="s">
        <v>2573</v>
      </c>
      <c r="J1807" t="s">
        <v>38</v>
      </c>
      <c r="K1807" t="s">
        <v>45</v>
      </c>
      <c r="L1807" t="s">
        <v>22</v>
      </c>
      <c r="M1807" t="s">
        <v>23</v>
      </c>
      <c r="N1807">
        <f>Sheet1[[#This Row],[Quantity]]*Sheet1[[#This Row],[UnitPrice]]</f>
        <v>66.39</v>
      </c>
    </row>
    <row r="1808" spans="1:14" x14ac:dyDescent="0.3">
      <c r="A1808" s="1">
        <v>45327</v>
      </c>
      <c r="B1808" t="s">
        <v>1690</v>
      </c>
      <c r="C1808" t="s">
        <v>73</v>
      </c>
      <c r="D1808" t="s">
        <v>26</v>
      </c>
      <c r="E1808" t="s">
        <v>35</v>
      </c>
      <c r="F1808">
        <v>2</v>
      </c>
      <c r="G1808">
        <v>162.37</v>
      </c>
      <c r="H1808" t="s">
        <v>18</v>
      </c>
      <c r="I1808" t="s">
        <v>2574</v>
      </c>
      <c r="J1808" t="s">
        <v>20</v>
      </c>
      <c r="K1808" t="s">
        <v>31</v>
      </c>
      <c r="L1808" t="s">
        <v>39</v>
      </c>
      <c r="M1808" t="s">
        <v>49</v>
      </c>
      <c r="N1808">
        <f>Sheet1[[#This Row],[Quantity]]*Sheet1[[#This Row],[UnitPrice]]</f>
        <v>324.74</v>
      </c>
    </row>
    <row r="1809" spans="1:14" x14ac:dyDescent="0.3">
      <c r="A1809" s="1">
        <v>45171</v>
      </c>
      <c r="B1809" t="s">
        <v>2266</v>
      </c>
      <c r="C1809" t="s">
        <v>101</v>
      </c>
      <c r="D1809" t="s">
        <v>47</v>
      </c>
      <c r="E1809" t="s">
        <v>35</v>
      </c>
      <c r="F1809">
        <v>5</v>
      </c>
      <c r="G1809">
        <v>327.60000000000002</v>
      </c>
      <c r="H1809" t="s">
        <v>18</v>
      </c>
      <c r="I1809" t="s">
        <v>2575</v>
      </c>
      <c r="J1809" t="s">
        <v>38</v>
      </c>
      <c r="K1809" t="s">
        <v>21</v>
      </c>
      <c r="L1809" t="s">
        <v>22</v>
      </c>
      <c r="M1809" t="s">
        <v>23</v>
      </c>
      <c r="N1809">
        <f>Sheet1[[#This Row],[Quantity]]*Sheet1[[#This Row],[UnitPrice]]</f>
        <v>1638</v>
      </c>
    </row>
    <row r="1810" spans="1:14" x14ac:dyDescent="0.3">
      <c r="A1810" s="1">
        <v>45136</v>
      </c>
      <c r="B1810" t="s">
        <v>24</v>
      </c>
      <c r="C1810" t="s">
        <v>51</v>
      </c>
      <c r="D1810" t="s">
        <v>16</v>
      </c>
      <c r="E1810" t="s">
        <v>27</v>
      </c>
      <c r="F1810">
        <v>9</v>
      </c>
      <c r="G1810">
        <v>52.04</v>
      </c>
      <c r="H1810" t="s">
        <v>18</v>
      </c>
      <c r="I1810" t="s">
        <v>2576</v>
      </c>
      <c r="J1810" t="s">
        <v>44</v>
      </c>
      <c r="K1810" t="s">
        <v>21</v>
      </c>
      <c r="L1810" t="s">
        <v>22</v>
      </c>
      <c r="M1810" t="s">
        <v>23</v>
      </c>
      <c r="N1810">
        <f>Sheet1[[#This Row],[Quantity]]*Sheet1[[#This Row],[UnitPrice]]</f>
        <v>468.36</v>
      </c>
    </row>
    <row r="1811" spans="1:14" x14ac:dyDescent="0.3">
      <c r="A1811" s="1">
        <v>45327</v>
      </c>
      <c r="B1811" t="s">
        <v>601</v>
      </c>
      <c r="C1811" t="s">
        <v>15</v>
      </c>
      <c r="D1811" t="s">
        <v>16</v>
      </c>
      <c r="E1811" t="s">
        <v>52</v>
      </c>
      <c r="F1811">
        <v>4</v>
      </c>
      <c r="G1811">
        <v>167.94</v>
      </c>
      <c r="H1811" t="s">
        <v>68</v>
      </c>
      <c r="I1811" t="s">
        <v>2577</v>
      </c>
      <c r="J1811" t="s">
        <v>30</v>
      </c>
      <c r="K1811" t="s">
        <v>31</v>
      </c>
      <c r="L1811" t="s">
        <v>60</v>
      </c>
      <c r="M1811" t="s">
        <v>49</v>
      </c>
      <c r="N1811">
        <f>Sheet1[[#This Row],[Quantity]]*Sheet1[[#This Row],[UnitPrice]]</f>
        <v>671.76</v>
      </c>
    </row>
    <row r="1812" spans="1:14" x14ac:dyDescent="0.3">
      <c r="A1812" s="1">
        <v>45720</v>
      </c>
      <c r="B1812" t="s">
        <v>787</v>
      </c>
      <c r="C1812" t="s">
        <v>73</v>
      </c>
      <c r="D1812" t="s">
        <v>47</v>
      </c>
      <c r="E1812" t="s">
        <v>17</v>
      </c>
      <c r="F1812">
        <v>3</v>
      </c>
      <c r="G1812">
        <v>48.51</v>
      </c>
      <c r="H1812" t="s">
        <v>36</v>
      </c>
      <c r="I1812" t="s">
        <v>2578</v>
      </c>
      <c r="J1812" t="s">
        <v>58</v>
      </c>
      <c r="K1812" t="s">
        <v>59</v>
      </c>
      <c r="L1812" t="s">
        <v>22</v>
      </c>
      <c r="M1812" t="s">
        <v>84</v>
      </c>
      <c r="N1812">
        <f>Sheet1[[#This Row],[Quantity]]*Sheet1[[#This Row],[UnitPrice]]</f>
        <v>145.53</v>
      </c>
    </row>
    <row r="1813" spans="1:14" x14ac:dyDescent="0.3">
      <c r="A1813" s="1">
        <v>45452</v>
      </c>
      <c r="B1813" t="s">
        <v>748</v>
      </c>
      <c r="C1813" t="s">
        <v>51</v>
      </c>
      <c r="D1813" t="s">
        <v>26</v>
      </c>
      <c r="E1813" t="s">
        <v>64</v>
      </c>
      <c r="F1813">
        <v>7</v>
      </c>
      <c r="G1813">
        <v>250.94</v>
      </c>
      <c r="H1813" t="s">
        <v>36</v>
      </c>
      <c r="I1813" t="s">
        <v>2579</v>
      </c>
      <c r="J1813" t="s">
        <v>30</v>
      </c>
      <c r="K1813" t="s">
        <v>31</v>
      </c>
      <c r="L1813" t="s">
        <v>22</v>
      </c>
      <c r="M1813" t="s">
        <v>61</v>
      </c>
      <c r="N1813">
        <f>Sheet1[[#This Row],[Quantity]]*Sheet1[[#This Row],[UnitPrice]]</f>
        <v>1756.58</v>
      </c>
    </row>
    <row r="1814" spans="1:14" x14ac:dyDescent="0.3">
      <c r="A1814" s="1">
        <v>45014</v>
      </c>
      <c r="B1814" t="s">
        <v>192</v>
      </c>
      <c r="C1814" t="s">
        <v>78</v>
      </c>
      <c r="D1814" t="s">
        <v>16</v>
      </c>
      <c r="E1814" t="s">
        <v>64</v>
      </c>
      <c r="F1814">
        <v>10</v>
      </c>
      <c r="G1814">
        <v>72.599999999999994</v>
      </c>
      <c r="H1814" t="s">
        <v>53</v>
      </c>
      <c r="I1814" t="s">
        <v>2580</v>
      </c>
      <c r="J1814" t="s">
        <v>44</v>
      </c>
      <c r="K1814" t="s">
        <v>59</v>
      </c>
      <c r="L1814" t="s">
        <v>60</v>
      </c>
      <c r="M1814" t="s">
        <v>76</v>
      </c>
      <c r="N1814">
        <f>Sheet1[[#This Row],[Quantity]]*Sheet1[[#This Row],[UnitPrice]]</f>
        <v>726</v>
      </c>
    </row>
    <row r="1815" spans="1:14" x14ac:dyDescent="0.3">
      <c r="A1815" s="1">
        <v>45730</v>
      </c>
      <c r="B1815" t="s">
        <v>886</v>
      </c>
      <c r="C1815" t="s">
        <v>15</v>
      </c>
      <c r="D1815" t="s">
        <v>26</v>
      </c>
      <c r="E1815" t="s">
        <v>27</v>
      </c>
      <c r="F1815">
        <v>2</v>
      </c>
      <c r="G1815">
        <v>229.46</v>
      </c>
      <c r="H1815" t="s">
        <v>53</v>
      </c>
      <c r="I1815" t="s">
        <v>2581</v>
      </c>
      <c r="J1815" t="s">
        <v>20</v>
      </c>
      <c r="K1815" t="s">
        <v>31</v>
      </c>
      <c r="L1815" t="s">
        <v>22</v>
      </c>
      <c r="M1815" t="s">
        <v>40</v>
      </c>
      <c r="N1815">
        <f>Sheet1[[#This Row],[Quantity]]*Sheet1[[#This Row],[UnitPrice]]</f>
        <v>458.92</v>
      </c>
    </row>
    <row r="1816" spans="1:14" x14ac:dyDescent="0.3">
      <c r="A1816" s="1">
        <v>45317</v>
      </c>
      <c r="B1816" t="s">
        <v>2582</v>
      </c>
      <c r="C1816" t="s">
        <v>90</v>
      </c>
      <c r="D1816" t="s">
        <v>47</v>
      </c>
      <c r="E1816" t="s">
        <v>52</v>
      </c>
      <c r="F1816">
        <v>7</v>
      </c>
      <c r="G1816">
        <v>89.98</v>
      </c>
      <c r="H1816" t="s">
        <v>36</v>
      </c>
      <c r="I1816" t="s">
        <v>2583</v>
      </c>
      <c r="J1816" t="s">
        <v>20</v>
      </c>
      <c r="K1816" t="s">
        <v>31</v>
      </c>
      <c r="L1816" t="s">
        <v>39</v>
      </c>
      <c r="M1816" t="s">
        <v>40</v>
      </c>
      <c r="N1816">
        <f>Sheet1[[#This Row],[Quantity]]*Sheet1[[#This Row],[UnitPrice]]</f>
        <v>629.86</v>
      </c>
    </row>
    <row r="1817" spans="1:14" x14ac:dyDescent="0.3">
      <c r="A1817" s="1">
        <v>45423</v>
      </c>
      <c r="B1817" t="s">
        <v>1717</v>
      </c>
      <c r="C1817" t="s">
        <v>25</v>
      </c>
      <c r="D1817" t="s">
        <v>26</v>
      </c>
      <c r="E1817" t="s">
        <v>27</v>
      </c>
      <c r="F1817">
        <v>10</v>
      </c>
      <c r="G1817">
        <v>299.33</v>
      </c>
      <c r="H1817" t="s">
        <v>68</v>
      </c>
      <c r="I1817" t="s">
        <v>2584</v>
      </c>
      <c r="J1817" t="s">
        <v>58</v>
      </c>
      <c r="K1817" t="s">
        <v>21</v>
      </c>
      <c r="L1817" t="s">
        <v>60</v>
      </c>
      <c r="M1817" t="s">
        <v>23</v>
      </c>
      <c r="N1817">
        <f>Sheet1[[#This Row],[Quantity]]*Sheet1[[#This Row],[UnitPrice]]</f>
        <v>2993.2999999999997</v>
      </c>
    </row>
    <row r="1818" spans="1:14" x14ac:dyDescent="0.3">
      <c r="A1818" s="1">
        <v>45739</v>
      </c>
      <c r="B1818" t="s">
        <v>931</v>
      </c>
      <c r="C1818" t="s">
        <v>51</v>
      </c>
      <c r="D1818" t="s">
        <v>47</v>
      </c>
      <c r="E1818" t="s">
        <v>42</v>
      </c>
      <c r="F1818">
        <v>3</v>
      </c>
      <c r="G1818">
        <v>269.05</v>
      </c>
      <c r="H1818" t="s">
        <v>53</v>
      </c>
      <c r="I1818" t="s">
        <v>2585</v>
      </c>
      <c r="J1818" t="s">
        <v>30</v>
      </c>
      <c r="K1818" t="s">
        <v>21</v>
      </c>
      <c r="L1818" t="s">
        <v>22</v>
      </c>
      <c r="M1818" t="s">
        <v>61</v>
      </c>
      <c r="N1818">
        <f>Sheet1[[#This Row],[Quantity]]*Sheet1[[#This Row],[UnitPrice]]</f>
        <v>807.15000000000009</v>
      </c>
    </row>
    <row r="1819" spans="1:14" x14ac:dyDescent="0.3">
      <c r="A1819" s="1">
        <v>45715</v>
      </c>
      <c r="B1819" t="s">
        <v>2586</v>
      </c>
      <c r="C1819" t="s">
        <v>78</v>
      </c>
      <c r="D1819" t="s">
        <v>47</v>
      </c>
      <c r="E1819" t="s">
        <v>52</v>
      </c>
      <c r="F1819">
        <v>5</v>
      </c>
      <c r="G1819">
        <v>254.98</v>
      </c>
      <c r="H1819" t="s">
        <v>18</v>
      </c>
      <c r="I1819" t="s">
        <v>2587</v>
      </c>
      <c r="J1819" t="s">
        <v>58</v>
      </c>
      <c r="K1819" t="s">
        <v>21</v>
      </c>
      <c r="L1819" t="s">
        <v>60</v>
      </c>
      <c r="M1819" t="s">
        <v>32</v>
      </c>
      <c r="N1819">
        <f>Sheet1[[#This Row],[Quantity]]*Sheet1[[#This Row],[UnitPrice]]</f>
        <v>1274.8999999999999</v>
      </c>
    </row>
    <row r="1820" spans="1:14" x14ac:dyDescent="0.3">
      <c r="A1820" s="1">
        <v>45265</v>
      </c>
      <c r="B1820" t="s">
        <v>2588</v>
      </c>
      <c r="C1820" t="s">
        <v>73</v>
      </c>
      <c r="D1820" t="s">
        <v>47</v>
      </c>
      <c r="E1820" t="s">
        <v>67</v>
      </c>
      <c r="F1820">
        <v>6</v>
      </c>
      <c r="G1820">
        <v>196.33</v>
      </c>
      <c r="H1820" t="s">
        <v>68</v>
      </c>
      <c r="I1820" t="s">
        <v>2589</v>
      </c>
      <c r="J1820" t="s">
        <v>44</v>
      </c>
      <c r="K1820" t="s">
        <v>21</v>
      </c>
      <c r="L1820" t="s">
        <v>22</v>
      </c>
      <c r="M1820" t="s">
        <v>84</v>
      </c>
      <c r="N1820">
        <f>Sheet1[[#This Row],[Quantity]]*Sheet1[[#This Row],[UnitPrice]]</f>
        <v>1177.98</v>
      </c>
    </row>
    <row r="1821" spans="1:14" x14ac:dyDescent="0.3">
      <c r="A1821" s="1">
        <v>45504</v>
      </c>
      <c r="B1821" t="s">
        <v>1844</v>
      </c>
      <c r="C1821" t="s">
        <v>56</v>
      </c>
      <c r="D1821" t="s">
        <v>74</v>
      </c>
      <c r="E1821" t="s">
        <v>52</v>
      </c>
      <c r="F1821">
        <v>8</v>
      </c>
      <c r="G1821">
        <v>265.63</v>
      </c>
      <c r="H1821" t="s">
        <v>28</v>
      </c>
      <c r="I1821" t="s">
        <v>2590</v>
      </c>
      <c r="J1821" t="s">
        <v>58</v>
      </c>
      <c r="K1821" t="s">
        <v>31</v>
      </c>
      <c r="L1821" t="s">
        <v>39</v>
      </c>
      <c r="M1821" t="s">
        <v>76</v>
      </c>
      <c r="N1821">
        <f>Sheet1[[#This Row],[Quantity]]*Sheet1[[#This Row],[UnitPrice]]</f>
        <v>2125.04</v>
      </c>
    </row>
    <row r="1822" spans="1:14" x14ac:dyDescent="0.3">
      <c r="A1822" s="1">
        <v>45479</v>
      </c>
      <c r="B1822" t="s">
        <v>94</v>
      </c>
      <c r="C1822" t="s">
        <v>101</v>
      </c>
      <c r="D1822" t="s">
        <v>47</v>
      </c>
      <c r="E1822" t="s">
        <v>52</v>
      </c>
      <c r="F1822">
        <v>9</v>
      </c>
      <c r="G1822">
        <v>220.84</v>
      </c>
      <c r="H1822" t="s">
        <v>28</v>
      </c>
      <c r="I1822" t="s">
        <v>2591</v>
      </c>
      <c r="J1822" t="s">
        <v>38</v>
      </c>
      <c r="K1822" t="s">
        <v>59</v>
      </c>
      <c r="L1822" t="s">
        <v>22</v>
      </c>
      <c r="M1822" t="s">
        <v>23</v>
      </c>
      <c r="N1822">
        <f>Sheet1[[#This Row],[Quantity]]*Sheet1[[#This Row],[UnitPrice]]</f>
        <v>1987.56</v>
      </c>
    </row>
    <row r="1823" spans="1:14" x14ac:dyDescent="0.3">
      <c r="A1823" s="1">
        <v>45200</v>
      </c>
      <c r="B1823" t="s">
        <v>2535</v>
      </c>
      <c r="C1823" t="s">
        <v>73</v>
      </c>
      <c r="D1823" t="s">
        <v>16</v>
      </c>
      <c r="E1823" t="s">
        <v>42</v>
      </c>
      <c r="F1823">
        <v>3</v>
      </c>
      <c r="G1823">
        <v>190.25</v>
      </c>
      <c r="H1823" t="s">
        <v>28</v>
      </c>
      <c r="I1823" t="s">
        <v>2592</v>
      </c>
      <c r="J1823" t="s">
        <v>58</v>
      </c>
      <c r="K1823" t="s">
        <v>21</v>
      </c>
      <c r="L1823" t="s">
        <v>22</v>
      </c>
      <c r="M1823" t="s">
        <v>61</v>
      </c>
      <c r="N1823">
        <f>Sheet1[[#This Row],[Quantity]]*Sheet1[[#This Row],[UnitPrice]]</f>
        <v>570.75</v>
      </c>
    </row>
    <row r="1824" spans="1:14" x14ac:dyDescent="0.3">
      <c r="A1824" s="1">
        <v>45584</v>
      </c>
      <c r="B1824" t="s">
        <v>220</v>
      </c>
      <c r="C1824" t="s">
        <v>63</v>
      </c>
      <c r="D1824" t="s">
        <v>74</v>
      </c>
      <c r="E1824" t="s">
        <v>17</v>
      </c>
      <c r="F1824">
        <v>7</v>
      </c>
      <c r="G1824">
        <v>45.06</v>
      </c>
      <c r="H1824" t="s">
        <v>36</v>
      </c>
      <c r="I1824" t="s">
        <v>2593</v>
      </c>
      <c r="J1824" t="s">
        <v>20</v>
      </c>
      <c r="K1824" t="s">
        <v>21</v>
      </c>
      <c r="L1824" t="s">
        <v>22</v>
      </c>
      <c r="M1824" t="s">
        <v>23</v>
      </c>
      <c r="N1824">
        <f>Sheet1[[#This Row],[Quantity]]*Sheet1[[#This Row],[UnitPrice]]</f>
        <v>315.42</v>
      </c>
    </row>
    <row r="1825" spans="1:14" x14ac:dyDescent="0.3">
      <c r="A1825" s="1">
        <v>45400</v>
      </c>
      <c r="B1825" t="s">
        <v>2594</v>
      </c>
      <c r="C1825" t="s">
        <v>34</v>
      </c>
      <c r="D1825" t="s">
        <v>47</v>
      </c>
      <c r="E1825" t="s">
        <v>52</v>
      </c>
      <c r="F1825">
        <v>8</v>
      </c>
      <c r="G1825">
        <v>243.8</v>
      </c>
      <c r="H1825" t="s">
        <v>18</v>
      </c>
      <c r="I1825" t="s">
        <v>2595</v>
      </c>
      <c r="J1825" t="s">
        <v>38</v>
      </c>
      <c r="K1825" t="s">
        <v>45</v>
      </c>
      <c r="L1825" t="s">
        <v>39</v>
      </c>
      <c r="M1825" t="s">
        <v>32</v>
      </c>
      <c r="N1825">
        <f>Sheet1[[#This Row],[Quantity]]*Sheet1[[#This Row],[UnitPrice]]</f>
        <v>1950.4</v>
      </c>
    </row>
    <row r="1826" spans="1:14" x14ac:dyDescent="0.3">
      <c r="A1826" s="1">
        <v>45596</v>
      </c>
      <c r="B1826" t="s">
        <v>958</v>
      </c>
      <c r="C1826" t="s">
        <v>78</v>
      </c>
      <c r="D1826" t="s">
        <v>47</v>
      </c>
      <c r="E1826" t="s">
        <v>52</v>
      </c>
      <c r="F1826">
        <v>8</v>
      </c>
      <c r="G1826">
        <v>99.9</v>
      </c>
      <c r="H1826" t="s">
        <v>28</v>
      </c>
      <c r="I1826" t="s">
        <v>2596</v>
      </c>
      <c r="J1826" t="s">
        <v>20</v>
      </c>
      <c r="K1826" t="s">
        <v>21</v>
      </c>
      <c r="L1826" t="s">
        <v>39</v>
      </c>
      <c r="M1826" t="s">
        <v>32</v>
      </c>
      <c r="N1826">
        <f>Sheet1[[#This Row],[Quantity]]*Sheet1[[#This Row],[UnitPrice]]</f>
        <v>799.2</v>
      </c>
    </row>
    <row r="1827" spans="1:14" x14ac:dyDescent="0.3">
      <c r="A1827" s="1">
        <v>44939</v>
      </c>
      <c r="B1827" t="s">
        <v>2327</v>
      </c>
      <c r="C1827" t="s">
        <v>101</v>
      </c>
      <c r="D1827" t="s">
        <v>47</v>
      </c>
      <c r="E1827" t="s">
        <v>27</v>
      </c>
      <c r="F1827">
        <v>5</v>
      </c>
      <c r="G1827">
        <v>106.33</v>
      </c>
      <c r="H1827" t="s">
        <v>36</v>
      </c>
      <c r="I1827" t="s">
        <v>2597</v>
      </c>
      <c r="J1827" t="s">
        <v>38</v>
      </c>
      <c r="K1827" t="s">
        <v>45</v>
      </c>
      <c r="L1827" t="s">
        <v>39</v>
      </c>
      <c r="M1827" t="s">
        <v>40</v>
      </c>
      <c r="N1827">
        <f>Sheet1[[#This Row],[Quantity]]*Sheet1[[#This Row],[UnitPrice]]</f>
        <v>531.65</v>
      </c>
    </row>
    <row r="1828" spans="1:14" x14ac:dyDescent="0.3">
      <c r="A1828" s="1">
        <v>45776</v>
      </c>
      <c r="B1828" t="s">
        <v>1174</v>
      </c>
      <c r="C1828" t="s">
        <v>51</v>
      </c>
      <c r="D1828" t="s">
        <v>74</v>
      </c>
      <c r="E1828" t="s">
        <v>64</v>
      </c>
      <c r="F1828">
        <v>5</v>
      </c>
      <c r="G1828">
        <v>95.82</v>
      </c>
      <c r="H1828" t="s">
        <v>53</v>
      </c>
      <c r="I1828" t="s">
        <v>2598</v>
      </c>
      <c r="J1828" t="s">
        <v>20</v>
      </c>
      <c r="K1828" t="s">
        <v>31</v>
      </c>
      <c r="L1828" t="s">
        <v>22</v>
      </c>
      <c r="M1828" t="s">
        <v>84</v>
      </c>
      <c r="N1828">
        <f>Sheet1[[#This Row],[Quantity]]*Sheet1[[#This Row],[UnitPrice]]</f>
        <v>479.09999999999997</v>
      </c>
    </row>
    <row r="1829" spans="1:14" x14ac:dyDescent="0.3">
      <c r="A1829" s="1">
        <v>45501</v>
      </c>
      <c r="B1829" t="s">
        <v>363</v>
      </c>
      <c r="C1829" t="s">
        <v>101</v>
      </c>
      <c r="D1829" t="s">
        <v>26</v>
      </c>
      <c r="E1829" t="s">
        <v>35</v>
      </c>
      <c r="F1829">
        <v>6</v>
      </c>
      <c r="G1829">
        <v>165.69</v>
      </c>
      <c r="H1829" t="s">
        <v>68</v>
      </c>
      <c r="I1829" t="s">
        <v>2599</v>
      </c>
      <c r="J1829" t="s">
        <v>58</v>
      </c>
      <c r="K1829" t="s">
        <v>31</v>
      </c>
      <c r="L1829" t="s">
        <v>60</v>
      </c>
      <c r="M1829" t="s">
        <v>61</v>
      </c>
      <c r="N1829">
        <f>Sheet1[[#This Row],[Quantity]]*Sheet1[[#This Row],[UnitPrice]]</f>
        <v>994.14</v>
      </c>
    </row>
    <row r="1830" spans="1:14" x14ac:dyDescent="0.3">
      <c r="A1830" s="1">
        <v>45299</v>
      </c>
      <c r="B1830" t="s">
        <v>1167</v>
      </c>
      <c r="C1830" t="s">
        <v>51</v>
      </c>
      <c r="D1830" t="s">
        <v>74</v>
      </c>
      <c r="E1830" t="s">
        <v>35</v>
      </c>
      <c r="F1830">
        <v>9</v>
      </c>
      <c r="G1830">
        <v>244.46</v>
      </c>
      <c r="H1830" t="s">
        <v>53</v>
      </c>
      <c r="I1830" t="s">
        <v>2600</v>
      </c>
      <c r="J1830" t="s">
        <v>44</v>
      </c>
      <c r="K1830" t="s">
        <v>45</v>
      </c>
      <c r="L1830" t="s">
        <v>60</v>
      </c>
      <c r="M1830" t="s">
        <v>49</v>
      </c>
      <c r="N1830">
        <f>Sheet1[[#This Row],[Quantity]]*Sheet1[[#This Row],[UnitPrice]]</f>
        <v>2200.14</v>
      </c>
    </row>
    <row r="1831" spans="1:14" x14ac:dyDescent="0.3">
      <c r="A1831" s="1">
        <v>45198</v>
      </c>
      <c r="B1831" t="s">
        <v>1968</v>
      </c>
      <c r="C1831" t="s">
        <v>51</v>
      </c>
      <c r="D1831" t="s">
        <v>26</v>
      </c>
      <c r="E1831" t="s">
        <v>35</v>
      </c>
      <c r="F1831">
        <v>4</v>
      </c>
      <c r="G1831">
        <v>265.38</v>
      </c>
      <c r="H1831" t="s">
        <v>28</v>
      </c>
      <c r="I1831" t="s">
        <v>2601</v>
      </c>
      <c r="J1831" t="s">
        <v>30</v>
      </c>
      <c r="K1831" t="s">
        <v>31</v>
      </c>
      <c r="L1831" t="s">
        <v>22</v>
      </c>
      <c r="M1831" t="s">
        <v>40</v>
      </c>
      <c r="N1831">
        <f>Sheet1[[#This Row],[Quantity]]*Sheet1[[#This Row],[UnitPrice]]</f>
        <v>1061.52</v>
      </c>
    </row>
    <row r="1832" spans="1:14" x14ac:dyDescent="0.3">
      <c r="A1832" s="1">
        <v>45319</v>
      </c>
      <c r="B1832" t="s">
        <v>481</v>
      </c>
      <c r="C1832" t="s">
        <v>15</v>
      </c>
      <c r="D1832" t="s">
        <v>47</v>
      </c>
      <c r="E1832" t="s">
        <v>17</v>
      </c>
      <c r="F1832">
        <v>2</v>
      </c>
      <c r="G1832">
        <v>94.02</v>
      </c>
      <c r="H1832" t="s">
        <v>36</v>
      </c>
      <c r="I1832" t="s">
        <v>2602</v>
      </c>
      <c r="J1832" t="s">
        <v>20</v>
      </c>
      <c r="K1832" t="s">
        <v>59</v>
      </c>
      <c r="L1832" t="s">
        <v>60</v>
      </c>
      <c r="M1832" t="s">
        <v>61</v>
      </c>
      <c r="N1832">
        <f>Sheet1[[#This Row],[Quantity]]*Sheet1[[#This Row],[UnitPrice]]</f>
        <v>188.04</v>
      </c>
    </row>
    <row r="1833" spans="1:14" x14ac:dyDescent="0.3">
      <c r="A1833" s="1">
        <v>45036</v>
      </c>
      <c r="B1833" t="s">
        <v>765</v>
      </c>
      <c r="C1833" t="s">
        <v>56</v>
      </c>
      <c r="D1833" t="s">
        <v>26</v>
      </c>
      <c r="E1833" t="s">
        <v>67</v>
      </c>
      <c r="F1833">
        <v>4</v>
      </c>
      <c r="G1833">
        <v>188.71</v>
      </c>
      <c r="H1833" t="s">
        <v>28</v>
      </c>
      <c r="I1833" t="s">
        <v>2603</v>
      </c>
      <c r="J1833" t="s">
        <v>44</v>
      </c>
      <c r="K1833" t="s">
        <v>21</v>
      </c>
      <c r="L1833" t="s">
        <v>39</v>
      </c>
      <c r="M1833" t="s">
        <v>32</v>
      </c>
      <c r="N1833">
        <f>Sheet1[[#This Row],[Quantity]]*Sheet1[[#This Row],[UnitPrice]]</f>
        <v>754.84</v>
      </c>
    </row>
    <row r="1834" spans="1:14" x14ac:dyDescent="0.3">
      <c r="A1834" s="1">
        <v>45195</v>
      </c>
      <c r="B1834" t="s">
        <v>837</v>
      </c>
      <c r="C1834" t="s">
        <v>101</v>
      </c>
      <c r="D1834" t="s">
        <v>74</v>
      </c>
      <c r="E1834" t="s">
        <v>17</v>
      </c>
      <c r="F1834">
        <v>8</v>
      </c>
      <c r="G1834">
        <v>161.61000000000001</v>
      </c>
      <c r="H1834" t="s">
        <v>18</v>
      </c>
      <c r="I1834" t="s">
        <v>2604</v>
      </c>
      <c r="J1834" t="s">
        <v>38</v>
      </c>
      <c r="K1834" t="s">
        <v>45</v>
      </c>
      <c r="L1834" t="s">
        <v>60</v>
      </c>
      <c r="M1834" t="s">
        <v>84</v>
      </c>
      <c r="N1834">
        <f>Sheet1[[#This Row],[Quantity]]*Sheet1[[#This Row],[UnitPrice]]</f>
        <v>1292.8800000000001</v>
      </c>
    </row>
    <row r="1835" spans="1:14" x14ac:dyDescent="0.3">
      <c r="A1835" s="1">
        <v>45631</v>
      </c>
      <c r="B1835" t="s">
        <v>1951</v>
      </c>
      <c r="C1835" t="s">
        <v>101</v>
      </c>
      <c r="D1835" t="s">
        <v>26</v>
      </c>
      <c r="E1835" t="s">
        <v>67</v>
      </c>
      <c r="F1835">
        <v>7</v>
      </c>
      <c r="G1835">
        <v>52.07</v>
      </c>
      <c r="H1835" t="s">
        <v>18</v>
      </c>
      <c r="I1835" t="s">
        <v>2605</v>
      </c>
      <c r="J1835" t="s">
        <v>58</v>
      </c>
      <c r="K1835" t="s">
        <v>45</v>
      </c>
      <c r="L1835" t="s">
        <v>39</v>
      </c>
      <c r="M1835" t="s">
        <v>32</v>
      </c>
      <c r="N1835">
        <f>Sheet1[[#This Row],[Quantity]]*Sheet1[[#This Row],[UnitPrice]]</f>
        <v>364.49</v>
      </c>
    </row>
    <row r="1836" spans="1:14" x14ac:dyDescent="0.3">
      <c r="A1836" s="1">
        <v>45637</v>
      </c>
      <c r="B1836" t="s">
        <v>1603</v>
      </c>
      <c r="C1836" t="s">
        <v>73</v>
      </c>
      <c r="D1836" t="s">
        <v>47</v>
      </c>
      <c r="E1836" t="s">
        <v>42</v>
      </c>
      <c r="F1836">
        <v>7</v>
      </c>
      <c r="G1836">
        <v>324.85000000000002</v>
      </c>
      <c r="H1836" t="s">
        <v>36</v>
      </c>
      <c r="I1836" t="s">
        <v>2606</v>
      </c>
      <c r="J1836" t="s">
        <v>20</v>
      </c>
      <c r="K1836" t="s">
        <v>45</v>
      </c>
      <c r="L1836" t="s">
        <v>22</v>
      </c>
      <c r="M1836" t="s">
        <v>76</v>
      </c>
      <c r="N1836">
        <f>Sheet1[[#This Row],[Quantity]]*Sheet1[[#This Row],[UnitPrice]]</f>
        <v>2273.9500000000003</v>
      </c>
    </row>
    <row r="1837" spans="1:14" x14ac:dyDescent="0.3">
      <c r="A1837" s="1">
        <v>45633</v>
      </c>
      <c r="B1837" t="s">
        <v>1161</v>
      </c>
      <c r="C1837" t="s">
        <v>90</v>
      </c>
      <c r="D1837" t="s">
        <v>16</v>
      </c>
      <c r="E1837" t="s">
        <v>64</v>
      </c>
      <c r="F1837">
        <v>9</v>
      </c>
      <c r="G1837">
        <v>269.56</v>
      </c>
      <c r="H1837" t="s">
        <v>28</v>
      </c>
      <c r="I1837" t="s">
        <v>2607</v>
      </c>
      <c r="J1837" t="s">
        <v>58</v>
      </c>
      <c r="K1837" t="s">
        <v>31</v>
      </c>
      <c r="L1837" t="s">
        <v>22</v>
      </c>
      <c r="M1837" t="s">
        <v>23</v>
      </c>
      <c r="N1837">
        <f>Sheet1[[#This Row],[Quantity]]*Sheet1[[#This Row],[UnitPrice]]</f>
        <v>2426.04</v>
      </c>
    </row>
    <row r="1838" spans="1:14" x14ac:dyDescent="0.3">
      <c r="A1838" s="1">
        <v>45151</v>
      </c>
      <c r="B1838" t="s">
        <v>2608</v>
      </c>
      <c r="C1838" t="s">
        <v>25</v>
      </c>
      <c r="D1838" t="s">
        <v>47</v>
      </c>
      <c r="E1838" t="s">
        <v>27</v>
      </c>
      <c r="F1838">
        <v>10</v>
      </c>
      <c r="G1838">
        <v>332.92</v>
      </c>
      <c r="H1838" t="s">
        <v>28</v>
      </c>
      <c r="I1838" t="s">
        <v>2609</v>
      </c>
      <c r="J1838" t="s">
        <v>44</v>
      </c>
      <c r="K1838" t="s">
        <v>59</v>
      </c>
      <c r="L1838" t="s">
        <v>60</v>
      </c>
      <c r="M1838" t="s">
        <v>61</v>
      </c>
      <c r="N1838">
        <f>Sheet1[[#This Row],[Quantity]]*Sheet1[[#This Row],[UnitPrice]]</f>
        <v>3329.2000000000003</v>
      </c>
    </row>
    <row r="1839" spans="1:14" x14ac:dyDescent="0.3">
      <c r="A1839" s="1">
        <v>45245</v>
      </c>
      <c r="B1839" t="s">
        <v>1151</v>
      </c>
      <c r="C1839" t="s">
        <v>63</v>
      </c>
      <c r="D1839" t="s">
        <v>26</v>
      </c>
      <c r="E1839" t="s">
        <v>35</v>
      </c>
      <c r="F1839">
        <v>9</v>
      </c>
      <c r="G1839">
        <v>79.400000000000006</v>
      </c>
      <c r="H1839" t="s">
        <v>53</v>
      </c>
      <c r="I1839" t="s">
        <v>2610</v>
      </c>
      <c r="J1839" t="s">
        <v>44</v>
      </c>
      <c r="K1839" t="s">
        <v>59</v>
      </c>
      <c r="L1839" t="s">
        <v>60</v>
      </c>
      <c r="M1839" t="s">
        <v>76</v>
      </c>
      <c r="N1839">
        <f>Sheet1[[#This Row],[Quantity]]*Sheet1[[#This Row],[UnitPrice]]</f>
        <v>714.6</v>
      </c>
    </row>
    <row r="1840" spans="1:14" x14ac:dyDescent="0.3">
      <c r="A1840" s="1">
        <v>45606</v>
      </c>
      <c r="B1840" t="s">
        <v>2611</v>
      </c>
      <c r="C1840" t="s">
        <v>63</v>
      </c>
      <c r="D1840" t="s">
        <v>26</v>
      </c>
      <c r="E1840" t="s">
        <v>35</v>
      </c>
      <c r="F1840">
        <v>1</v>
      </c>
      <c r="G1840">
        <v>231.81</v>
      </c>
      <c r="H1840" t="s">
        <v>68</v>
      </c>
      <c r="I1840" t="s">
        <v>2612</v>
      </c>
      <c r="J1840" t="s">
        <v>30</v>
      </c>
      <c r="K1840" t="s">
        <v>59</v>
      </c>
      <c r="L1840" t="s">
        <v>39</v>
      </c>
      <c r="M1840" t="s">
        <v>61</v>
      </c>
      <c r="N1840">
        <f>Sheet1[[#This Row],[Quantity]]*Sheet1[[#This Row],[UnitPrice]]</f>
        <v>231.81</v>
      </c>
    </row>
    <row r="1841" spans="1:14" x14ac:dyDescent="0.3">
      <c r="A1841" s="1">
        <v>45838</v>
      </c>
      <c r="B1841" t="s">
        <v>884</v>
      </c>
      <c r="C1841" t="s">
        <v>63</v>
      </c>
      <c r="D1841" t="s">
        <v>47</v>
      </c>
      <c r="E1841" t="s">
        <v>52</v>
      </c>
      <c r="F1841">
        <v>10</v>
      </c>
      <c r="G1841">
        <v>155.46</v>
      </c>
      <c r="H1841" t="s">
        <v>53</v>
      </c>
      <c r="I1841" t="s">
        <v>2613</v>
      </c>
      <c r="J1841" t="s">
        <v>30</v>
      </c>
      <c r="K1841" t="s">
        <v>21</v>
      </c>
      <c r="L1841" t="s">
        <v>22</v>
      </c>
      <c r="M1841" t="s">
        <v>49</v>
      </c>
      <c r="N1841">
        <f>Sheet1[[#This Row],[Quantity]]*Sheet1[[#This Row],[UnitPrice]]</f>
        <v>1554.6000000000001</v>
      </c>
    </row>
    <row r="1842" spans="1:14" x14ac:dyDescent="0.3">
      <c r="A1842" s="1">
        <v>45627</v>
      </c>
      <c r="B1842" t="s">
        <v>2614</v>
      </c>
      <c r="C1842" t="s">
        <v>56</v>
      </c>
      <c r="D1842" t="s">
        <v>26</v>
      </c>
      <c r="E1842" t="s">
        <v>42</v>
      </c>
      <c r="F1842">
        <v>10</v>
      </c>
      <c r="G1842">
        <v>388.8</v>
      </c>
      <c r="H1842" t="s">
        <v>53</v>
      </c>
      <c r="I1842" t="s">
        <v>2615</v>
      </c>
      <c r="J1842" t="s">
        <v>30</v>
      </c>
      <c r="K1842" t="s">
        <v>21</v>
      </c>
      <c r="L1842" t="s">
        <v>22</v>
      </c>
      <c r="M1842" t="s">
        <v>61</v>
      </c>
      <c r="N1842">
        <f>Sheet1[[#This Row],[Quantity]]*Sheet1[[#This Row],[UnitPrice]]</f>
        <v>3888</v>
      </c>
    </row>
    <row r="1843" spans="1:14" x14ac:dyDescent="0.3">
      <c r="A1843" s="1">
        <v>45582</v>
      </c>
      <c r="B1843" t="s">
        <v>279</v>
      </c>
      <c r="C1843" t="s">
        <v>101</v>
      </c>
      <c r="D1843" t="s">
        <v>16</v>
      </c>
      <c r="E1843" t="s">
        <v>42</v>
      </c>
      <c r="F1843">
        <v>9</v>
      </c>
      <c r="G1843">
        <v>278.23</v>
      </c>
      <c r="H1843" t="s">
        <v>18</v>
      </c>
      <c r="I1843" t="s">
        <v>2616</v>
      </c>
      <c r="J1843" t="s">
        <v>58</v>
      </c>
      <c r="K1843" t="s">
        <v>21</v>
      </c>
      <c r="L1843" t="s">
        <v>39</v>
      </c>
      <c r="M1843" t="s">
        <v>32</v>
      </c>
      <c r="N1843">
        <f>Sheet1[[#This Row],[Quantity]]*Sheet1[[#This Row],[UnitPrice]]</f>
        <v>2504.0700000000002</v>
      </c>
    </row>
    <row r="1844" spans="1:14" x14ac:dyDescent="0.3">
      <c r="A1844" s="1">
        <v>44930</v>
      </c>
      <c r="B1844" t="s">
        <v>2172</v>
      </c>
      <c r="C1844" t="s">
        <v>63</v>
      </c>
      <c r="D1844" t="s">
        <v>47</v>
      </c>
      <c r="E1844" t="s">
        <v>17</v>
      </c>
      <c r="F1844">
        <v>10</v>
      </c>
      <c r="G1844">
        <v>147.91999999999999</v>
      </c>
      <c r="H1844" t="s">
        <v>28</v>
      </c>
      <c r="I1844" t="s">
        <v>2617</v>
      </c>
      <c r="J1844" t="s">
        <v>58</v>
      </c>
      <c r="K1844" t="s">
        <v>45</v>
      </c>
      <c r="L1844" t="s">
        <v>22</v>
      </c>
      <c r="M1844" t="s">
        <v>76</v>
      </c>
      <c r="N1844">
        <f>Sheet1[[#This Row],[Quantity]]*Sheet1[[#This Row],[UnitPrice]]</f>
        <v>1479.1999999999998</v>
      </c>
    </row>
    <row r="1845" spans="1:14" x14ac:dyDescent="0.3">
      <c r="A1845" s="1">
        <v>45470</v>
      </c>
      <c r="B1845" t="s">
        <v>338</v>
      </c>
      <c r="C1845" t="s">
        <v>34</v>
      </c>
      <c r="D1845" t="s">
        <v>26</v>
      </c>
      <c r="E1845" t="s">
        <v>27</v>
      </c>
      <c r="F1845">
        <v>1</v>
      </c>
      <c r="G1845">
        <v>87.51</v>
      </c>
      <c r="H1845" t="s">
        <v>28</v>
      </c>
      <c r="I1845" t="s">
        <v>2618</v>
      </c>
      <c r="J1845" t="s">
        <v>20</v>
      </c>
      <c r="K1845" t="s">
        <v>31</v>
      </c>
      <c r="L1845" t="s">
        <v>60</v>
      </c>
      <c r="M1845" t="s">
        <v>32</v>
      </c>
      <c r="N1845">
        <f>Sheet1[[#This Row],[Quantity]]*Sheet1[[#This Row],[UnitPrice]]</f>
        <v>87.51</v>
      </c>
    </row>
    <row r="1846" spans="1:14" x14ac:dyDescent="0.3">
      <c r="A1846" s="1">
        <v>45048</v>
      </c>
      <c r="B1846" t="s">
        <v>1029</v>
      </c>
      <c r="C1846" t="s">
        <v>73</v>
      </c>
      <c r="D1846" t="s">
        <v>47</v>
      </c>
      <c r="E1846" t="s">
        <v>27</v>
      </c>
      <c r="F1846">
        <v>3</v>
      </c>
      <c r="G1846">
        <v>391.06</v>
      </c>
      <c r="H1846" t="s">
        <v>53</v>
      </c>
      <c r="I1846" t="s">
        <v>2619</v>
      </c>
      <c r="J1846" t="s">
        <v>20</v>
      </c>
      <c r="K1846" t="s">
        <v>31</v>
      </c>
      <c r="L1846" t="s">
        <v>60</v>
      </c>
      <c r="M1846" t="s">
        <v>84</v>
      </c>
      <c r="N1846">
        <f>Sheet1[[#This Row],[Quantity]]*Sheet1[[#This Row],[UnitPrice]]</f>
        <v>1173.18</v>
      </c>
    </row>
    <row r="1847" spans="1:14" x14ac:dyDescent="0.3">
      <c r="A1847" s="1">
        <v>45838</v>
      </c>
      <c r="B1847" t="s">
        <v>338</v>
      </c>
      <c r="C1847" t="s">
        <v>56</v>
      </c>
      <c r="D1847" t="s">
        <v>74</v>
      </c>
      <c r="E1847" t="s">
        <v>67</v>
      </c>
      <c r="F1847">
        <v>4</v>
      </c>
      <c r="G1847">
        <v>355.18</v>
      </c>
      <c r="H1847" t="s">
        <v>28</v>
      </c>
      <c r="I1847" t="s">
        <v>2620</v>
      </c>
      <c r="J1847" t="s">
        <v>30</v>
      </c>
      <c r="K1847" t="s">
        <v>31</v>
      </c>
      <c r="L1847" t="s">
        <v>60</v>
      </c>
      <c r="M1847" t="s">
        <v>49</v>
      </c>
      <c r="N1847">
        <f>Sheet1[[#This Row],[Quantity]]*Sheet1[[#This Row],[UnitPrice]]</f>
        <v>1420.72</v>
      </c>
    </row>
    <row r="1848" spans="1:14" x14ac:dyDescent="0.3">
      <c r="A1848" s="1">
        <v>45178</v>
      </c>
      <c r="B1848" t="s">
        <v>1170</v>
      </c>
      <c r="C1848" t="s">
        <v>90</v>
      </c>
      <c r="D1848" t="s">
        <v>47</v>
      </c>
      <c r="E1848" t="s">
        <v>27</v>
      </c>
      <c r="F1848">
        <v>1</v>
      </c>
      <c r="G1848">
        <v>36.880000000000003</v>
      </c>
      <c r="H1848" t="s">
        <v>18</v>
      </c>
      <c r="I1848" t="s">
        <v>2621</v>
      </c>
      <c r="J1848" t="s">
        <v>30</v>
      </c>
      <c r="K1848" t="s">
        <v>21</v>
      </c>
      <c r="L1848" t="s">
        <v>39</v>
      </c>
      <c r="M1848" t="s">
        <v>23</v>
      </c>
      <c r="N1848">
        <f>Sheet1[[#This Row],[Quantity]]*Sheet1[[#This Row],[UnitPrice]]</f>
        <v>36.880000000000003</v>
      </c>
    </row>
    <row r="1849" spans="1:14" x14ac:dyDescent="0.3">
      <c r="A1849" s="1">
        <v>45516</v>
      </c>
      <c r="B1849" t="s">
        <v>796</v>
      </c>
      <c r="C1849" t="s">
        <v>101</v>
      </c>
      <c r="D1849" t="s">
        <v>47</v>
      </c>
      <c r="E1849" t="s">
        <v>17</v>
      </c>
      <c r="F1849">
        <v>10</v>
      </c>
      <c r="G1849">
        <v>10.16</v>
      </c>
      <c r="H1849" t="s">
        <v>53</v>
      </c>
      <c r="I1849" t="s">
        <v>2622</v>
      </c>
      <c r="J1849" t="s">
        <v>38</v>
      </c>
      <c r="K1849" t="s">
        <v>45</v>
      </c>
      <c r="L1849" t="s">
        <v>22</v>
      </c>
      <c r="M1849" t="s">
        <v>49</v>
      </c>
      <c r="N1849">
        <f>Sheet1[[#This Row],[Quantity]]*Sheet1[[#This Row],[UnitPrice]]</f>
        <v>101.6</v>
      </c>
    </row>
    <row r="1850" spans="1:14" x14ac:dyDescent="0.3">
      <c r="A1850" s="1">
        <v>45755</v>
      </c>
      <c r="B1850" t="s">
        <v>1096</v>
      </c>
      <c r="C1850" t="s">
        <v>73</v>
      </c>
      <c r="D1850" t="s">
        <v>16</v>
      </c>
      <c r="E1850" t="s">
        <v>67</v>
      </c>
      <c r="F1850">
        <v>8</v>
      </c>
      <c r="G1850">
        <v>104.62</v>
      </c>
      <c r="H1850" t="s">
        <v>18</v>
      </c>
      <c r="I1850" t="s">
        <v>2623</v>
      </c>
      <c r="J1850" t="s">
        <v>30</v>
      </c>
      <c r="K1850" t="s">
        <v>45</v>
      </c>
      <c r="L1850" t="s">
        <v>22</v>
      </c>
      <c r="M1850" t="s">
        <v>84</v>
      </c>
      <c r="N1850">
        <f>Sheet1[[#This Row],[Quantity]]*Sheet1[[#This Row],[UnitPrice]]</f>
        <v>836.96</v>
      </c>
    </row>
    <row r="1851" spans="1:14" x14ac:dyDescent="0.3">
      <c r="A1851" s="1">
        <v>45773</v>
      </c>
      <c r="B1851" t="s">
        <v>509</v>
      </c>
      <c r="C1851" t="s">
        <v>73</v>
      </c>
      <c r="D1851" t="s">
        <v>26</v>
      </c>
      <c r="E1851" t="s">
        <v>17</v>
      </c>
      <c r="F1851">
        <v>8</v>
      </c>
      <c r="G1851">
        <v>27.83</v>
      </c>
      <c r="H1851" t="s">
        <v>36</v>
      </c>
      <c r="I1851" t="s">
        <v>2624</v>
      </c>
      <c r="J1851" t="s">
        <v>20</v>
      </c>
      <c r="K1851" t="s">
        <v>45</v>
      </c>
      <c r="L1851" t="s">
        <v>22</v>
      </c>
      <c r="M1851" t="s">
        <v>23</v>
      </c>
      <c r="N1851">
        <f>Sheet1[[#This Row],[Quantity]]*Sheet1[[#This Row],[UnitPrice]]</f>
        <v>222.64</v>
      </c>
    </row>
    <row r="1852" spans="1:14" x14ac:dyDescent="0.3">
      <c r="A1852" s="1">
        <v>45306</v>
      </c>
      <c r="B1852" t="s">
        <v>1645</v>
      </c>
      <c r="C1852" t="s">
        <v>15</v>
      </c>
      <c r="D1852" t="s">
        <v>16</v>
      </c>
      <c r="E1852" t="s">
        <v>27</v>
      </c>
      <c r="F1852">
        <v>10</v>
      </c>
      <c r="G1852">
        <v>55.93</v>
      </c>
      <c r="H1852" t="s">
        <v>18</v>
      </c>
      <c r="I1852" t="s">
        <v>2625</v>
      </c>
      <c r="J1852" t="s">
        <v>58</v>
      </c>
      <c r="K1852" t="s">
        <v>59</v>
      </c>
      <c r="L1852" t="s">
        <v>22</v>
      </c>
      <c r="M1852" t="s">
        <v>49</v>
      </c>
      <c r="N1852">
        <f>Sheet1[[#This Row],[Quantity]]*Sheet1[[#This Row],[UnitPrice]]</f>
        <v>559.29999999999995</v>
      </c>
    </row>
    <row r="1853" spans="1:14" x14ac:dyDescent="0.3">
      <c r="A1853" s="1">
        <v>45719</v>
      </c>
      <c r="B1853" t="s">
        <v>2626</v>
      </c>
      <c r="C1853" t="s">
        <v>90</v>
      </c>
      <c r="D1853" t="s">
        <v>16</v>
      </c>
      <c r="E1853" t="s">
        <v>27</v>
      </c>
      <c r="F1853">
        <v>4</v>
      </c>
      <c r="G1853">
        <v>5.65</v>
      </c>
      <c r="H1853" t="s">
        <v>18</v>
      </c>
      <c r="I1853" t="s">
        <v>2627</v>
      </c>
      <c r="J1853" t="s">
        <v>20</v>
      </c>
      <c r="K1853" t="s">
        <v>21</v>
      </c>
      <c r="L1853" t="s">
        <v>39</v>
      </c>
      <c r="M1853" t="s">
        <v>49</v>
      </c>
      <c r="N1853">
        <f>Sheet1[[#This Row],[Quantity]]*Sheet1[[#This Row],[UnitPrice]]</f>
        <v>22.6</v>
      </c>
    </row>
    <row r="1854" spans="1:14" x14ac:dyDescent="0.3">
      <c r="A1854" s="1">
        <v>45280</v>
      </c>
      <c r="B1854" t="s">
        <v>538</v>
      </c>
      <c r="C1854" t="s">
        <v>25</v>
      </c>
      <c r="D1854" t="s">
        <v>74</v>
      </c>
      <c r="E1854" t="s">
        <v>27</v>
      </c>
      <c r="F1854">
        <v>5</v>
      </c>
      <c r="G1854">
        <v>216.17</v>
      </c>
      <c r="H1854" t="s">
        <v>53</v>
      </c>
      <c r="I1854" t="s">
        <v>2628</v>
      </c>
      <c r="J1854" t="s">
        <v>20</v>
      </c>
      <c r="K1854" t="s">
        <v>31</v>
      </c>
      <c r="L1854" t="s">
        <v>39</v>
      </c>
      <c r="M1854" t="s">
        <v>76</v>
      </c>
      <c r="N1854">
        <f>Sheet1[[#This Row],[Quantity]]*Sheet1[[#This Row],[UnitPrice]]</f>
        <v>1080.8499999999999</v>
      </c>
    </row>
    <row r="1855" spans="1:14" x14ac:dyDescent="0.3">
      <c r="A1855" s="1">
        <v>45483</v>
      </c>
      <c r="B1855" t="s">
        <v>182</v>
      </c>
      <c r="C1855" t="s">
        <v>73</v>
      </c>
      <c r="D1855" t="s">
        <v>26</v>
      </c>
      <c r="E1855" t="s">
        <v>35</v>
      </c>
      <c r="F1855">
        <v>9</v>
      </c>
      <c r="G1855">
        <v>80.040000000000006</v>
      </c>
      <c r="H1855" t="s">
        <v>18</v>
      </c>
      <c r="I1855" t="s">
        <v>2629</v>
      </c>
      <c r="J1855" t="s">
        <v>20</v>
      </c>
      <c r="K1855" t="s">
        <v>59</v>
      </c>
      <c r="L1855" t="s">
        <v>22</v>
      </c>
      <c r="M1855" t="s">
        <v>76</v>
      </c>
      <c r="N1855">
        <f>Sheet1[[#This Row],[Quantity]]*Sheet1[[#This Row],[UnitPrice]]</f>
        <v>720.36</v>
      </c>
    </row>
    <row r="1856" spans="1:14" x14ac:dyDescent="0.3">
      <c r="A1856" s="1">
        <v>45433</v>
      </c>
      <c r="B1856" t="s">
        <v>395</v>
      </c>
      <c r="C1856" t="s">
        <v>63</v>
      </c>
      <c r="D1856" t="s">
        <v>74</v>
      </c>
      <c r="E1856" t="s">
        <v>27</v>
      </c>
      <c r="F1856">
        <v>2</v>
      </c>
      <c r="G1856">
        <v>143.63999999999999</v>
      </c>
      <c r="H1856" t="s">
        <v>18</v>
      </c>
      <c r="I1856" t="s">
        <v>2630</v>
      </c>
      <c r="J1856" t="s">
        <v>38</v>
      </c>
      <c r="K1856" t="s">
        <v>21</v>
      </c>
      <c r="L1856" t="s">
        <v>22</v>
      </c>
      <c r="M1856" t="s">
        <v>84</v>
      </c>
      <c r="N1856">
        <f>Sheet1[[#This Row],[Quantity]]*Sheet1[[#This Row],[UnitPrice]]</f>
        <v>287.27999999999997</v>
      </c>
    </row>
    <row r="1857" spans="1:14" x14ac:dyDescent="0.3">
      <c r="A1857" s="1">
        <v>45113</v>
      </c>
      <c r="B1857" t="s">
        <v>1070</v>
      </c>
      <c r="C1857" t="s">
        <v>15</v>
      </c>
      <c r="D1857" t="s">
        <v>47</v>
      </c>
      <c r="E1857" t="s">
        <v>35</v>
      </c>
      <c r="F1857">
        <v>7</v>
      </c>
      <c r="G1857">
        <v>51.16</v>
      </c>
      <c r="H1857" t="s">
        <v>53</v>
      </c>
      <c r="I1857" t="s">
        <v>2631</v>
      </c>
      <c r="J1857" t="s">
        <v>58</v>
      </c>
      <c r="K1857" t="s">
        <v>21</v>
      </c>
      <c r="L1857" t="s">
        <v>22</v>
      </c>
      <c r="M1857" t="s">
        <v>32</v>
      </c>
      <c r="N1857">
        <f>Sheet1[[#This Row],[Quantity]]*Sheet1[[#This Row],[UnitPrice]]</f>
        <v>358.12</v>
      </c>
    </row>
    <row r="1858" spans="1:14" x14ac:dyDescent="0.3">
      <c r="A1858" s="1">
        <v>45797</v>
      </c>
      <c r="B1858" t="s">
        <v>1717</v>
      </c>
      <c r="C1858" t="s">
        <v>25</v>
      </c>
      <c r="D1858" t="s">
        <v>74</v>
      </c>
      <c r="E1858" t="s">
        <v>42</v>
      </c>
      <c r="F1858">
        <v>5</v>
      </c>
      <c r="G1858">
        <v>34.4</v>
      </c>
      <c r="H1858" t="s">
        <v>36</v>
      </c>
      <c r="I1858" t="s">
        <v>2632</v>
      </c>
      <c r="J1858" t="s">
        <v>30</v>
      </c>
      <c r="K1858" t="s">
        <v>31</v>
      </c>
      <c r="L1858" t="s">
        <v>60</v>
      </c>
      <c r="M1858" t="s">
        <v>84</v>
      </c>
      <c r="N1858">
        <f>Sheet1[[#This Row],[Quantity]]*Sheet1[[#This Row],[UnitPrice]]</f>
        <v>172</v>
      </c>
    </row>
    <row r="1859" spans="1:14" x14ac:dyDescent="0.3">
      <c r="A1859" s="1">
        <v>45562</v>
      </c>
      <c r="B1859" t="s">
        <v>1970</v>
      </c>
      <c r="C1859" t="s">
        <v>25</v>
      </c>
      <c r="D1859" t="s">
        <v>16</v>
      </c>
      <c r="E1859" t="s">
        <v>52</v>
      </c>
      <c r="F1859">
        <v>7</v>
      </c>
      <c r="G1859">
        <v>18.22</v>
      </c>
      <c r="H1859" t="s">
        <v>68</v>
      </c>
      <c r="I1859" t="s">
        <v>2633</v>
      </c>
      <c r="J1859" t="s">
        <v>44</v>
      </c>
      <c r="K1859" t="s">
        <v>21</v>
      </c>
      <c r="L1859" t="s">
        <v>60</v>
      </c>
      <c r="M1859" t="s">
        <v>40</v>
      </c>
      <c r="N1859">
        <f>Sheet1[[#This Row],[Quantity]]*Sheet1[[#This Row],[UnitPrice]]</f>
        <v>127.53999999999999</v>
      </c>
    </row>
    <row r="1860" spans="1:14" x14ac:dyDescent="0.3">
      <c r="A1860" s="1">
        <v>45523</v>
      </c>
      <c r="B1860" t="s">
        <v>1174</v>
      </c>
      <c r="C1860" t="s">
        <v>63</v>
      </c>
      <c r="D1860" t="s">
        <v>74</v>
      </c>
      <c r="E1860" t="s">
        <v>64</v>
      </c>
      <c r="F1860">
        <v>6</v>
      </c>
      <c r="G1860">
        <v>79.19</v>
      </c>
      <c r="H1860" t="s">
        <v>36</v>
      </c>
      <c r="I1860" t="s">
        <v>2634</v>
      </c>
      <c r="J1860" t="s">
        <v>58</v>
      </c>
      <c r="K1860" t="s">
        <v>21</v>
      </c>
      <c r="L1860" t="s">
        <v>22</v>
      </c>
      <c r="M1860" t="s">
        <v>49</v>
      </c>
      <c r="N1860">
        <f>Sheet1[[#This Row],[Quantity]]*Sheet1[[#This Row],[UnitPrice]]</f>
        <v>475.14</v>
      </c>
    </row>
    <row r="1861" spans="1:14" x14ac:dyDescent="0.3">
      <c r="A1861" s="1">
        <v>45153</v>
      </c>
      <c r="B1861" t="s">
        <v>647</v>
      </c>
      <c r="C1861" t="s">
        <v>51</v>
      </c>
      <c r="D1861" t="s">
        <v>16</v>
      </c>
      <c r="E1861" t="s">
        <v>17</v>
      </c>
      <c r="F1861">
        <v>5</v>
      </c>
      <c r="G1861">
        <v>190.38</v>
      </c>
      <c r="H1861" t="s">
        <v>36</v>
      </c>
      <c r="I1861" t="s">
        <v>2635</v>
      </c>
      <c r="J1861" t="s">
        <v>38</v>
      </c>
      <c r="K1861" t="s">
        <v>21</v>
      </c>
      <c r="L1861" t="s">
        <v>60</v>
      </c>
      <c r="M1861" t="s">
        <v>84</v>
      </c>
      <c r="N1861">
        <f>Sheet1[[#This Row],[Quantity]]*Sheet1[[#This Row],[UnitPrice]]</f>
        <v>951.9</v>
      </c>
    </row>
    <row r="1862" spans="1:14" x14ac:dyDescent="0.3">
      <c r="A1862" s="1">
        <v>45184</v>
      </c>
      <c r="B1862" t="s">
        <v>662</v>
      </c>
      <c r="C1862" t="s">
        <v>101</v>
      </c>
      <c r="D1862" t="s">
        <v>74</v>
      </c>
      <c r="E1862" t="s">
        <v>42</v>
      </c>
      <c r="F1862">
        <v>5</v>
      </c>
      <c r="G1862">
        <v>229.61</v>
      </c>
      <c r="H1862" t="s">
        <v>28</v>
      </c>
      <c r="I1862" t="s">
        <v>2636</v>
      </c>
      <c r="J1862" t="s">
        <v>30</v>
      </c>
      <c r="K1862" t="s">
        <v>31</v>
      </c>
      <c r="L1862" t="s">
        <v>60</v>
      </c>
      <c r="M1862" t="s">
        <v>40</v>
      </c>
      <c r="N1862">
        <f>Sheet1[[#This Row],[Quantity]]*Sheet1[[#This Row],[UnitPrice]]</f>
        <v>1148.0500000000002</v>
      </c>
    </row>
    <row r="1863" spans="1:14" x14ac:dyDescent="0.3">
      <c r="A1863" s="1">
        <v>45202</v>
      </c>
      <c r="B1863" t="s">
        <v>1241</v>
      </c>
      <c r="C1863" t="s">
        <v>101</v>
      </c>
      <c r="D1863" t="s">
        <v>16</v>
      </c>
      <c r="E1863" t="s">
        <v>42</v>
      </c>
      <c r="F1863">
        <v>4</v>
      </c>
      <c r="G1863">
        <v>324.27</v>
      </c>
      <c r="H1863" t="s">
        <v>36</v>
      </c>
      <c r="I1863" t="s">
        <v>2637</v>
      </c>
      <c r="J1863" t="s">
        <v>44</v>
      </c>
      <c r="K1863" t="s">
        <v>21</v>
      </c>
      <c r="L1863" t="s">
        <v>39</v>
      </c>
      <c r="M1863" t="s">
        <v>84</v>
      </c>
      <c r="N1863">
        <f>Sheet1[[#This Row],[Quantity]]*Sheet1[[#This Row],[UnitPrice]]</f>
        <v>1297.08</v>
      </c>
    </row>
    <row r="1864" spans="1:14" x14ac:dyDescent="0.3">
      <c r="A1864" s="1">
        <v>45799</v>
      </c>
      <c r="B1864" t="s">
        <v>1844</v>
      </c>
      <c r="C1864" t="s">
        <v>34</v>
      </c>
      <c r="D1864" t="s">
        <v>47</v>
      </c>
      <c r="E1864" t="s">
        <v>52</v>
      </c>
      <c r="F1864">
        <v>4</v>
      </c>
      <c r="G1864">
        <v>198.93</v>
      </c>
      <c r="H1864" t="s">
        <v>36</v>
      </c>
      <c r="I1864" t="s">
        <v>2638</v>
      </c>
      <c r="J1864" t="s">
        <v>20</v>
      </c>
      <c r="K1864" t="s">
        <v>45</v>
      </c>
      <c r="L1864" t="s">
        <v>39</v>
      </c>
      <c r="M1864" t="s">
        <v>32</v>
      </c>
      <c r="N1864">
        <f>Sheet1[[#This Row],[Quantity]]*Sheet1[[#This Row],[UnitPrice]]</f>
        <v>795.72</v>
      </c>
    </row>
    <row r="1865" spans="1:14" x14ac:dyDescent="0.3">
      <c r="A1865" s="1">
        <v>44948</v>
      </c>
      <c r="B1865" t="s">
        <v>2186</v>
      </c>
      <c r="C1865" t="s">
        <v>73</v>
      </c>
      <c r="D1865" t="s">
        <v>16</v>
      </c>
      <c r="E1865" t="s">
        <v>17</v>
      </c>
      <c r="F1865">
        <v>5</v>
      </c>
      <c r="G1865">
        <v>259.33999999999997</v>
      </c>
      <c r="H1865" t="s">
        <v>53</v>
      </c>
      <c r="I1865" t="s">
        <v>2639</v>
      </c>
      <c r="J1865" t="s">
        <v>20</v>
      </c>
      <c r="K1865" t="s">
        <v>45</v>
      </c>
      <c r="L1865" t="s">
        <v>22</v>
      </c>
      <c r="M1865" t="s">
        <v>61</v>
      </c>
      <c r="N1865">
        <f>Sheet1[[#This Row],[Quantity]]*Sheet1[[#This Row],[UnitPrice]]</f>
        <v>1296.6999999999998</v>
      </c>
    </row>
    <row r="1866" spans="1:14" x14ac:dyDescent="0.3">
      <c r="A1866" s="1">
        <v>45490</v>
      </c>
      <c r="B1866" t="s">
        <v>41</v>
      </c>
      <c r="C1866" t="s">
        <v>78</v>
      </c>
      <c r="D1866" t="s">
        <v>47</v>
      </c>
      <c r="E1866" t="s">
        <v>17</v>
      </c>
      <c r="F1866">
        <v>4</v>
      </c>
      <c r="G1866">
        <v>313.06</v>
      </c>
      <c r="H1866" t="s">
        <v>28</v>
      </c>
      <c r="I1866" t="s">
        <v>2640</v>
      </c>
      <c r="J1866" t="s">
        <v>20</v>
      </c>
      <c r="K1866" t="s">
        <v>31</v>
      </c>
      <c r="L1866" t="s">
        <v>22</v>
      </c>
      <c r="M1866" t="s">
        <v>76</v>
      </c>
      <c r="N1866">
        <f>Sheet1[[#This Row],[Quantity]]*Sheet1[[#This Row],[UnitPrice]]</f>
        <v>1252.24</v>
      </c>
    </row>
    <row r="1867" spans="1:14" x14ac:dyDescent="0.3">
      <c r="A1867" s="1">
        <v>45250</v>
      </c>
      <c r="B1867" t="s">
        <v>1096</v>
      </c>
      <c r="C1867" t="s">
        <v>34</v>
      </c>
      <c r="D1867" t="s">
        <v>74</v>
      </c>
      <c r="E1867" t="s">
        <v>42</v>
      </c>
      <c r="F1867">
        <v>7</v>
      </c>
      <c r="G1867">
        <v>171.93</v>
      </c>
      <c r="H1867" t="s">
        <v>68</v>
      </c>
      <c r="I1867" t="s">
        <v>2641</v>
      </c>
      <c r="J1867" t="s">
        <v>30</v>
      </c>
      <c r="K1867" t="s">
        <v>45</v>
      </c>
      <c r="L1867" t="s">
        <v>22</v>
      </c>
      <c r="M1867" t="s">
        <v>49</v>
      </c>
      <c r="N1867">
        <f>Sheet1[[#This Row],[Quantity]]*Sheet1[[#This Row],[UnitPrice]]</f>
        <v>1203.51</v>
      </c>
    </row>
    <row r="1868" spans="1:14" x14ac:dyDescent="0.3">
      <c r="A1868" s="1">
        <v>45363</v>
      </c>
      <c r="B1868" t="s">
        <v>420</v>
      </c>
      <c r="C1868" t="s">
        <v>15</v>
      </c>
      <c r="D1868" t="s">
        <v>74</v>
      </c>
      <c r="E1868" t="s">
        <v>27</v>
      </c>
      <c r="F1868">
        <v>5</v>
      </c>
      <c r="G1868">
        <v>282.97000000000003</v>
      </c>
      <c r="H1868" t="s">
        <v>53</v>
      </c>
      <c r="I1868" t="s">
        <v>2642</v>
      </c>
      <c r="J1868" t="s">
        <v>58</v>
      </c>
      <c r="K1868" t="s">
        <v>59</v>
      </c>
      <c r="L1868" t="s">
        <v>60</v>
      </c>
      <c r="M1868" t="s">
        <v>84</v>
      </c>
      <c r="N1868">
        <f>Sheet1[[#This Row],[Quantity]]*Sheet1[[#This Row],[UnitPrice]]</f>
        <v>1414.8500000000001</v>
      </c>
    </row>
    <row r="1869" spans="1:14" x14ac:dyDescent="0.3">
      <c r="A1869" s="1">
        <v>45470</v>
      </c>
      <c r="B1869" t="s">
        <v>2588</v>
      </c>
      <c r="C1869" t="s">
        <v>56</v>
      </c>
      <c r="D1869" t="s">
        <v>47</v>
      </c>
      <c r="E1869" t="s">
        <v>42</v>
      </c>
      <c r="F1869">
        <v>3</v>
      </c>
      <c r="G1869">
        <v>311.18</v>
      </c>
      <c r="H1869" t="s">
        <v>28</v>
      </c>
      <c r="I1869" t="s">
        <v>2643</v>
      </c>
      <c r="J1869" t="s">
        <v>30</v>
      </c>
      <c r="K1869" t="s">
        <v>59</v>
      </c>
      <c r="L1869" t="s">
        <v>22</v>
      </c>
      <c r="M1869" t="s">
        <v>32</v>
      </c>
      <c r="N1869">
        <f>Sheet1[[#This Row],[Quantity]]*Sheet1[[#This Row],[UnitPrice]]</f>
        <v>933.54</v>
      </c>
    </row>
    <row r="1870" spans="1:14" x14ac:dyDescent="0.3">
      <c r="A1870" s="1">
        <v>44999</v>
      </c>
      <c r="B1870" t="s">
        <v>769</v>
      </c>
      <c r="C1870" t="s">
        <v>90</v>
      </c>
      <c r="D1870" t="s">
        <v>47</v>
      </c>
      <c r="E1870" t="s">
        <v>35</v>
      </c>
      <c r="F1870">
        <v>1</v>
      </c>
      <c r="G1870">
        <v>244.7</v>
      </c>
      <c r="H1870" t="s">
        <v>68</v>
      </c>
      <c r="I1870" t="s">
        <v>2644</v>
      </c>
      <c r="J1870" t="s">
        <v>58</v>
      </c>
      <c r="K1870" t="s">
        <v>45</v>
      </c>
      <c r="L1870" t="s">
        <v>22</v>
      </c>
      <c r="M1870" t="s">
        <v>84</v>
      </c>
      <c r="N1870">
        <f>Sheet1[[#This Row],[Quantity]]*Sheet1[[#This Row],[UnitPrice]]</f>
        <v>244.7</v>
      </c>
    </row>
    <row r="1871" spans="1:14" x14ac:dyDescent="0.3">
      <c r="A1871" s="1">
        <v>45639</v>
      </c>
      <c r="B1871" t="s">
        <v>591</v>
      </c>
      <c r="C1871" t="s">
        <v>90</v>
      </c>
      <c r="D1871" t="s">
        <v>16</v>
      </c>
      <c r="E1871" t="s">
        <v>17</v>
      </c>
      <c r="F1871">
        <v>2</v>
      </c>
      <c r="G1871">
        <v>177.27</v>
      </c>
      <c r="H1871" t="s">
        <v>18</v>
      </c>
      <c r="I1871" t="s">
        <v>2645</v>
      </c>
      <c r="J1871" t="s">
        <v>58</v>
      </c>
      <c r="K1871" t="s">
        <v>45</v>
      </c>
      <c r="L1871" t="s">
        <v>60</v>
      </c>
      <c r="M1871" t="s">
        <v>40</v>
      </c>
      <c r="N1871">
        <f>Sheet1[[#This Row],[Quantity]]*Sheet1[[#This Row],[UnitPrice]]</f>
        <v>354.54</v>
      </c>
    </row>
    <row r="1872" spans="1:14" x14ac:dyDescent="0.3">
      <c r="A1872" s="1">
        <v>45576</v>
      </c>
      <c r="B1872" t="s">
        <v>2194</v>
      </c>
      <c r="C1872" t="s">
        <v>34</v>
      </c>
      <c r="D1872" t="s">
        <v>16</v>
      </c>
      <c r="E1872" t="s">
        <v>64</v>
      </c>
      <c r="F1872">
        <v>2</v>
      </c>
      <c r="G1872">
        <v>308.35000000000002</v>
      </c>
      <c r="H1872" t="s">
        <v>53</v>
      </c>
      <c r="I1872" t="s">
        <v>2646</v>
      </c>
      <c r="J1872" t="s">
        <v>38</v>
      </c>
      <c r="K1872" t="s">
        <v>45</v>
      </c>
      <c r="L1872" t="s">
        <v>22</v>
      </c>
      <c r="M1872" t="s">
        <v>40</v>
      </c>
      <c r="N1872">
        <f>Sheet1[[#This Row],[Quantity]]*Sheet1[[#This Row],[UnitPrice]]</f>
        <v>616.70000000000005</v>
      </c>
    </row>
    <row r="1873" spans="1:14" x14ac:dyDescent="0.3">
      <c r="A1873" s="1">
        <v>44936</v>
      </c>
      <c r="B1873" t="s">
        <v>172</v>
      </c>
      <c r="C1873" t="s">
        <v>63</v>
      </c>
      <c r="D1873" t="s">
        <v>16</v>
      </c>
      <c r="E1873" t="s">
        <v>17</v>
      </c>
      <c r="F1873">
        <v>1</v>
      </c>
      <c r="G1873">
        <v>195.84</v>
      </c>
      <c r="H1873" t="s">
        <v>18</v>
      </c>
      <c r="I1873" t="s">
        <v>2647</v>
      </c>
      <c r="J1873" t="s">
        <v>20</v>
      </c>
      <c r="K1873" t="s">
        <v>59</v>
      </c>
      <c r="L1873" t="s">
        <v>39</v>
      </c>
      <c r="M1873" t="s">
        <v>84</v>
      </c>
      <c r="N1873">
        <f>Sheet1[[#This Row],[Quantity]]*Sheet1[[#This Row],[UnitPrice]]</f>
        <v>195.84</v>
      </c>
    </row>
    <row r="1874" spans="1:14" x14ac:dyDescent="0.3">
      <c r="A1874" s="1">
        <v>45207</v>
      </c>
      <c r="B1874" t="s">
        <v>2186</v>
      </c>
      <c r="C1874" t="s">
        <v>34</v>
      </c>
      <c r="D1874" t="s">
        <v>47</v>
      </c>
      <c r="E1874" t="s">
        <v>67</v>
      </c>
      <c r="F1874">
        <v>7</v>
      </c>
      <c r="G1874">
        <v>127.06</v>
      </c>
      <c r="H1874" t="s">
        <v>28</v>
      </c>
      <c r="I1874" t="s">
        <v>2648</v>
      </c>
      <c r="J1874" t="s">
        <v>58</v>
      </c>
      <c r="K1874" t="s">
        <v>21</v>
      </c>
      <c r="L1874" t="s">
        <v>22</v>
      </c>
      <c r="M1874" t="s">
        <v>61</v>
      </c>
      <c r="N1874">
        <f>Sheet1[[#This Row],[Quantity]]*Sheet1[[#This Row],[UnitPrice]]</f>
        <v>889.42000000000007</v>
      </c>
    </row>
    <row r="1875" spans="1:14" x14ac:dyDescent="0.3">
      <c r="A1875" s="1">
        <v>44950</v>
      </c>
      <c r="B1875" t="s">
        <v>1274</v>
      </c>
      <c r="C1875" t="s">
        <v>51</v>
      </c>
      <c r="D1875" t="s">
        <v>47</v>
      </c>
      <c r="E1875" t="s">
        <v>52</v>
      </c>
      <c r="F1875">
        <v>3</v>
      </c>
      <c r="G1875">
        <v>82.39</v>
      </c>
      <c r="H1875" t="s">
        <v>18</v>
      </c>
      <c r="I1875" t="s">
        <v>2649</v>
      </c>
      <c r="J1875" t="s">
        <v>30</v>
      </c>
      <c r="K1875" t="s">
        <v>59</v>
      </c>
      <c r="L1875" t="s">
        <v>39</v>
      </c>
      <c r="M1875" t="s">
        <v>84</v>
      </c>
      <c r="N1875">
        <f>Sheet1[[#This Row],[Quantity]]*Sheet1[[#This Row],[UnitPrice]]</f>
        <v>247.17000000000002</v>
      </c>
    </row>
    <row r="1876" spans="1:14" x14ac:dyDescent="0.3">
      <c r="A1876" s="1">
        <v>45659</v>
      </c>
      <c r="B1876" t="s">
        <v>2077</v>
      </c>
      <c r="C1876" t="s">
        <v>51</v>
      </c>
      <c r="D1876" t="s">
        <v>74</v>
      </c>
      <c r="E1876" t="s">
        <v>35</v>
      </c>
      <c r="F1876">
        <v>8</v>
      </c>
      <c r="G1876">
        <v>140.22999999999999</v>
      </c>
      <c r="H1876" t="s">
        <v>53</v>
      </c>
      <c r="I1876" t="s">
        <v>2650</v>
      </c>
      <c r="J1876" t="s">
        <v>30</v>
      </c>
      <c r="K1876" t="s">
        <v>21</v>
      </c>
      <c r="L1876" t="s">
        <v>22</v>
      </c>
      <c r="M1876" t="s">
        <v>32</v>
      </c>
      <c r="N1876">
        <f>Sheet1[[#This Row],[Quantity]]*Sheet1[[#This Row],[UnitPrice]]</f>
        <v>1121.8399999999999</v>
      </c>
    </row>
    <row r="1877" spans="1:14" x14ac:dyDescent="0.3">
      <c r="A1877" s="1">
        <v>45383</v>
      </c>
      <c r="B1877" t="s">
        <v>581</v>
      </c>
      <c r="C1877" t="s">
        <v>63</v>
      </c>
      <c r="D1877" t="s">
        <v>16</v>
      </c>
      <c r="E1877" t="s">
        <v>27</v>
      </c>
      <c r="F1877">
        <v>1</v>
      </c>
      <c r="G1877">
        <v>377.2</v>
      </c>
      <c r="H1877" t="s">
        <v>68</v>
      </c>
      <c r="I1877" t="s">
        <v>2651</v>
      </c>
      <c r="J1877" t="s">
        <v>44</v>
      </c>
      <c r="K1877" t="s">
        <v>59</v>
      </c>
      <c r="L1877" t="s">
        <v>60</v>
      </c>
      <c r="M1877" t="s">
        <v>49</v>
      </c>
      <c r="N1877">
        <f>Sheet1[[#This Row],[Quantity]]*Sheet1[[#This Row],[UnitPrice]]</f>
        <v>377.2</v>
      </c>
    </row>
    <row r="1878" spans="1:14" x14ac:dyDescent="0.3">
      <c r="A1878" s="1">
        <v>45587</v>
      </c>
      <c r="B1878" t="s">
        <v>1827</v>
      </c>
      <c r="C1878" t="s">
        <v>51</v>
      </c>
      <c r="D1878" t="s">
        <v>47</v>
      </c>
      <c r="E1878" t="s">
        <v>42</v>
      </c>
      <c r="F1878">
        <v>3</v>
      </c>
      <c r="G1878">
        <v>138.21</v>
      </c>
      <c r="H1878" t="s">
        <v>18</v>
      </c>
      <c r="I1878" t="s">
        <v>2652</v>
      </c>
      <c r="J1878" t="s">
        <v>44</v>
      </c>
      <c r="K1878" t="s">
        <v>21</v>
      </c>
      <c r="L1878" t="s">
        <v>22</v>
      </c>
      <c r="M1878" t="s">
        <v>84</v>
      </c>
      <c r="N1878">
        <f>Sheet1[[#This Row],[Quantity]]*Sheet1[[#This Row],[UnitPrice]]</f>
        <v>414.63</v>
      </c>
    </row>
    <row r="1879" spans="1:14" x14ac:dyDescent="0.3">
      <c r="A1879" s="1">
        <v>45226</v>
      </c>
      <c r="B1879" t="s">
        <v>227</v>
      </c>
      <c r="C1879" t="s">
        <v>63</v>
      </c>
      <c r="D1879" t="s">
        <v>26</v>
      </c>
      <c r="E1879" t="s">
        <v>35</v>
      </c>
      <c r="F1879">
        <v>3</v>
      </c>
      <c r="G1879">
        <v>110.85</v>
      </c>
      <c r="H1879" t="s">
        <v>68</v>
      </c>
      <c r="I1879" t="s">
        <v>2653</v>
      </c>
      <c r="J1879" t="s">
        <v>44</v>
      </c>
      <c r="K1879" t="s">
        <v>59</v>
      </c>
      <c r="L1879" t="s">
        <v>60</v>
      </c>
      <c r="M1879" t="s">
        <v>40</v>
      </c>
      <c r="N1879">
        <f>Sheet1[[#This Row],[Quantity]]*Sheet1[[#This Row],[UnitPrice]]</f>
        <v>332.54999999999995</v>
      </c>
    </row>
    <row r="1880" spans="1:14" x14ac:dyDescent="0.3">
      <c r="A1880" s="1">
        <v>45172</v>
      </c>
      <c r="B1880" t="s">
        <v>111</v>
      </c>
      <c r="C1880" t="s">
        <v>101</v>
      </c>
      <c r="D1880" t="s">
        <v>16</v>
      </c>
      <c r="E1880" t="s">
        <v>64</v>
      </c>
      <c r="F1880">
        <v>7</v>
      </c>
      <c r="G1880">
        <v>310.06</v>
      </c>
      <c r="H1880" t="s">
        <v>36</v>
      </c>
      <c r="I1880" t="s">
        <v>2654</v>
      </c>
      <c r="J1880" t="s">
        <v>20</v>
      </c>
      <c r="K1880" t="s">
        <v>45</v>
      </c>
      <c r="L1880" t="s">
        <v>39</v>
      </c>
      <c r="M1880" t="s">
        <v>61</v>
      </c>
      <c r="N1880">
        <f>Sheet1[[#This Row],[Quantity]]*Sheet1[[#This Row],[UnitPrice]]</f>
        <v>2170.42</v>
      </c>
    </row>
    <row r="1881" spans="1:14" x14ac:dyDescent="0.3">
      <c r="A1881" s="1">
        <v>45258</v>
      </c>
      <c r="B1881" t="s">
        <v>1223</v>
      </c>
      <c r="C1881" t="s">
        <v>73</v>
      </c>
      <c r="D1881" t="s">
        <v>26</v>
      </c>
      <c r="E1881" t="s">
        <v>64</v>
      </c>
      <c r="F1881">
        <v>10</v>
      </c>
      <c r="G1881">
        <v>385.52</v>
      </c>
      <c r="H1881" t="s">
        <v>36</v>
      </c>
      <c r="I1881" t="s">
        <v>2655</v>
      </c>
      <c r="J1881" t="s">
        <v>38</v>
      </c>
      <c r="K1881" t="s">
        <v>45</v>
      </c>
      <c r="L1881" t="s">
        <v>60</v>
      </c>
      <c r="M1881" t="s">
        <v>84</v>
      </c>
      <c r="N1881">
        <f>Sheet1[[#This Row],[Quantity]]*Sheet1[[#This Row],[UnitPrice]]</f>
        <v>3855.2</v>
      </c>
    </row>
    <row r="1882" spans="1:14" x14ac:dyDescent="0.3">
      <c r="A1882" s="1">
        <v>45187</v>
      </c>
      <c r="B1882" t="s">
        <v>771</v>
      </c>
      <c r="C1882" t="s">
        <v>90</v>
      </c>
      <c r="D1882" t="s">
        <v>47</v>
      </c>
      <c r="E1882" t="s">
        <v>17</v>
      </c>
      <c r="F1882">
        <v>4</v>
      </c>
      <c r="G1882">
        <v>87.37</v>
      </c>
      <c r="H1882" t="s">
        <v>68</v>
      </c>
      <c r="I1882" t="s">
        <v>2656</v>
      </c>
      <c r="J1882" t="s">
        <v>38</v>
      </c>
      <c r="K1882" t="s">
        <v>21</v>
      </c>
      <c r="L1882" t="s">
        <v>60</v>
      </c>
      <c r="M1882" t="s">
        <v>49</v>
      </c>
      <c r="N1882">
        <f>Sheet1[[#This Row],[Quantity]]*Sheet1[[#This Row],[UnitPrice]]</f>
        <v>349.48</v>
      </c>
    </row>
    <row r="1883" spans="1:14" x14ac:dyDescent="0.3">
      <c r="A1883" s="1">
        <v>45124</v>
      </c>
      <c r="B1883" t="s">
        <v>804</v>
      </c>
      <c r="C1883" t="s">
        <v>78</v>
      </c>
      <c r="D1883" t="s">
        <v>47</v>
      </c>
      <c r="E1883" t="s">
        <v>27</v>
      </c>
      <c r="F1883">
        <v>5</v>
      </c>
      <c r="G1883">
        <v>203.42</v>
      </c>
      <c r="H1883" t="s">
        <v>18</v>
      </c>
      <c r="I1883" t="s">
        <v>2657</v>
      </c>
      <c r="J1883" t="s">
        <v>38</v>
      </c>
      <c r="K1883" t="s">
        <v>59</v>
      </c>
      <c r="L1883" t="s">
        <v>22</v>
      </c>
      <c r="M1883" t="s">
        <v>49</v>
      </c>
      <c r="N1883">
        <f>Sheet1[[#This Row],[Quantity]]*Sheet1[[#This Row],[UnitPrice]]</f>
        <v>1017.0999999999999</v>
      </c>
    </row>
    <row r="1884" spans="1:14" x14ac:dyDescent="0.3">
      <c r="A1884" s="1">
        <v>45152</v>
      </c>
      <c r="B1884" t="s">
        <v>1970</v>
      </c>
      <c r="C1884" t="s">
        <v>15</v>
      </c>
      <c r="D1884" t="s">
        <v>26</v>
      </c>
      <c r="E1884" t="s">
        <v>52</v>
      </c>
      <c r="F1884">
        <v>2</v>
      </c>
      <c r="G1884">
        <v>55.16</v>
      </c>
      <c r="H1884" t="s">
        <v>68</v>
      </c>
      <c r="I1884" t="s">
        <v>2658</v>
      </c>
      <c r="J1884" t="s">
        <v>20</v>
      </c>
      <c r="K1884" t="s">
        <v>21</v>
      </c>
      <c r="L1884" t="s">
        <v>60</v>
      </c>
      <c r="M1884" t="s">
        <v>49</v>
      </c>
      <c r="N1884">
        <f>Sheet1[[#This Row],[Quantity]]*Sheet1[[#This Row],[UnitPrice]]</f>
        <v>110.32</v>
      </c>
    </row>
    <row r="1885" spans="1:14" x14ac:dyDescent="0.3">
      <c r="A1885" s="1">
        <v>45780</v>
      </c>
      <c r="B1885" t="s">
        <v>1970</v>
      </c>
      <c r="C1885" t="s">
        <v>78</v>
      </c>
      <c r="D1885" t="s">
        <v>26</v>
      </c>
      <c r="E1885" t="s">
        <v>64</v>
      </c>
      <c r="F1885">
        <v>10</v>
      </c>
      <c r="G1885">
        <v>299.41000000000003</v>
      </c>
      <c r="H1885" t="s">
        <v>36</v>
      </c>
      <c r="I1885" t="s">
        <v>2659</v>
      </c>
      <c r="J1885" t="s">
        <v>30</v>
      </c>
      <c r="K1885" t="s">
        <v>45</v>
      </c>
      <c r="L1885" t="s">
        <v>60</v>
      </c>
      <c r="M1885" t="s">
        <v>23</v>
      </c>
      <c r="N1885">
        <f>Sheet1[[#This Row],[Quantity]]*Sheet1[[#This Row],[UnitPrice]]</f>
        <v>2994.1000000000004</v>
      </c>
    </row>
    <row r="1886" spans="1:14" x14ac:dyDescent="0.3">
      <c r="A1886" s="1">
        <v>45163</v>
      </c>
      <c r="B1886" t="s">
        <v>1387</v>
      </c>
      <c r="C1886" t="s">
        <v>25</v>
      </c>
      <c r="D1886" t="s">
        <v>26</v>
      </c>
      <c r="E1886" t="s">
        <v>17</v>
      </c>
      <c r="F1886">
        <v>4</v>
      </c>
      <c r="G1886">
        <v>267.66000000000003</v>
      </c>
      <c r="H1886" t="s">
        <v>36</v>
      </c>
      <c r="I1886" t="s">
        <v>2660</v>
      </c>
      <c r="J1886" t="s">
        <v>30</v>
      </c>
      <c r="K1886" t="s">
        <v>59</v>
      </c>
      <c r="L1886" t="s">
        <v>60</v>
      </c>
      <c r="M1886" t="s">
        <v>40</v>
      </c>
      <c r="N1886">
        <f>Sheet1[[#This Row],[Quantity]]*Sheet1[[#This Row],[UnitPrice]]</f>
        <v>1070.6400000000001</v>
      </c>
    </row>
    <row r="1887" spans="1:14" x14ac:dyDescent="0.3">
      <c r="A1887" s="1">
        <v>45401</v>
      </c>
      <c r="B1887" t="s">
        <v>479</v>
      </c>
      <c r="C1887" t="s">
        <v>56</v>
      </c>
      <c r="D1887" t="s">
        <v>26</v>
      </c>
      <c r="E1887" t="s">
        <v>52</v>
      </c>
      <c r="F1887">
        <v>6</v>
      </c>
      <c r="G1887">
        <v>62.24</v>
      </c>
      <c r="H1887" t="s">
        <v>18</v>
      </c>
      <c r="I1887" t="s">
        <v>2661</v>
      </c>
      <c r="J1887" t="s">
        <v>58</v>
      </c>
      <c r="K1887" t="s">
        <v>21</v>
      </c>
      <c r="L1887" t="s">
        <v>22</v>
      </c>
      <c r="M1887" t="s">
        <v>40</v>
      </c>
      <c r="N1887">
        <f>Sheet1[[#This Row],[Quantity]]*Sheet1[[#This Row],[UnitPrice]]</f>
        <v>373.44</v>
      </c>
    </row>
    <row r="1888" spans="1:14" x14ac:dyDescent="0.3">
      <c r="A1888" s="1">
        <v>45368</v>
      </c>
      <c r="B1888" t="s">
        <v>2662</v>
      </c>
      <c r="C1888" t="s">
        <v>34</v>
      </c>
      <c r="D1888" t="s">
        <v>74</v>
      </c>
      <c r="E1888" t="s">
        <v>67</v>
      </c>
      <c r="F1888">
        <v>9</v>
      </c>
      <c r="G1888">
        <v>244.93</v>
      </c>
      <c r="H1888" t="s">
        <v>36</v>
      </c>
      <c r="I1888" t="s">
        <v>2663</v>
      </c>
      <c r="J1888" t="s">
        <v>30</v>
      </c>
      <c r="K1888" t="s">
        <v>45</v>
      </c>
      <c r="L1888" t="s">
        <v>22</v>
      </c>
      <c r="M1888" t="s">
        <v>61</v>
      </c>
      <c r="N1888">
        <f>Sheet1[[#This Row],[Quantity]]*Sheet1[[#This Row],[UnitPrice]]</f>
        <v>2204.37</v>
      </c>
    </row>
    <row r="1889" spans="1:14" x14ac:dyDescent="0.3">
      <c r="A1889" s="1">
        <v>45504</v>
      </c>
      <c r="B1889" t="s">
        <v>263</v>
      </c>
      <c r="C1889" t="s">
        <v>90</v>
      </c>
      <c r="D1889" t="s">
        <v>74</v>
      </c>
      <c r="E1889" t="s">
        <v>52</v>
      </c>
      <c r="F1889">
        <v>2</v>
      </c>
      <c r="G1889">
        <v>212.62</v>
      </c>
      <c r="H1889" t="s">
        <v>36</v>
      </c>
      <c r="I1889" t="s">
        <v>2664</v>
      </c>
      <c r="J1889" t="s">
        <v>58</v>
      </c>
      <c r="K1889" t="s">
        <v>21</v>
      </c>
      <c r="L1889" t="s">
        <v>60</v>
      </c>
      <c r="M1889" t="s">
        <v>76</v>
      </c>
      <c r="N1889">
        <f>Sheet1[[#This Row],[Quantity]]*Sheet1[[#This Row],[UnitPrice]]</f>
        <v>425.24</v>
      </c>
    </row>
    <row r="1890" spans="1:14" x14ac:dyDescent="0.3">
      <c r="A1890" s="1">
        <v>45233</v>
      </c>
      <c r="B1890" t="s">
        <v>184</v>
      </c>
      <c r="C1890" t="s">
        <v>63</v>
      </c>
      <c r="D1890" t="s">
        <v>16</v>
      </c>
      <c r="E1890" t="s">
        <v>52</v>
      </c>
      <c r="F1890">
        <v>7</v>
      </c>
      <c r="G1890">
        <v>52.85</v>
      </c>
      <c r="H1890" t="s">
        <v>53</v>
      </c>
      <c r="I1890" t="s">
        <v>2665</v>
      </c>
      <c r="J1890" t="s">
        <v>58</v>
      </c>
      <c r="K1890" t="s">
        <v>45</v>
      </c>
      <c r="L1890" t="s">
        <v>39</v>
      </c>
      <c r="M1890" t="s">
        <v>40</v>
      </c>
      <c r="N1890">
        <f>Sheet1[[#This Row],[Quantity]]*Sheet1[[#This Row],[UnitPrice]]</f>
        <v>369.95</v>
      </c>
    </row>
    <row r="1891" spans="1:14" x14ac:dyDescent="0.3">
      <c r="A1891" s="1">
        <v>45628</v>
      </c>
      <c r="B1891" t="s">
        <v>444</v>
      </c>
      <c r="C1891" t="s">
        <v>15</v>
      </c>
      <c r="D1891" t="s">
        <v>16</v>
      </c>
      <c r="E1891" t="s">
        <v>64</v>
      </c>
      <c r="F1891">
        <v>1</v>
      </c>
      <c r="G1891">
        <v>326.14999999999998</v>
      </c>
      <c r="H1891" t="s">
        <v>53</v>
      </c>
      <c r="I1891" t="s">
        <v>2666</v>
      </c>
      <c r="J1891" t="s">
        <v>20</v>
      </c>
      <c r="K1891" t="s">
        <v>31</v>
      </c>
      <c r="L1891" t="s">
        <v>22</v>
      </c>
      <c r="M1891" t="s">
        <v>49</v>
      </c>
      <c r="N1891">
        <f>Sheet1[[#This Row],[Quantity]]*Sheet1[[#This Row],[UnitPrice]]</f>
        <v>326.14999999999998</v>
      </c>
    </row>
    <row r="1892" spans="1:14" x14ac:dyDescent="0.3">
      <c r="A1892" s="1">
        <v>45741</v>
      </c>
      <c r="B1892" t="s">
        <v>1376</v>
      </c>
      <c r="C1892" t="s">
        <v>51</v>
      </c>
      <c r="D1892" t="s">
        <v>16</v>
      </c>
      <c r="E1892" t="s">
        <v>67</v>
      </c>
      <c r="F1892">
        <v>7</v>
      </c>
      <c r="G1892">
        <v>175.73</v>
      </c>
      <c r="H1892" t="s">
        <v>68</v>
      </c>
      <c r="I1892" t="s">
        <v>2667</v>
      </c>
      <c r="J1892" t="s">
        <v>38</v>
      </c>
      <c r="K1892" t="s">
        <v>59</v>
      </c>
      <c r="L1892" t="s">
        <v>22</v>
      </c>
      <c r="M1892" t="s">
        <v>84</v>
      </c>
      <c r="N1892">
        <f>Sheet1[[#This Row],[Quantity]]*Sheet1[[#This Row],[UnitPrice]]</f>
        <v>1230.1099999999999</v>
      </c>
    </row>
    <row r="1893" spans="1:14" x14ac:dyDescent="0.3">
      <c r="A1893" s="1">
        <v>45369</v>
      </c>
      <c r="B1893" t="s">
        <v>225</v>
      </c>
      <c r="C1893" t="s">
        <v>51</v>
      </c>
      <c r="D1893" t="s">
        <v>26</v>
      </c>
      <c r="E1893" t="s">
        <v>17</v>
      </c>
      <c r="F1893">
        <v>4</v>
      </c>
      <c r="G1893">
        <v>371.37</v>
      </c>
      <c r="H1893" t="s">
        <v>18</v>
      </c>
      <c r="I1893" t="s">
        <v>2668</v>
      </c>
      <c r="J1893" t="s">
        <v>44</v>
      </c>
      <c r="K1893" t="s">
        <v>59</v>
      </c>
      <c r="L1893" t="s">
        <v>60</v>
      </c>
      <c r="M1893" t="s">
        <v>49</v>
      </c>
      <c r="N1893">
        <f>Sheet1[[#This Row],[Quantity]]*Sheet1[[#This Row],[UnitPrice]]</f>
        <v>1485.48</v>
      </c>
    </row>
    <row r="1894" spans="1:14" x14ac:dyDescent="0.3">
      <c r="A1894" s="1">
        <v>45665</v>
      </c>
      <c r="B1894" t="s">
        <v>1607</v>
      </c>
      <c r="C1894" t="s">
        <v>78</v>
      </c>
      <c r="D1894" t="s">
        <v>16</v>
      </c>
      <c r="E1894" t="s">
        <v>27</v>
      </c>
      <c r="F1894">
        <v>10</v>
      </c>
      <c r="G1894">
        <v>23.95</v>
      </c>
      <c r="H1894" t="s">
        <v>53</v>
      </c>
      <c r="I1894" t="s">
        <v>2669</v>
      </c>
      <c r="J1894" t="s">
        <v>30</v>
      </c>
      <c r="K1894" t="s">
        <v>59</v>
      </c>
      <c r="L1894" t="s">
        <v>60</v>
      </c>
      <c r="M1894" t="s">
        <v>76</v>
      </c>
      <c r="N1894">
        <f>Sheet1[[#This Row],[Quantity]]*Sheet1[[#This Row],[UnitPrice]]</f>
        <v>239.5</v>
      </c>
    </row>
    <row r="1895" spans="1:14" x14ac:dyDescent="0.3">
      <c r="A1895" s="1">
        <v>45281</v>
      </c>
      <c r="B1895" t="s">
        <v>1148</v>
      </c>
      <c r="C1895" t="s">
        <v>25</v>
      </c>
      <c r="D1895" t="s">
        <v>74</v>
      </c>
      <c r="E1895" t="s">
        <v>67</v>
      </c>
      <c r="F1895">
        <v>5</v>
      </c>
      <c r="G1895">
        <v>262.3</v>
      </c>
      <c r="H1895" t="s">
        <v>36</v>
      </c>
      <c r="I1895" t="s">
        <v>2670</v>
      </c>
      <c r="J1895" t="s">
        <v>30</v>
      </c>
      <c r="K1895" t="s">
        <v>59</v>
      </c>
      <c r="L1895" t="s">
        <v>22</v>
      </c>
      <c r="M1895" t="s">
        <v>32</v>
      </c>
      <c r="N1895">
        <f>Sheet1[[#This Row],[Quantity]]*Sheet1[[#This Row],[UnitPrice]]</f>
        <v>1311.5</v>
      </c>
    </row>
    <row r="1896" spans="1:14" x14ac:dyDescent="0.3">
      <c r="A1896" s="1">
        <v>45652</v>
      </c>
      <c r="B1896" t="s">
        <v>2671</v>
      </c>
      <c r="C1896" t="s">
        <v>101</v>
      </c>
      <c r="D1896" t="s">
        <v>47</v>
      </c>
      <c r="E1896" t="s">
        <v>27</v>
      </c>
      <c r="F1896">
        <v>1</v>
      </c>
      <c r="G1896">
        <v>296.10000000000002</v>
      </c>
      <c r="H1896" t="s">
        <v>18</v>
      </c>
      <c r="I1896" t="s">
        <v>2672</v>
      </c>
      <c r="J1896" t="s">
        <v>58</v>
      </c>
      <c r="K1896" t="s">
        <v>59</v>
      </c>
      <c r="L1896" t="s">
        <v>39</v>
      </c>
      <c r="M1896" t="s">
        <v>32</v>
      </c>
      <c r="N1896">
        <f>Sheet1[[#This Row],[Quantity]]*Sheet1[[#This Row],[UnitPrice]]</f>
        <v>296.10000000000002</v>
      </c>
    </row>
    <row r="1897" spans="1:14" x14ac:dyDescent="0.3">
      <c r="A1897" s="1">
        <v>45304</v>
      </c>
      <c r="B1897" t="s">
        <v>1268</v>
      </c>
      <c r="C1897" t="s">
        <v>56</v>
      </c>
      <c r="D1897" t="s">
        <v>74</v>
      </c>
      <c r="E1897" t="s">
        <v>42</v>
      </c>
      <c r="F1897">
        <v>2</v>
      </c>
      <c r="G1897">
        <v>81.7</v>
      </c>
      <c r="H1897" t="s">
        <v>68</v>
      </c>
      <c r="I1897" t="s">
        <v>2673</v>
      </c>
      <c r="J1897" t="s">
        <v>20</v>
      </c>
      <c r="K1897" t="s">
        <v>31</v>
      </c>
      <c r="L1897" t="s">
        <v>22</v>
      </c>
      <c r="M1897" t="s">
        <v>23</v>
      </c>
      <c r="N1897">
        <f>Sheet1[[#This Row],[Quantity]]*Sheet1[[#This Row],[UnitPrice]]</f>
        <v>163.4</v>
      </c>
    </row>
    <row r="1898" spans="1:14" x14ac:dyDescent="0.3">
      <c r="A1898" s="1">
        <v>45710</v>
      </c>
      <c r="B1898" t="s">
        <v>2393</v>
      </c>
      <c r="C1898" t="s">
        <v>51</v>
      </c>
      <c r="D1898" t="s">
        <v>47</v>
      </c>
      <c r="E1898" t="s">
        <v>42</v>
      </c>
      <c r="F1898">
        <v>1</v>
      </c>
      <c r="G1898">
        <v>118.11</v>
      </c>
      <c r="H1898" t="s">
        <v>28</v>
      </c>
      <c r="I1898" t="s">
        <v>2674</v>
      </c>
      <c r="J1898" t="s">
        <v>38</v>
      </c>
      <c r="K1898" t="s">
        <v>45</v>
      </c>
      <c r="L1898" t="s">
        <v>60</v>
      </c>
      <c r="M1898" t="s">
        <v>23</v>
      </c>
      <c r="N1898">
        <f>Sheet1[[#This Row],[Quantity]]*Sheet1[[#This Row],[UnitPrice]]</f>
        <v>118.11</v>
      </c>
    </row>
    <row r="1899" spans="1:14" x14ac:dyDescent="0.3">
      <c r="A1899" s="1">
        <v>45747</v>
      </c>
      <c r="B1899" t="s">
        <v>1231</v>
      </c>
      <c r="C1899" t="s">
        <v>78</v>
      </c>
      <c r="D1899" t="s">
        <v>26</v>
      </c>
      <c r="E1899" t="s">
        <v>64</v>
      </c>
      <c r="F1899">
        <v>4</v>
      </c>
      <c r="G1899">
        <v>334.63</v>
      </c>
      <c r="H1899" t="s">
        <v>36</v>
      </c>
      <c r="I1899" t="s">
        <v>2675</v>
      </c>
      <c r="J1899" t="s">
        <v>38</v>
      </c>
      <c r="K1899" t="s">
        <v>59</v>
      </c>
      <c r="L1899" t="s">
        <v>22</v>
      </c>
      <c r="M1899" t="s">
        <v>49</v>
      </c>
      <c r="N1899">
        <f>Sheet1[[#This Row],[Quantity]]*Sheet1[[#This Row],[UnitPrice]]</f>
        <v>1338.52</v>
      </c>
    </row>
    <row r="1900" spans="1:14" x14ac:dyDescent="0.3">
      <c r="A1900" s="1">
        <v>45754</v>
      </c>
      <c r="B1900" t="s">
        <v>680</v>
      </c>
      <c r="C1900" t="s">
        <v>15</v>
      </c>
      <c r="D1900" t="s">
        <v>47</v>
      </c>
      <c r="E1900" t="s">
        <v>67</v>
      </c>
      <c r="F1900">
        <v>1</v>
      </c>
      <c r="G1900">
        <v>375</v>
      </c>
      <c r="H1900" t="s">
        <v>53</v>
      </c>
      <c r="I1900" t="s">
        <v>2676</v>
      </c>
      <c r="J1900" t="s">
        <v>38</v>
      </c>
      <c r="K1900" t="s">
        <v>59</v>
      </c>
      <c r="L1900" t="s">
        <v>39</v>
      </c>
      <c r="M1900" t="s">
        <v>49</v>
      </c>
      <c r="N1900">
        <f>Sheet1[[#This Row],[Quantity]]*Sheet1[[#This Row],[UnitPrice]]</f>
        <v>375</v>
      </c>
    </row>
    <row r="1901" spans="1:14" x14ac:dyDescent="0.3">
      <c r="A1901" s="1">
        <v>45581</v>
      </c>
      <c r="B1901" t="s">
        <v>827</v>
      </c>
      <c r="C1901" t="s">
        <v>90</v>
      </c>
      <c r="D1901" t="s">
        <v>26</v>
      </c>
      <c r="E1901" t="s">
        <v>27</v>
      </c>
      <c r="F1901">
        <v>4</v>
      </c>
      <c r="G1901">
        <v>222.46</v>
      </c>
      <c r="H1901" t="s">
        <v>28</v>
      </c>
      <c r="I1901" t="s">
        <v>2677</v>
      </c>
      <c r="J1901" t="s">
        <v>38</v>
      </c>
      <c r="K1901" t="s">
        <v>21</v>
      </c>
      <c r="L1901" t="s">
        <v>60</v>
      </c>
      <c r="M1901" t="s">
        <v>76</v>
      </c>
      <c r="N1901">
        <f>Sheet1[[#This Row],[Quantity]]*Sheet1[[#This Row],[UnitPrice]]</f>
        <v>889.84</v>
      </c>
    </row>
    <row r="1902" spans="1:14" x14ac:dyDescent="0.3">
      <c r="A1902" s="1">
        <v>45497</v>
      </c>
      <c r="B1902" t="s">
        <v>2678</v>
      </c>
      <c r="C1902" t="s">
        <v>73</v>
      </c>
      <c r="D1902" t="s">
        <v>74</v>
      </c>
      <c r="E1902" t="s">
        <v>67</v>
      </c>
      <c r="F1902">
        <v>10</v>
      </c>
      <c r="G1902">
        <v>46.15</v>
      </c>
      <c r="H1902" t="s">
        <v>18</v>
      </c>
      <c r="I1902" t="s">
        <v>2679</v>
      </c>
      <c r="J1902" t="s">
        <v>58</v>
      </c>
      <c r="K1902" t="s">
        <v>21</v>
      </c>
      <c r="L1902" t="s">
        <v>60</v>
      </c>
      <c r="M1902" t="s">
        <v>76</v>
      </c>
      <c r="N1902">
        <f>Sheet1[[#This Row],[Quantity]]*Sheet1[[#This Row],[UnitPrice]]</f>
        <v>461.5</v>
      </c>
    </row>
    <row r="1903" spans="1:14" x14ac:dyDescent="0.3">
      <c r="A1903" s="1">
        <v>45635</v>
      </c>
      <c r="B1903" t="s">
        <v>1045</v>
      </c>
      <c r="C1903" t="s">
        <v>56</v>
      </c>
      <c r="D1903" t="s">
        <v>47</v>
      </c>
      <c r="E1903" t="s">
        <v>27</v>
      </c>
      <c r="F1903">
        <v>1</v>
      </c>
      <c r="G1903">
        <v>257.81</v>
      </c>
      <c r="H1903" t="s">
        <v>18</v>
      </c>
      <c r="I1903" t="s">
        <v>2680</v>
      </c>
      <c r="J1903" t="s">
        <v>38</v>
      </c>
      <c r="K1903" t="s">
        <v>59</v>
      </c>
      <c r="L1903" t="s">
        <v>22</v>
      </c>
      <c r="M1903" t="s">
        <v>49</v>
      </c>
      <c r="N1903">
        <f>Sheet1[[#This Row],[Quantity]]*Sheet1[[#This Row],[UnitPrice]]</f>
        <v>257.81</v>
      </c>
    </row>
    <row r="1904" spans="1:14" x14ac:dyDescent="0.3">
      <c r="A1904" s="1">
        <v>45135</v>
      </c>
      <c r="B1904" t="s">
        <v>818</v>
      </c>
      <c r="C1904" t="s">
        <v>90</v>
      </c>
      <c r="D1904" t="s">
        <v>16</v>
      </c>
      <c r="E1904" t="s">
        <v>52</v>
      </c>
      <c r="F1904">
        <v>7</v>
      </c>
      <c r="G1904">
        <v>245.36</v>
      </c>
      <c r="H1904" t="s">
        <v>36</v>
      </c>
      <c r="I1904" t="s">
        <v>2681</v>
      </c>
      <c r="J1904" t="s">
        <v>58</v>
      </c>
      <c r="K1904" t="s">
        <v>21</v>
      </c>
      <c r="L1904" t="s">
        <v>60</v>
      </c>
      <c r="M1904" t="s">
        <v>40</v>
      </c>
      <c r="N1904">
        <f>Sheet1[[#This Row],[Quantity]]*Sheet1[[#This Row],[UnitPrice]]</f>
        <v>1717.52</v>
      </c>
    </row>
    <row r="1905" spans="1:14" x14ac:dyDescent="0.3">
      <c r="A1905" s="1">
        <v>45053</v>
      </c>
      <c r="B1905" t="s">
        <v>2671</v>
      </c>
      <c r="C1905" t="s">
        <v>15</v>
      </c>
      <c r="D1905" t="s">
        <v>26</v>
      </c>
      <c r="E1905" t="s">
        <v>67</v>
      </c>
      <c r="F1905">
        <v>6</v>
      </c>
      <c r="G1905">
        <v>137.69999999999999</v>
      </c>
      <c r="H1905" t="s">
        <v>53</v>
      </c>
      <c r="I1905" t="s">
        <v>2682</v>
      </c>
      <c r="J1905" t="s">
        <v>30</v>
      </c>
      <c r="K1905" t="s">
        <v>21</v>
      </c>
      <c r="L1905" t="s">
        <v>39</v>
      </c>
      <c r="M1905" t="s">
        <v>61</v>
      </c>
      <c r="N1905">
        <f>Sheet1[[#This Row],[Quantity]]*Sheet1[[#This Row],[UnitPrice]]</f>
        <v>826.19999999999993</v>
      </c>
    </row>
    <row r="1906" spans="1:14" x14ac:dyDescent="0.3">
      <c r="A1906" s="1">
        <v>45722</v>
      </c>
      <c r="B1906" t="s">
        <v>737</v>
      </c>
      <c r="C1906" t="s">
        <v>101</v>
      </c>
      <c r="D1906" t="s">
        <v>47</v>
      </c>
      <c r="E1906" t="s">
        <v>17</v>
      </c>
      <c r="F1906">
        <v>8</v>
      </c>
      <c r="G1906">
        <v>53.07</v>
      </c>
      <c r="H1906" t="s">
        <v>18</v>
      </c>
      <c r="I1906" t="s">
        <v>2683</v>
      </c>
      <c r="J1906" t="s">
        <v>58</v>
      </c>
      <c r="K1906" t="s">
        <v>59</v>
      </c>
      <c r="L1906" t="s">
        <v>22</v>
      </c>
      <c r="M1906" t="s">
        <v>32</v>
      </c>
      <c r="N1906">
        <f>Sheet1[[#This Row],[Quantity]]*Sheet1[[#This Row],[UnitPrice]]</f>
        <v>424.56</v>
      </c>
    </row>
    <row r="1907" spans="1:14" x14ac:dyDescent="0.3">
      <c r="A1907" s="1">
        <v>45593</v>
      </c>
      <c r="B1907" t="s">
        <v>158</v>
      </c>
      <c r="C1907" t="s">
        <v>15</v>
      </c>
      <c r="D1907" t="s">
        <v>26</v>
      </c>
      <c r="E1907" t="s">
        <v>67</v>
      </c>
      <c r="F1907">
        <v>7</v>
      </c>
      <c r="G1907">
        <v>36.76</v>
      </c>
      <c r="H1907" t="s">
        <v>18</v>
      </c>
      <c r="I1907" t="s">
        <v>2684</v>
      </c>
      <c r="J1907" t="s">
        <v>58</v>
      </c>
      <c r="K1907" t="s">
        <v>59</v>
      </c>
      <c r="L1907" t="s">
        <v>22</v>
      </c>
      <c r="M1907" t="s">
        <v>49</v>
      </c>
      <c r="N1907">
        <f>Sheet1[[#This Row],[Quantity]]*Sheet1[[#This Row],[UnitPrice]]</f>
        <v>257.32</v>
      </c>
    </row>
    <row r="1908" spans="1:14" x14ac:dyDescent="0.3">
      <c r="A1908" s="1">
        <v>45353</v>
      </c>
      <c r="B1908" t="s">
        <v>626</v>
      </c>
      <c r="C1908" t="s">
        <v>56</v>
      </c>
      <c r="D1908" t="s">
        <v>16</v>
      </c>
      <c r="E1908" t="s">
        <v>67</v>
      </c>
      <c r="F1908">
        <v>9</v>
      </c>
      <c r="G1908">
        <v>253.94</v>
      </c>
      <c r="H1908" t="s">
        <v>28</v>
      </c>
      <c r="I1908" t="s">
        <v>2685</v>
      </c>
      <c r="J1908" t="s">
        <v>58</v>
      </c>
      <c r="K1908" t="s">
        <v>31</v>
      </c>
      <c r="L1908" t="s">
        <v>22</v>
      </c>
      <c r="M1908" t="s">
        <v>23</v>
      </c>
      <c r="N1908">
        <f>Sheet1[[#This Row],[Quantity]]*Sheet1[[#This Row],[UnitPrice]]</f>
        <v>2285.46</v>
      </c>
    </row>
    <row r="1909" spans="1:14" x14ac:dyDescent="0.3">
      <c r="A1909" s="1">
        <v>45309</v>
      </c>
      <c r="B1909" t="s">
        <v>2686</v>
      </c>
      <c r="C1909" t="s">
        <v>63</v>
      </c>
      <c r="D1909" t="s">
        <v>74</v>
      </c>
      <c r="E1909" t="s">
        <v>17</v>
      </c>
      <c r="F1909">
        <v>6</v>
      </c>
      <c r="G1909">
        <v>238.52</v>
      </c>
      <c r="H1909" t="s">
        <v>53</v>
      </c>
      <c r="I1909" t="s">
        <v>2687</v>
      </c>
      <c r="J1909" t="s">
        <v>58</v>
      </c>
      <c r="K1909" t="s">
        <v>45</v>
      </c>
      <c r="L1909" t="s">
        <v>39</v>
      </c>
      <c r="M1909" t="s">
        <v>32</v>
      </c>
      <c r="N1909">
        <f>Sheet1[[#This Row],[Quantity]]*Sheet1[[#This Row],[UnitPrice]]</f>
        <v>1431.1200000000001</v>
      </c>
    </row>
    <row r="1910" spans="1:14" x14ac:dyDescent="0.3">
      <c r="A1910" s="1">
        <v>45429</v>
      </c>
      <c r="B1910" t="s">
        <v>1061</v>
      </c>
      <c r="C1910" t="s">
        <v>78</v>
      </c>
      <c r="D1910" t="s">
        <v>47</v>
      </c>
      <c r="E1910" t="s">
        <v>42</v>
      </c>
      <c r="F1910">
        <v>4</v>
      </c>
      <c r="G1910">
        <v>35.880000000000003</v>
      </c>
      <c r="H1910" t="s">
        <v>53</v>
      </c>
      <c r="I1910" t="s">
        <v>2688</v>
      </c>
      <c r="J1910" t="s">
        <v>30</v>
      </c>
      <c r="K1910" t="s">
        <v>59</v>
      </c>
      <c r="L1910" t="s">
        <v>39</v>
      </c>
      <c r="M1910" t="s">
        <v>40</v>
      </c>
      <c r="N1910">
        <f>Sheet1[[#This Row],[Quantity]]*Sheet1[[#This Row],[UnitPrice]]</f>
        <v>143.52000000000001</v>
      </c>
    </row>
    <row r="1911" spans="1:14" x14ac:dyDescent="0.3">
      <c r="A1911" s="1">
        <v>45790</v>
      </c>
      <c r="B1911" t="s">
        <v>622</v>
      </c>
      <c r="C1911" t="s">
        <v>101</v>
      </c>
      <c r="D1911" t="s">
        <v>16</v>
      </c>
      <c r="E1911" t="s">
        <v>35</v>
      </c>
      <c r="F1911">
        <v>9</v>
      </c>
      <c r="G1911">
        <v>378.07</v>
      </c>
      <c r="H1911" t="s">
        <v>68</v>
      </c>
      <c r="I1911" t="s">
        <v>2689</v>
      </c>
      <c r="J1911" t="s">
        <v>58</v>
      </c>
      <c r="K1911" t="s">
        <v>31</v>
      </c>
      <c r="L1911" t="s">
        <v>60</v>
      </c>
      <c r="M1911" t="s">
        <v>84</v>
      </c>
      <c r="N1911">
        <f>Sheet1[[#This Row],[Quantity]]*Sheet1[[#This Row],[UnitPrice]]</f>
        <v>3402.63</v>
      </c>
    </row>
    <row r="1912" spans="1:14" x14ac:dyDescent="0.3">
      <c r="A1912" s="1">
        <v>45435</v>
      </c>
      <c r="B1912" t="s">
        <v>1140</v>
      </c>
      <c r="C1912" t="s">
        <v>78</v>
      </c>
      <c r="D1912" t="s">
        <v>16</v>
      </c>
      <c r="E1912" t="s">
        <v>64</v>
      </c>
      <c r="F1912">
        <v>8</v>
      </c>
      <c r="G1912">
        <v>250.75</v>
      </c>
      <c r="H1912" t="s">
        <v>53</v>
      </c>
      <c r="I1912" t="s">
        <v>2690</v>
      </c>
      <c r="J1912" t="s">
        <v>58</v>
      </c>
      <c r="K1912" t="s">
        <v>59</v>
      </c>
      <c r="L1912" t="s">
        <v>39</v>
      </c>
      <c r="M1912" t="s">
        <v>32</v>
      </c>
      <c r="N1912">
        <f>Sheet1[[#This Row],[Quantity]]*Sheet1[[#This Row],[UnitPrice]]</f>
        <v>2006</v>
      </c>
    </row>
    <row r="1913" spans="1:14" x14ac:dyDescent="0.3">
      <c r="A1913" s="1">
        <v>45599</v>
      </c>
      <c r="B1913" t="s">
        <v>677</v>
      </c>
      <c r="C1913" t="s">
        <v>56</v>
      </c>
      <c r="D1913" t="s">
        <v>16</v>
      </c>
      <c r="E1913" t="s">
        <v>42</v>
      </c>
      <c r="F1913">
        <v>9</v>
      </c>
      <c r="G1913">
        <v>378.47</v>
      </c>
      <c r="H1913" t="s">
        <v>28</v>
      </c>
      <c r="I1913" t="s">
        <v>2691</v>
      </c>
      <c r="J1913" t="s">
        <v>58</v>
      </c>
      <c r="K1913" t="s">
        <v>21</v>
      </c>
      <c r="L1913" t="s">
        <v>60</v>
      </c>
      <c r="M1913" t="s">
        <v>61</v>
      </c>
      <c r="N1913">
        <f>Sheet1[[#This Row],[Quantity]]*Sheet1[[#This Row],[UnitPrice]]</f>
        <v>3406.2300000000005</v>
      </c>
    </row>
    <row r="1914" spans="1:14" x14ac:dyDescent="0.3">
      <c r="A1914" s="1">
        <v>45101</v>
      </c>
      <c r="B1914" t="s">
        <v>481</v>
      </c>
      <c r="C1914" t="s">
        <v>101</v>
      </c>
      <c r="D1914" t="s">
        <v>47</v>
      </c>
      <c r="E1914" t="s">
        <v>27</v>
      </c>
      <c r="F1914">
        <v>9</v>
      </c>
      <c r="G1914">
        <v>260.77999999999997</v>
      </c>
      <c r="H1914" t="s">
        <v>28</v>
      </c>
      <c r="I1914" t="s">
        <v>2692</v>
      </c>
      <c r="J1914" t="s">
        <v>58</v>
      </c>
      <c r="K1914" t="s">
        <v>21</v>
      </c>
      <c r="L1914" t="s">
        <v>60</v>
      </c>
      <c r="M1914" t="s">
        <v>23</v>
      </c>
      <c r="N1914">
        <f>Sheet1[[#This Row],[Quantity]]*Sheet1[[#This Row],[UnitPrice]]</f>
        <v>2347.0199999999995</v>
      </c>
    </row>
    <row r="1915" spans="1:14" x14ac:dyDescent="0.3">
      <c r="A1915" s="1">
        <v>45600</v>
      </c>
      <c r="B1915" t="s">
        <v>2372</v>
      </c>
      <c r="C1915" t="s">
        <v>78</v>
      </c>
      <c r="D1915" t="s">
        <v>47</v>
      </c>
      <c r="E1915" t="s">
        <v>42</v>
      </c>
      <c r="F1915">
        <v>5</v>
      </c>
      <c r="G1915">
        <v>361.01</v>
      </c>
      <c r="H1915" t="s">
        <v>36</v>
      </c>
      <c r="I1915" t="s">
        <v>2693</v>
      </c>
      <c r="J1915" t="s">
        <v>30</v>
      </c>
      <c r="K1915" t="s">
        <v>45</v>
      </c>
      <c r="L1915" t="s">
        <v>39</v>
      </c>
      <c r="M1915" t="s">
        <v>49</v>
      </c>
      <c r="N1915">
        <f>Sheet1[[#This Row],[Quantity]]*Sheet1[[#This Row],[UnitPrice]]</f>
        <v>1805.05</v>
      </c>
    </row>
    <row r="1916" spans="1:14" x14ac:dyDescent="0.3">
      <c r="A1916" s="1">
        <v>45327</v>
      </c>
      <c r="B1916" t="s">
        <v>824</v>
      </c>
      <c r="C1916" t="s">
        <v>56</v>
      </c>
      <c r="D1916" t="s">
        <v>16</v>
      </c>
      <c r="E1916" t="s">
        <v>42</v>
      </c>
      <c r="F1916">
        <v>2</v>
      </c>
      <c r="G1916">
        <v>60.41</v>
      </c>
      <c r="H1916" t="s">
        <v>36</v>
      </c>
      <c r="I1916" t="s">
        <v>2694</v>
      </c>
      <c r="J1916" t="s">
        <v>30</v>
      </c>
      <c r="K1916" t="s">
        <v>31</v>
      </c>
      <c r="L1916" t="s">
        <v>60</v>
      </c>
      <c r="M1916" t="s">
        <v>49</v>
      </c>
      <c r="N1916">
        <f>Sheet1[[#This Row],[Quantity]]*Sheet1[[#This Row],[UnitPrice]]</f>
        <v>120.82</v>
      </c>
    </row>
    <row r="1917" spans="1:14" x14ac:dyDescent="0.3">
      <c r="A1917" s="1">
        <v>45202</v>
      </c>
      <c r="B1917" t="s">
        <v>1936</v>
      </c>
      <c r="C1917" t="s">
        <v>73</v>
      </c>
      <c r="D1917" t="s">
        <v>26</v>
      </c>
      <c r="E1917" t="s">
        <v>67</v>
      </c>
      <c r="F1917">
        <v>3</v>
      </c>
      <c r="G1917">
        <v>139.66</v>
      </c>
      <c r="H1917" t="s">
        <v>68</v>
      </c>
      <c r="I1917" t="s">
        <v>2695</v>
      </c>
      <c r="J1917" t="s">
        <v>58</v>
      </c>
      <c r="K1917" t="s">
        <v>21</v>
      </c>
      <c r="L1917" t="s">
        <v>39</v>
      </c>
      <c r="M1917" t="s">
        <v>84</v>
      </c>
      <c r="N1917">
        <f>Sheet1[[#This Row],[Quantity]]*Sheet1[[#This Row],[UnitPrice]]</f>
        <v>418.98</v>
      </c>
    </row>
    <row r="1918" spans="1:14" x14ac:dyDescent="0.3">
      <c r="A1918" s="1">
        <v>45288</v>
      </c>
      <c r="B1918" t="s">
        <v>2586</v>
      </c>
      <c r="C1918" t="s">
        <v>78</v>
      </c>
      <c r="D1918" t="s">
        <v>26</v>
      </c>
      <c r="E1918" t="s">
        <v>67</v>
      </c>
      <c r="F1918">
        <v>1</v>
      </c>
      <c r="G1918">
        <v>122.07</v>
      </c>
      <c r="H1918" t="s">
        <v>28</v>
      </c>
      <c r="I1918" t="s">
        <v>2696</v>
      </c>
      <c r="J1918" t="s">
        <v>38</v>
      </c>
      <c r="K1918" t="s">
        <v>45</v>
      </c>
      <c r="L1918" t="s">
        <v>60</v>
      </c>
      <c r="M1918" t="s">
        <v>32</v>
      </c>
      <c r="N1918">
        <f>Sheet1[[#This Row],[Quantity]]*Sheet1[[#This Row],[UnitPrice]]</f>
        <v>122.07</v>
      </c>
    </row>
    <row r="1919" spans="1:14" x14ac:dyDescent="0.3">
      <c r="A1919" s="1">
        <v>45259</v>
      </c>
      <c r="B1919" t="s">
        <v>412</v>
      </c>
      <c r="C1919" t="s">
        <v>73</v>
      </c>
      <c r="D1919" t="s">
        <v>47</v>
      </c>
      <c r="E1919" t="s">
        <v>52</v>
      </c>
      <c r="F1919">
        <v>4</v>
      </c>
      <c r="G1919">
        <v>37.25</v>
      </c>
      <c r="H1919" t="s">
        <v>68</v>
      </c>
      <c r="I1919" t="s">
        <v>2697</v>
      </c>
      <c r="J1919" t="s">
        <v>44</v>
      </c>
      <c r="K1919" t="s">
        <v>59</v>
      </c>
      <c r="L1919" t="s">
        <v>39</v>
      </c>
      <c r="M1919" t="s">
        <v>76</v>
      </c>
      <c r="N1919">
        <f>Sheet1[[#This Row],[Quantity]]*Sheet1[[#This Row],[UnitPrice]]</f>
        <v>149</v>
      </c>
    </row>
    <row r="1920" spans="1:14" x14ac:dyDescent="0.3">
      <c r="A1920" s="1">
        <v>45564</v>
      </c>
      <c r="B1920" t="s">
        <v>41</v>
      </c>
      <c r="C1920" t="s">
        <v>73</v>
      </c>
      <c r="D1920" t="s">
        <v>47</v>
      </c>
      <c r="E1920" t="s">
        <v>27</v>
      </c>
      <c r="F1920">
        <v>2</v>
      </c>
      <c r="G1920">
        <v>273.83</v>
      </c>
      <c r="H1920" t="s">
        <v>18</v>
      </c>
      <c r="I1920" t="s">
        <v>2698</v>
      </c>
      <c r="J1920" t="s">
        <v>58</v>
      </c>
      <c r="K1920" t="s">
        <v>45</v>
      </c>
      <c r="L1920" t="s">
        <v>22</v>
      </c>
      <c r="M1920" t="s">
        <v>61</v>
      </c>
      <c r="N1920">
        <f>Sheet1[[#This Row],[Quantity]]*Sheet1[[#This Row],[UnitPrice]]</f>
        <v>547.66</v>
      </c>
    </row>
    <row r="1921" spans="1:14" x14ac:dyDescent="0.3">
      <c r="A1921" s="1">
        <v>44972</v>
      </c>
      <c r="B1921" t="s">
        <v>1274</v>
      </c>
      <c r="C1921" t="s">
        <v>15</v>
      </c>
      <c r="D1921" t="s">
        <v>26</v>
      </c>
      <c r="E1921" t="s">
        <v>42</v>
      </c>
      <c r="F1921">
        <v>5</v>
      </c>
      <c r="G1921">
        <v>166.06</v>
      </c>
      <c r="H1921" t="s">
        <v>53</v>
      </c>
      <c r="I1921" t="s">
        <v>2699</v>
      </c>
      <c r="J1921" t="s">
        <v>20</v>
      </c>
      <c r="K1921" t="s">
        <v>59</v>
      </c>
      <c r="L1921" t="s">
        <v>39</v>
      </c>
      <c r="M1921" t="s">
        <v>76</v>
      </c>
      <c r="N1921">
        <f>Sheet1[[#This Row],[Quantity]]*Sheet1[[#This Row],[UnitPrice]]</f>
        <v>830.3</v>
      </c>
    </row>
    <row r="1922" spans="1:14" x14ac:dyDescent="0.3">
      <c r="A1922" s="1">
        <v>44953</v>
      </c>
      <c r="B1922" t="s">
        <v>707</v>
      </c>
      <c r="C1922" t="s">
        <v>15</v>
      </c>
      <c r="D1922" t="s">
        <v>74</v>
      </c>
      <c r="E1922" t="s">
        <v>27</v>
      </c>
      <c r="F1922">
        <v>5</v>
      </c>
      <c r="G1922">
        <v>196.29</v>
      </c>
      <c r="H1922" t="s">
        <v>68</v>
      </c>
      <c r="I1922" t="s">
        <v>2700</v>
      </c>
      <c r="J1922" t="s">
        <v>58</v>
      </c>
      <c r="K1922" t="s">
        <v>45</v>
      </c>
      <c r="L1922" t="s">
        <v>39</v>
      </c>
      <c r="M1922" t="s">
        <v>40</v>
      </c>
      <c r="N1922">
        <f>Sheet1[[#This Row],[Quantity]]*Sheet1[[#This Row],[UnitPrice]]</f>
        <v>981.44999999999993</v>
      </c>
    </row>
    <row r="1923" spans="1:14" x14ac:dyDescent="0.3">
      <c r="A1923" s="1">
        <v>45189</v>
      </c>
      <c r="B1923" t="s">
        <v>1286</v>
      </c>
      <c r="C1923" t="s">
        <v>51</v>
      </c>
      <c r="D1923" t="s">
        <v>74</v>
      </c>
      <c r="E1923" t="s">
        <v>42</v>
      </c>
      <c r="F1923">
        <v>7</v>
      </c>
      <c r="G1923">
        <v>344.28</v>
      </c>
      <c r="H1923" t="s">
        <v>18</v>
      </c>
      <c r="I1923" t="s">
        <v>2701</v>
      </c>
      <c r="J1923" t="s">
        <v>44</v>
      </c>
      <c r="K1923" t="s">
        <v>31</v>
      </c>
      <c r="L1923" t="s">
        <v>22</v>
      </c>
      <c r="M1923" t="s">
        <v>76</v>
      </c>
      <c r="N1923">
        <f>Sheet1[[#This Row],[Quantity]]*Sheet1[[#This Row],[UnitPrice]]</f>
        <v>2409.96</v>
      </c>
    </row>
    <row r="1924" spans="1:14" x14ac:dyDescent="0.3">
      <c r="A1924" s="1">
        <v>45197</v>
      </c>
      <c r="B1924" t="s">
        <v>1790</v>
      </c>
      <c r="C1924" t="s">
        <v>78</v>
      </c>
      <c r="D1924" t="s">
        <v>74</v>
      </c>
      <c r="E1924" t="s">
        <v>64</v>
      </c>
      <c r="F1924">
        <v>5</v>
      </c>
      <c r="G1924">
        <v>296.54000000000002</v>
      </c>
      <c r="H1924" t="s">
        <v>36</v>
      </c>
      <c r="I1924" t="s">
        <v>2702</v>
      </c>
      <c r="J1924" t="s">
        <v>38</v>
      </c>
      <c r="K1924" t="s">
        <v>21</v>
      </c>
      <c r="L1924" t="s">
        <v>39</v>
      </c>
      <c r="M1924" t="s">
        <v>32</v>
      </c>
      <c r="N1924">
        <f>Sheet1[[#This Row],[Quantity]]*Sheet1[[#This Row],[UnitPrice]]</f>
        <v>1482.7</v>
      </c>
    </row>
    <row r="1925" spans="1:14" x14ac:dyDescent="0.3">
      <c r="A1925" s="1">
        <v>45549</v>
      </c>
      <c r="B1925" t="s">
        <v>971</v>
      </c>
      <c r="C1925" t="s">
        <v>90</v>
      </c>
      <c r="D1925" t="s">
        <v>16</v>
      </c>
      <c r="E1925" t="s">
        <v>52</v>
      </c>
      <c r="F1925">
        <v>2</v>
      </c>
      <c r="G1925">
        <v>360.73</v>
      </c>
      <c r="H1925" t="s">
        <v>28</v>
      </c>
      <c r="I1925" t="s">
        <v>2703</v>
      </c>
      <c r="J1925" t="s">
        <v>30</v>
      </c>
      <c r="K1925" t="s">
        <v>21</v>
      </c>
      <c r="L1925" t="s">
        <v>22</v>
      </c>
      <c r="M1925" t="s">
        <v>23</v>
      </c>
      <c r="N1925">
        <f>Sheet1[[#This Row],[Quantity]]*Sheet1[[#This Row],[UnitPrice]]</f>
        <v>721.46</v>
      </c>
    </row>
    <row r="1926" spans="1:14" x14ac:dyDescent="0.3">
      <c r="A1926" s="1">
        <v>45157</v>
      </c>
      <c r="B1926" t="s">
        <v>541</v>
      </c>
      <c r="C1926" t="s">
        <v>90</v>
      </c>
      <c r="D1926" t="s">
        <v>47</v>
      </c>
      <c r="E1926" t="s">
        <v>27</v>
      </c>
      <c r="F1926">
        <v>7</v>
      </c>
      <c r="G1926">
        <v>24.06</v>
      </c>
      <c r="H1926" t="s">
        <v>53</v>
      </c>
      <c r="I1926" t="s">
        <v>2704</v>
      </c>
      <c r="J1926" t="s">
        <v>38</v>
      </c>
      <c r="K1926" t="s">
        <v>31</v>
      </c>
      <c r="L1926" t="s">
        <v>22</v>
      </c>
      <c r="M1926" t="s">
        <v>23</v>
      </c>
      <c r="N1926">
        <f>Sheet1[[#This Row],[Quantity]]*Sheet1[[#This Row],[UnitPrice]]</f>
        <v>168.42</v>
      </c>
    </row>
    <row r="1927" spans="1:14" x14ac:dyDescent="0.3">
      <c r="A1927" s="1">
        <v>45519</v>
      </c>
      <c r="B1927" t="s">
        <v>2150</v>
      </c>
      <c r="C1927" t="s">
        <v>90</v>
      </c>
      <c r="D1927" t="s">
        <v>74</v>
      </c>
      <c r="E1927" t="s">
        <v>52</v>
      </c>
      <c r="F1927">
        <v>2</v>
      </c>
      <c r="G1927">
        <v>226.52</v>
      </c>
      <c r="H1927" t="s">
        <v>53</v>
      </c>
      <c r="I1927" t="s">
        <v>2705</v>
      </c>
      <c r="J1927" t="s">
        <v>38</v>
      </c>
      <c r="K1927" t="s">
        <v>59</v>
      </c>
      <c r="L1927" t="s">
        <v>39</v>
      </c>
      <c r="M1927" t="s">
        <v>32</v>
      </c>
      <c r="N1927">
        <f>Sheet1[[#This Row],[Quantity]]*Sheet1[[#This Row],[UnitPrice]]</f>
        <v>453.04</v>
      </c>
    </row>
    <row r="1928" spans="1:14" x14ac:dyDescent="0.3">
      <c r="A1928" s="1">
        <v>44935</v>
      </c>
      <c r="B1928" t="s">
        <v>545</v>
      </c>
      <c r="C1928" t="s">
        <v>51</v>
      </c>
      <c r="D1928" t="s">
        <v>26</v>
      </c>
      <c r="E1928" t="s">
        <v>35</v>
      </c>
      <c r="F1928">
        <v>2</v>
      </c>
      <c r="G1928">
        <v>327.63</v>
      </c>
      <c r="H1928" t="s">
        <v>68</v>
      </c>
      <c r="I1928" t="s">
        <v>2706</v>
      </c>
      <c r="J1928" t="s">
        <v>30</v>
      </c>
      <c r="K1928" t="s">
        <v>31</v>
      </c>
      <c r="L1928" t="s">
        <v>22</v>
      </c>
      <c r="M1928" t="s">
        <v>49</v>
      </c>
      <c r="N1928">
        <f>Sheet1[[#This Row],[Quantity]]*Sheet1[[#This Row],[UnitPrice]]</f>
        <v>655.26</v>
      </c>
    </row>
    <row r="1929" spans="1:14" x14ac:dyDescent="0.3">
      <c r="A1929" s="1">
        <v>45382</v>
      </c>
      <c r="B1929" t="s">
        <v>281</v>
      </c>
      <c r="C1929" t="s">
        <v>25</v>
      </c>
      <c r="D1929" t="s">
        <v>47</v>
      </c>
      <c r="E1929" t="s">
        <v>64</v>
      </c>
      <c r="F1929">
        <v>5</v>
      </c>
      <c r="G1929">
        <v>107.91</v>
      </c>
      <c r="H1929" t="s">
        <v>53</v>
      </c>
      <c r="I1929" t="s">
        <v>2707</v>
      </c>
      <c r="J1929" t="s">
        <v>44</v>
      </c>
      <c r="K1929" t="s">
        <v>45</v>
      </c>
      <c r="L1929" t="s">
        <v>60</v>
      </c>
      <c r="M1929" t="s">
        <v>61</v>
      </c>
      <c r="N1929">
        <f>Sheet1[[#This Row],[Quantity]]*Sheet1[[#This Row],[UnitPrice]]</f>
        <v>539.54999999999995</v>
      </c>
    </row>
    <row r="1930" spans="1:14" x14ac:dyDescent="0.3">
      <c r="A1930" s="1">
        <v>45811</v>
      </c>
      <c r="B1930" t="s">
        <v>1201</v>
      </c>
      <c r="C1930" t="s">
        <v>15</v>
      </c>
      <c r="D1930" t="s">
        <v>74</v>
      </c>
      <c r="E1930" t="s">
        <v>67</v>
      </c>
      <c r="F1930">
        <v>10</v>
      </c>
      <c r="G1930">
        <v>385.61</v>
      </c>
      <c r="H1930" t="s">
        <v>53</v>
      </c>
      <c r="I1930" t="s">
        <v>2708</v>
      </c>
      <c r="J1930" t="s">
        <v>38</v>
      </c>
      <c r="K1930" t="s">
        <v>45</v>
      </c>
      <c r="L1930" t="s">
        <v>22</v>
      </c>
      <c r="M1930" t="s">
        <v>84</v>
      </c>
      <c r="N1930">
        <f>Sheet1[[#This Row],[Quantity]]*Sheet1[[#This Row],[UnitPrice]]</f>
        <v>3856.1000000000004</v>
      </c>
    </row>
    <row r="1931" spans="1:14" x14ac:dyDescent="0.3">
      <c r="A1931" s="1">
        <v>45537</v>
      </c>
      <c r="B1931" t="s">
        <v>225</v>
      </c>
      <c r="C1931" t="s">
        <v>101</v>
      </c>
      <c r="D1931" t="s">
        <v>47</v>
      </c>
      <c r="E1931" t="s">
        <v>27</v>
      </c>
      <c r="F1931">
        <v>1</v>
      </c>
      <c r="G1931">
        <v>237.23</v>
      </c>
      <c r="H1931" t="s">
        <v>68</v>
      </c>
      <c r="I1931" t="s">
        <v>2709</v>
      </c>
      <c r="J1931" t="s">
        <v>30</v>
      </c>
      <c r="K1931" t="s">
        <v>31</v>
      </c>
      <c r="L1931" t="s">
        <v>60</v>
      </c>
      <c r="M1931" t="s">
        <v>49</v>
      </c>
      <c r="N1931">
        <f>Sheet1[[#This Row],[Quantity]]*Sheet1[[#This Row],[UnitPrice]]</f>
        <v>237.23</v>
      </c>
    </row>
    <row r="1932" spans="1:14" x14ac:dyDescent="0.3">
      <c r="A1932" s="1">
        <v>45107</v>
      </c>
      <c r="B1932" t="s">
        <v>70</v>
      </c>
      <c r="C1932" t="s">
        <v>15</v>
      </c>
      <c r="D1932" t="s">
        <v>47</v>
      </c>
      <c r="E1932" t="s">
        <v>42</v>
      </c>
      <c r="F1932">
        <v>8</v>
      </c>
      <c r="G1932">
        <v>52.89</v>
      </c>
      <c r="H1932" t="s">
        <v>18</v>
      </c>
      <c r="I1932" t="s">
        <v>2710</v>
      </c>
      <c r="J1932" t="s">
        <v>30</v>
      </c>
      <c r="K1932" t="s">
        <v>21</v>
      </c>
      <c r="L1932" t="s">
        <v>39</v>
      </c>
      <c r="M1932" t="s">
        <v>40</v>
      </c>
      <c r="N1932">
        <f>Sheet1[[#This Row],[Quantity]]*Sheet1[[#This Row],[UnitPrice]]</f>
        <v>423.12</v>
      </c>
    </row>
    <row r="1933" spans="1:14" x14ac:dyDescent="0.3">
      <c r="A1933" s="1">
        <v>45625</v>
      </c>
      <c r="B1933" t="s">
        <v>212</v>
      </c>
      <c r="C1933" t="s">
        <v>15</v>
      </c>
      <c r="D1933" t="s">
        <v>74</v>
      </c>
      <c r="E1933" t="s">
        <v>17</v>
      </c>
      <c r="F1933">
        <v>5</v>
      </c>
      <c r="G1933">
        <v>361.66</v>
      </c>
      <c r="H1933" t="s">
        <v>53</v>
      </c>
      <c r="I1933" t="s">
        <v>2711</v>
      </c>
      <c r="J1933" t="s">
        <v>30</v>
      </c>
      <c r="K1933" t="s">
        <v>21</v>
      </c>
      <c r="L1933" t="s">
        <v>60</v>
      </c>
      <c r="M1933" t="s">
        <v>40</v>
      </c>
      <c r="N1933">
        <f>Sheet1[[#This Row],[Quantity]]*Sheet1[[#This Row],[UnitPrice]]</f>
        <v>1808.3000000000002</v>
      </c>
    </row>
    <row r="1934" spans="1:14" x14ac:dyDescent="0.3">
      <c r="A1934" s="1">
        <v>44989</v>
      </c>
      <c r="B1934" t="s">
        <v>399</v>
      </c>
      <c r="C1934" t="s">
        <v>90</v>
      </c>
      <c r="D1934" t="s">
        <v>47</v>
      </c>
      <c r="E1934" t="s">
        <v>67</v>
      </c>
      <c r="F1934">
        <v>9</v>
      </c>
      <c r="G1934">
        <v>358.27</v>
      </c>
      <c r="H1934" t="s">
        <v>68</v>
      </c>
      <c r="I1934" t="s">
        <v>2712</v>
      </c>
      <c r="J1934" t="s">
        <v>20</v>
      </c>
      <c r="K1934" t="s">
        <v>21</v>
      </c>
      <c r="L1934" t="s">
        <v>60</v>
      </c>
      <c r="M1934" t="s">
        <v>23</v>
      </c>
      <c r="N1934">
        <f>Sheet1[[#This Row],[Quantity]]*Sheet1[[#This Row],[UnitPrice]]</f>
        <v>3224.43</v>
      </c>
    </row>
    <row r="1935" spans="1:14" x14ac:dyDescent="0.3">
      <c r="A1935" s="1">
        <v>45606</v>
      </c>
      <c r="B1935" t="s">
        <v>754</v>
      </c>
      <c r="C1935" t="s">
        <v>25</v>
      </c>
      <c r="D1935" t="s">
        <v>47</v>
      </c>
      <c r="E1935" t="s">
        <v>35</v>
      </c>
      <c r="F1935">
        <v>4</v>
      </c>
      <c r="G1935">
        <v>293.22000000000003</v>
      </c>
      <c r="H1935" t="s">
        <v>36</v>
      </c>
      <c r="I1935" t="s">
        <v>2713</v>
      </c>
      <c r="J1935" t="s">
        <v>20</v>
      </c>
      <c r="K1935" t="s">
        <v>59</v>
      </c>
      <c r="L1935" t="s">
        <v>39</v>
      </c>
      <c r="M1935" t="s">
        <v>61</v>
      </c>
      <c r="N1935">
        <f>Sheet1[[#This Row],[Quantity]]*Sheet1[[#This Row],[UnitPrice]]</f>
        <v>1172.8800000000001</v>
      </c>
    </row>
    <row r="1936" spans="1:14" x14ac:dyDescent="0.3">
      <c r="A1936" s="1">
        <v>45637</v>
      </c>
      <c r="B1936" t="s">
        <v>1130</v>
      </c>
      <c r="C1936" t="s">
        <v>90</v>
      </c>
      <c r="D1936" t="s">
        <v>16</v>
      </c>
      <c r="E1936" t="s">
        <v>42</v>
      </c>
      <c r="F1936">
        <v>6</v>
      </c>
      <c r="G1936">
        <v>303.98</v>
      </c>
      <c r="H1936" t="s">
        <v>18</v>
      </c>
      <c r="I1936" t="s">
        <v>2714</v>
      </c>
      <c r="J1936" t="s">
        <v>30</v>
      </c>
      <c r="K1936" t="s">
        <v>21</v>
      </c>
      <c r="L1936" t="s">
        <v>39</v>
      </c>
      <c r="M1936" t="s">
        <v>76</v>
      </c>
      <c r="N1936">
        <f>Sheet1[[#This Row],[Quantity]]*Sheet1[[#This Row],[UnitPrice]]</f>
        <v>1823.88</v>
      </c>
    </row>
    <row r="1937" spans="1:14" x14ac:dyDescent="0.3">
      <c r="A1937" s="1">
        <v>45251</v>
      </c>
      <c r="B1937" t="s">
        <v>2611</v>
      </c>
      <c r="C1937" t="s">
        <v>90</v>
      </c>
      <c r="D1937" t="s">
        <v>47</v>
      </c>
      <c r="E1937" t="s">
        <v>52</v>
      </c>
      <c r="F1937">
        <v>9</v>
      </c>
      <c r="G1937">
        <v>162.68</v>
      </c>
      <c r="H1937" t="s">
        <v>18</v>
      </c>
      <c r="I1937" t="s">
        <v>2715</v>
      </c>
      <c r="J1937" t="s">
        <v>58</v>
      </c>
      <c r="K1937" t="s">
        <v>59</v>
      </c>
      <c r="L1937" t="s">
        <v>39</v>
      </c>
      <c r="M1937" t="s">
        <v>84</v>
      </c>
      <c r="N1937">
        <f>Sheet1[[#This Row],[Quantity]]*Sheet1[[#This Row],[UnitPrice]]</f>
        <v>1464.1200000000001</v>
      </c>
    </row>
    <row r="1938" spans="1:14" x14ac:dyDescent="0.3">
      <c r="A1938" s="1">
        <v>45156</v>
      </c>
      <c r="B1938" t="s">
        <v>1577</v>
      </c>
      <c r="C1938" t="s">
        <v>90</v>
      </c>
      <c r="D1938" t="s">
        <v>74</v>
      </c>
      <c r="E1938" t="s">
        <v>17</v>
      </c>
      <c r="F1938">
        <v>10</v>
      </c>
      <c r="G1938">
        <v>8</v>
      </c>
      <c r="H1938" t="s">
        <v>36</v>
      </c>
      <c r="I1938" t="s">
        <v>2716</v>
      </c>
      <c r="J1938" t="s">
        <v>20</v>
      </c>
      <c r="K1938" t="s">
        <v>31</v>
      </c>
      <c r="L1938" t="s">
        <v>60</v>
      </c>
      <c r="M1938" t="s">
        <v>40</v>
      </c>
      <c r="N1938">
        <f>Sheet1[[#This Row],[Quantity]]*Sheet1[[#This Row],[UnitPrice]]</f>
        <v>80</v>
      </c>
    </row>
    <row r="1939" spans="1:14" x14ac:dyDescent="0.3">
      <c r="A1939" s="1">
        <v>45443</v>
      </c>
      <c r="B1939" t="s">
        <v>915</v>
      </c>
      <c r="C1939" t="s">
        <v>34</v>
      </c>
      <c r="D1939" t="s">
        <v>74</v>
      </c>
      <c r="E1939" t="s">
        <v>64</v>
      </c>
      <c r="F1939">
        <v>7</v>
      </c>
      <c r="G1939">
        <v>340.66</v>
      </c>
      <c r="H1939" t="s">
        <v>36</v>
      </c>
      <c r="I1939" t="s">
        <v>2717</v>
      </c>
      <c r="J1939" t="s">
        <v>38</v>
      </c>
      <c r="K1939" t="s">
        <v>45</v>
      </c>
      <c r="L1939" t="s">
        <v>22</v>
      </c>
      <c r="M1939" t="s">
        <v>40</v>
      </c>
      <c r="N1939">
        <f>Sheet1[[#This Row],[Quantity]]*Sheet1[[#This Row],[UnitPrice]]</f>
        <v>2384.6200000000003</v>
      </c>
    </row>
    <row r="1940" spans="1:14" x14ac:dyDescent="0.3">
      <c r="A1940" s="1">
        <v>45442</v>
      </c>
      <c r="B1940" t="s">
        <v>1569</v>
      </c>
      <c r="C1940" t="s">
        <v>78</v>
      </c>
      <c r="D1940" t="s">
        <v>74</v>
      </c>
      <c r="E1940" t="s">
        <v>52</v>
      </c>
      <c r="F1940">
        <v>6</v>
      </c>
      <c r="G1940">
        <v>270.98</v>
      </c>
      <c r="H1940" t="s">
        <v>36</v>
      </c>
      <c r="I1940" t="s">
        <v>2718</v>
      </c>
      <c r="J1940" t="s">
        <v>38</v>
      </c>
      <c r="K1940" t="s">
        <v>59</v>
      </c>
      <c r="L1940" t="s">
        <v>39</v>
      </c>
      <c r="M1940" t="s">
        <v>32</v>
      </c>
      <c r="N1940">
        <f>Sheet1[[#This Row],[Quantity]]*Sheet1[[#This Row],[UnitPrice]]</f>
        <v>1625.88</v>
      </c>
    </row>
    <row r="1941" spans="1:14" x14ac:dyDescent="0.3">
      <c r="A1941" s="1">
        <v>45833</v>
      </c>
      <c r="B1941" t="s">
        <v>1343</v>
      </c>
      <c r="C1941" t="s">
        <v>56</v>
      </c>
      <c r="D1941" t="s">
        <v>74</v>
      </c>
      <c r="E1941" t="s">
        <v>64</v>
      </c>
      <c r="F1941">
        <v>2</v>
      </c>
      <c r="G1941">
        <v>349.95</v>
      </c>
      <c r="H1941" t="s">
        <v>68</v>
      </c>
      <c r="I1941" t="s">
        <v>2719</v>
      </c>
      <c r="J1941" t="s">
        <v>38</v>
      </c>
      <c r="K1941" t="s">
        <v>21</v>
      </c>
      <c r="L1941" t="s">
        <v>22</v>
      </c>
      <c r="M1941" t="s">
        <v>76</v>
      </c>
      <c r="N1941">
        <f>Sheet1[[#This Row],[Quantity]]*Sheet1[[#This Row],[UnitPrice]]</f>
        <v>699.9</v>
      </c>
    </row>
    <row r="1942" spans="1:14" x14ac:dyDescent="0.3">
      <c r="A1942" s="1">
        <v>45611</v>
      </c>
      <c r="B1942" t="s">
        <v>283</v>
      </c>
      <c r="C1942" t="s">
        <v>101</v>
      </c>
      <c r="D1942" t="s">
        <v>16</v>
      </c>
      <c r="E1942" t="s">
        <v>42</v>
      </c>
      <c r="F1942">
        <v>7</v>
      </c>
      <c r="G1942">
        <v>138.6</v>
      </c>
      <c r="H1942" t="s">
        <v>18</v>
      </c>
      <c r="I1942" t="s">
        <v>2720</v>
      </c>
      <c r="J1942" t="s">
        <v>44</v>
      </c>
      <c r="K1942" t="s">
        <v>59</v>
      </c>
      <c r="L1942" t="s">
        <v>39</v>
      </c>
      <c r="M1942" t="s">
        <v>40</v>
      </c>
      <c r="N1942">
        <f>Sheet1[[#This Row],[Quantity]]*Sheet1[[#This Row],[UnitPrice]]</f>
        <v>970.19999999999993</v>
      </c>
    </row>
    <row r="1943" spans="1:14" x14ac:dyDescent="0.3">
      <c r="A1943" s="1">
        <v>45789</v>
      </c>
      <c r="B1943" t="s">
        <v>719</v>
      </c>
      <c r="C1943" t="s">
        <v>78</v>
      </c>
      <c r="D1943" t="s">
        <v>74</v>
      </c>
      <c r="E1943" t="s">
        <v>17</v>
      </c>
      <c r="F1943">
        <v>9</v>
      </c>
      <c r="G1943">
        <v>44.39</v>
      </c>
      <c r="H1943" t="s">
        <v>53</v>
      </c>
      <c r="I1943" t="s">
        <v>2721</v>
      </c>
      <c r="J1943" t="s">
        <v>58</v>
      </c>
      <c r="K1943" t="s">
        <v>31</v>
      </c>
      <c r="L1943" t="s">
        <v>39</v>
      </c>
      <c r="M1943" t="s">
        <v>49</v>
      </c>
      <c r="N1943">
        <f>Sheet1[[#This Row],[Quantity]]*Sheet1[[#This Row],[UnitPrice]]</f>
        <v>399.51</v>
      </c>
    </row>
    <row r="1944" spans="1:14" x14ac:dyDescent="0.3">
      <c r="A1944" s="1">
        <v>44941</v>
      </c>
      <c r="B1944" t="s">
        <v>333</v>
      </c>
      <c r="C1944" t="s">
        <v>34</v>
      </c>
      <c r="D1944" t="s">
        <v>26</v>
      </c>
      <c r="E1944" t="s">
        <v>52</v>
      </c>
      <c r="F1944">
        <v>3</v>
      </c>
      <c r="G1944">
        <v>302.75</v>
      </c>
      <c r="H1944" t="s">
        <v>36</v>
      </c>
      <c r="I1944" t="s">
        <v>2722</v>
      </c>
      <c r="J1944" t="s">
        <v>38</v>
      </c>
      <c r="K1944" t="s">
        <v>59</v>
      </c>
      <c r="L1944" t="s">
        <v>39</v>
      </c>
      <c r="M1944" t="s">
        <v>61</v>
      </c>
      <c r="N1944">
        <f>Sheet1[[#This Row],[Quantity]]*Sheet1[[#This Row],[UnitPrice]]</f>
        <v>908.25</v>
      </c>
    </row>
    <row r="1945" spans="1:14" x14ac:dyDescent="0.3">
      <c r="A1945" s="1">
        <v>45325</v>
      </c>
      <c r="B1945" t="s">
        <v>1003</v>
      </c>
      <c r="C1945" t="s">
        <v>63</v>
      </c>
      <c r="D1945" t="s">
        <v>16</v>
      </c>
      <c r="E1945" t="s">
        <v>27</v>
      </c>
      <c r="F1945">
        <v>6</v>
      </c>
      <c r="G1945">
        <v>28.69</v>
      </c>
      <c r="H1945" t="s">
        <v>53</v>
      </c>
      <c r="I1945" t="s">
        <v>2723</v>
      </c>
      <c r="J1945" t="s">
        <v>58</v>
      </c>
      <c r="K1945" t="s">
        <v>59</v>
      </c>
      <c r="L1945" t="s">
        <v>22</v>
      </c>
      <c r="M1945" t="s">
        <v>23</v>
      </c>
      <c r="N1945">
        <f>Sheet1[[#This Row],[Quantity]]*Sheet1[[#This Row],[UnitPrice]]</f>
        <v>172.14000000000001</v>
      </c>
    </row>
    <row r="1946" spans="1:14" x14ac:dyDescent="0.3">
      <c r="A1946" s="1">
        <v>45298</v>
      </c>
      <c r="B1946" t="s">
        <v>1777</v>
      </c>
      <c r="C1946" t="s">
        <v>73</v>
      </c>
      <c r="D1946" t="s">
        <v>47</v>
      </c>
      <c r="E1946" t="s">
        <v>27</v>
      </c>
      <c r="F1946">
        <v>3</v>
      </c>
      <c r="G1946">
        <v>373.68</v>
      </c>
      <c r="H1946" t="s">
        <v>28</v>
      </c>
      <c r="I1946" t="s">
        <v>2724</v>
      </c>
      <c r="J1946" t="s">
        <v>58</v>
      </c>
      <c r="K1946" t="s">
        <v>45</v>
      </c>
      <c r="L1946" t="s">
        <v>60</v>
      </c>
      <c r="M1946" t="s">
        <v>61</v>
      </c>
      <c r="N1946">
        <f>Sheet1[[#This Row],[Quantity]]*Sheet1[[#This Row],[UnitPrice]]</f>
        <v>1121.04</v>
      </c>
    </row>
    <row r="1947" spans="1:14" x14ac:dyDescent="0.3">
      <c r="A1947" s="1">
        <v>45669</v>
      </c>
      <c r="B1947" t="s">
        <v>196</v>
      </c>
      <c r="C1947" t="s">
        <v>73</v>
      </c>
      <c r="D1947" t="s">
        <v>47</v>
      </c>
      <c r="E1947" t="s">
        <v>17</v>
      </c>
      <c r="F1947">
        <v>7</v>
      </c>
      <c r="G1947">
        <v>230.84</v>
      </c>
      <c r="H1947" t="s">
        <v>36</v>
      </c>
      <c r="I1947" t="s">
        <v>2725</v>
      </c>
      <c r="J1947" t="s">
        <v>20</v>
      </c>
      <c r="K1947" t="s">
        <v>21</v>
      </c>
      <c r="L1947" t="s">
        <v>60</v>
      </c>
      <c r="M1947" t="s">
        <v>61</v>
      </c>
      <c r="N1947">
        <f>Sheet1[[#This Row],[Quantity]]*Sheet1[[#This Row],[UnitPrice]]</f>
        <v>1615.88</v>
      </c>
    </row>
    <row r="1948" spans="1:14" x14ac:dyDescent="0.3">
      <c r="A1948" s="1">
        <v>45179</v>
      </c>
      <c r="B1948" t="s">
        <v>1930</v>
      </c>
      <c r="C1948" t="s">
        <v>25</v>
      </c>
      <c r="D1948" t="s">
        <v>74</v>
      </c>
      <c r="E1948" t="s">
        <v>35</v>
      </c>
      <c r="F1948">
        <v>9</v>
      </c>
      <c r="G1948">
        <v>34.020000000000003</v>
      </c>
      <c r="H1948" t="s">
        <v>18</v>
      </c>
      <c r="I1948" t="s">
        <v>2726</v>
      </c>
      <c r="J1948" t="s">
        <v>38</v>
      </c>
      <c r="K1948" t="s">
        <v>59</v>
      </c>
      <c r="L1948" t="s">
        <v>22</v>
      </c>
      <c r="M1948" t="s">
        <v>61</v>
      </c>
      <c r="N1948">
        <f>Sheet1[[#This Row],[Quantity]]*Sheet1[[#This Row],[UnitPrice]]</f>
        <v>306.18</v>
      </c>
    </row>
    <row r="1949" spans="1:14" x14ac:dyDescent="0.3">
      <c r="A1949" s="1">
        <v>45455</v>
      </c>
      <c r="B1949" t="s">
        <v>1109</v>
      </c>
      <c r="C1949" t="s">
        <v>56</v>
      </c>
      <c r="D1949" t="s">
        <v>74</v>
      </c>
      <c r="E1949" t="s">
        <v>67</v>
      </c>
      <c r="F1949">
        <v>1</v>
      </c>
      <c r="G1949">
        <v>398.76</v>
      </c>
      <c r="H1949" t="s">
        <v>28</v>
      </c>
      <c r="I1949" t="s">
        <v>2727</v>
      </c>
      <c r="J1949" t="s">
        <v>58</v>
      </c>
      <c r="K1949" t="s">
        <v>45</v>
      </c>
      <c r="L1949" t="s">
        <v>22</v>
      </c>
      <c r="M1949" t="s">
        <v>76</v>
      </c>
      <c r="N1949">
        <f>Sheet1[[#This Row],[Quantity]]*Sheet1[[#This Row],[UnitPrice]]</f>
        <v>398.76</v>
      </c>
    </row>
    <row r="1950" spans="1:14" x14ac:dyDescent="0.3">
      <c r="A1950" s="1">
        <v>45423</v>
      </c>
      <c r="B1950" t="s">
        <v>225</v>
      </c>
      <c r="C1950" t="s">
        <v>78</v>
      </c>
      <c r="D1950" t="s">
        <v>26</v>
      </c>
      <c r="E1950" t="s">
        <v>52</v>
      </c>
      <c r="F1950">
        <v>9</v>
      </c>
      <c r="G1950">
        <v>261.52</v>
      </c>
      <c r="H1950" t="s">
        <v>53</v>
      </c>
      <c r="I1950" t="s">
        <v>2728</v>
      </c>
      <c r="J1950" t="s">
        <v>38</v>
      </c>
      <c r="K1950" t="s">
        <v>45</v>
      </c>
      <c r="L1950" t="s">
        <v>60</v>
      </c>
      <c r="M1950" t="s">
        <v>23</v>
      </c>
      <c r="N1950">
        <f>Sheet1[[#This Row],[Quantity]]*Sheet1[[#This Row],[UnitPrice]]</f>
        <v>2353.6799999999998</v>
      </c>
    </row>
    <row r="1951" spans="1:14" x14ac:dyDescent="0.3">
      <c r="A1951" s="1">
        <v>45484</v>
      </c>
      <c r="B1951" t="s">
        <v>550</v>
      </c>
      <c r="C1951" t="s">
        <v>90</v>
      </c>
      <c r="D1951" t="s">
        <v>16</v>
      </c>
      <c r="E1951" t="s">
        <v>17</v>
      </c>
      <c r="F1951">
        <v>1</v>
      </c>
      <c r="G1951">
        <v>308.67</v>
      </c>
      <c r="H1951" t="s">
        <v>18</v>
      </c>
      <c r="I1951" t="s">
        <v>2729</v>
      </c>
      <c r="J1951" t="s">
        <v>58</v>
      </c>
      <c r="K1951" t="s">
        <v>31</v>
      </c>
      <c r="L1951" t="s">
        <v>39</v>
      </c>
      <c r="M1951" t="s">
        <v>32</v>
      </c>
      <c r="N1951">
        <f>Sheet1[[#This Row],[Quantity]]*Sheet1[[#This Row],[UnitPrice]]</f>
        <v>308.67</v>
      </c>
    </row>
    <row r="1952" spans="1:14" x14ac:dyDescent="0.3">
      <c r="A1952" s="1">
        <v>45165</v>
      </c>
      <c r="B1952" t="s">
        <v>186</v>
      </c>
      <c r="C1952" t="s">
        <v>78</v>
      </c>
      <c r="D1952" t="s">
        <v>47</v>
      </c>
      <c r="E1952" t="s">
        <v>52</v>
      </c>
      <c r="F1952">
        <v>3</v>
      </c>
      <c r="G1952">
        <v>223.33</v>
      </c>
      <c r="H1952" t="s">
        <v>28</v>
      </c>
      <c r="I1952" t="s">
        <v>2730</v>
      </c>
      <c r="J1952" t="s">
        <v>44</v>
      </c>
      <c r="K1952" t="s">
        <v>21</v>
      </c>
      <c r="L1952" t="s">
        <v>39</v>
      </c>
      <c r="M1952" t="s">
        <v>61</v>
      </c>
      <c r="N1952">
        <f>Sheet1[[#This Row],[Quantity]]*Sheet1[[#This Row],[UnitPrice]]</f>
        <v>669.99</v>
      </c>
    </row>
    <row r="1953" spans="1:14" x14ac:dyDescent="0.3">
      <c r="A1953" s="1">
        <v>45771</v>
      </c>
      <c r="B1953" t="s">
        <v>288</v>
      </c>
      <c r="C1953" t="s">
        <v>90</v>
      </c>
      <c r="D1953" t="s">
        <v>16</v>
      </c>
      <c r="E1953" t="s">
        <v>67</v>
      </c>
      <c r="F1953">
        <v>5</v>
      </c>
      <c r="G1953">
        <v>159.9</v>
      </c>
      <c r="H1953" t="s">
        <v>68</v>
      </c>
      <c r="I1953" t="s">
        <v>2731</v>
      </c>
      <c r="J1953" t="s">
        <v>58</v>
      </c>
      <c r="K1953" t="s">
        <v>59</v>
      </c>
      <c r="L1953" t="s">
        <v>22</v>
      </c>
      <c r="M1953" t="s">
        <v>32</v>
      </c>
      <c r="N1953">
        <f>Sheet1[[#This Row],[Quantity]]*Sheet1[[#This Row],[UnitPrice]]</f>
        <v>799.5</v>
      </c>
    </row>
    <row r="1954" spans="1:14" x14ac:dyDescent="0.3">
      <c r="A1954" s="1">
        <v>45340</v>
      </c>
      <c r="B1954" t="s">
        <v>1439</v>
      </c>
      <c r="C1954" t="s">
        <v>90</v>
      </c>
      <c r="D1954" t="s">
        <v>74</v>
      </c>
      <c r="E1954" t="s">
        <v>52</v>
      </c>
      <c r="F1954">
        <v>7</v>
      </c>
      <c r="G1954">
        <v>169.3</v>
      </c>
      <c r="H1954" t="s">
        <v>18</v>
      </c>
      <c r="I1954" t="s">
        <v>2732</v>
      </c>
      <c r="J1954" t="s">
        <v>44</v>
      </c>
      <c r="K1954" t="s">
        <v>31</v>
      </c>
      <c r="L1954" t="s">
        <v>22</v>
      </c>
      <c r="M1954" t="s">
        <v>61</v>
      </c>
      <c r="N1954">
        <f>Sheet1[[#This Row],[Quantity]]*Sheet1[[#This Row],[UnitPrice]]</f>
        <v>1185.1000000000001</v>
      </c>
    </row>
    <row r="1955" spans="1:14" x14ac:dyDescent="0.3">
      <c r="A1955" s="1">
        <v>45078</v>
      </c>
      <c r="B1955" t="s">
        <v>2485</v>
      </c>
      <c r="C1955" t="s">
        <v>101</v>
      </c>
      <c r="D1955" t="s">
        <v>26</v>
      </c>
      <c r="E1955" t="s">
        <v>52</v>
      </c>
      <c r="F1955">
        <v>6</v>
      </c>
      <c r="G1955">
        <v>47.97</v>
      </c>
      <c r="H1955" t="s">
        <v>36</v>
      </c>
      <c r="I1955" t="s">
        <v>2733</v>
      </c>
      <c r="J1955" t="s">
        <v>20</v>
      </c>
      <c r="K1955" t="s">
        <v>59</v>
      </c>
      <c r="L1955" t="s">
        <v>39</v>
      </c>
      <c r="M1955" t="s">
        <v>32</v>
      </c>
      <c r="N1955">
        <f>Sheet1[[#This Row],[Quantity]]*Sheet1[[#This Row],[UnitPrice]]</f>
        <v>287.82</v>
      </c>
    </row>
    <row r="1956" spans="1:14" x14ac:dyDescent="0.3">
      <c r="A1956" s="1">
        <v>45582</v>
      </c>
      <c r="B1956" t="s">
        <v>150</v>
      </c>
      <c r="C1956" t="s">
        <v>15</v>
      </c>
      <c r="D1956" t="s">
        <v>16</v>
      </c>
      <c r="E1956" t="s">
        <v>35</v>
      </c>
      <c r="F1956">
        <v>10</v>
      </c>
      <c r="G1956">
        <v>391.42</v>
      </c>
      <c r="H1956" t="s">
        <v>36</v>
      </c>
      <c r="I1956" t="s">
        <v>2734</v>
      </c>
      <c r="J1956" t="s">
        <v>38</v>
      </c>
      <c r="K1956" t="s">
        <v>59</v>
      </c>
      <c r="L1956" t="s">
        <v>39</v>
      </c>
      <c r="M1956" t="s">
        <v>32</v>
      </c>
      <c r="N1956">
        <f>Sheet1[[#This Row],[Quantity]]*Sheet1[[#This Row],[UnitPrice]]</f>
        <v>3914.2000000000003</v>
      </c>
    </row>
    <row r="1957" spans="1:14" x14ac:dyDescent="0.3">
      <c r="A1957" s="1">
        <v>45836</v>
      </c>
      <c r="B1957" t="s">
        <v>1844</v>
      </c>
      <c r="C1957" t="s">
        <v>25</v>
      </c>
      <c r="D1957" t="s">
        <v>26</v>
      </c>
      <c r="E1957" t="s">
        <v>64</v>
      </c>
      <c r="F1957">
        <v>4</v>
      </c>
      <c r="G1957">
        <v>32.51</v>
      </c>
      <c r="H1957" t="s">
        <v>28</v>
      </c>
      <c r="I1957" t="s">
        <v>2735</v>
      </c>
      <c r="J1957" t="s">
        <v>30</v>
      </c>
      <c r="K1957" t="s">
        <v>59</v>
      </c>
      <c r="L1957" t="s">
        <v>39</v>
      </c>
      <c r="M1957" t="s">
        <v>23</v>
      </c>
      <c r="N1957">
        <f>Sheet1[[#This Row],[Quantity]]*Sheet1[[#This Row],[UnitPrice]]</f>
        <v>130.04</v>
      </c>
    </row>
    <row r="1958" spans="1:14" x14ac:dyDescent="0.3">
      <c r="A1958" s="1">
        <v>45698</v>
      </c>
      <c r="B1958" t="s">
        <v>2736</v>
      </c>
      <c r="C1958" t="s">
        <v>90</v>
      </c>
      <c r="D1958" t="s">
        <v>26</v>
      </c>
      <c r="E1958" t="s">
        <v>42</v>
      </c>
      <c r="F1958">
        <v>2</v>
      </c>
      <c r="G1958">
        <v>56.04</v>
      </c>
      <c r="H1958" t="s">
        <v>28</v>
      </c>
      <c r="I1958" t="s">
        <v>2737</v>
      </c>
      <c r="J1958" t="s">
        <v>30</v>
      </c>
      <c r="K1958" t="s">
        <v>59</v>
      </c>
      <c r="L1958" t="s">
        <v>60</v>
      </c>
      <c r="M1958" t="s">
        <v>49</v>
      </c>
      <c r="N1958">
        <f>Sheet1[[#This Row],[Quantity]]*Sheet1[[#This Row],[UnitPrice]]</f>
        <v>112.08</v>
      </c>
    </row>
    <row r="1959" spans="1:14" x14ac:dyDescent="0.3">
      <c r="A1959" s="1">
        <v>45239</v>
      </c>
      <c r="B1959" t="s">
        <v>1078</v>
      </c>
      <c r="C1959" t="s">
        <v>34</v>
      </c>
      <c r="D1959" t="s">
        <v>74</v>
      </c>
      <c r="E1959" t="s">
        <v>27</v>
      </c>
      <c r="F1959">
        <v>10</v>
      </c>
      <c r="G1959">
        <v>295.52999999999997</v>
      </c>
      <c r="H1959" t="s">
        <v>68</v>
      </c>
      <c r="I1959" t="s">
        <v>2738</v>
      </c>
      <c r="J1959" t="s">
        <v>20</v>
      </c>
      <c r="K1959" t="s">
        <v>21</v>
      </c>
      <c r="L1959" t="s">
        <v>60</v>
      </c>
      <c r="M1959" t="s">
        <v>32</v>
      </c>
      <c r="N1959">
        <f>Sheet1[[#This Row],[Quantity]]*Sheet1[[#This Row],[UnitPrice]]</f>
        <v>2955.2999999999997</v>
      </c>
    </row>
    <row r="1960" spans="1:14" x14ac:dyDescent="0.3">
      <c r="A1960" s="1">
        <v>45821</v>
      </c>
      <c r="B1960" t="s">
        <v>760</v>
      </c>
      <c r="C1960" t="s">
        <v>78</v>
      </c>
      <c r="D1960" t="s">
        <v>74</v>
      </c>
      <c r="E1960" t="s">
        <v>17</v>
      </c>
      <c r="F1960">
        <v>1</v>
      </c>
      <c r="G1960">
        <v>305.05</v>
      </c>
      <c r="H1960" t="s">
        <v>68</v>
      </c>
      <c r="I1960" t="s">
        <v>2739</v>
      </c>
      <c r="J1960" t="s">
        <v>38</v>
      </c>
      <c r="K1960" t="s">
        <v>21</v>
      </c>
      <c r="L1960" t="s">
        <v>22</v>
      </c>
      <c r="M1960" t="s">
        <v>40</v>
      </c>
      <c r="N1960">
        <f>Sheet1[[#This Row],[Quantity]]*Sheet1[[#This Row],[UnitPrice]]</f>
        <v>305.05</v>
      </c>
    </row>
    <row r="1961" spans="1:14" x14ac:dyDescent="0.3">
      <c r="A1961" s="1">
        <v>45725</v>
      </c>
      <c r="B1961" t="s">
        <v>131</v>
      </c>
      <c r="C1961" t="s">
        <v>15</v>
      </c>
      <c r="D1961" t="s">
        <v>16</v>
      </c>
      <c r="E1961" t="s">
        <v>35</v>
      </c>
      <c r="F1961">
        <v>10</v>
      </c>
      <c r="G1961">
        <v>71.44</v>
      </c>
      <c r="H1961" t="s">
        <v>68</v>
      </c>
      <c r="I1961" t="s">
        <v>2740</v>
      </c>
      <c r="J1961" t="s">
        <v>58</v>
      </c>
      <c r="K1961" t="s">
        <v>59</v>
      </c>
      <c r="L1961" t="s">
        <v>22</v>
      </c>
      <c r="M1961" t="s">
        <v>61</v>
      </c>
      <c r="N1961">
        <f>Sheet1[[#This Row],[Quantity]]*Sheet1[[#This Row],[UnitPrice]]</f>
        <v>714.4</v>
      </c>
    </row>
    <row r="1962" spans="1:14" x14ac:dyDescent="0.3">
      <c r="A1962" s="1">
        <v>44949</v>
      </c>
      <c r="B1962" t="s">
        <v>242</v>
      </c>
      <c r="C1962" t="s">
        <v>63</v>
      </c>
      <c r="D1962" t="s">
        <v>16</v>
      </c>
      <c r="E1962" t="s">
        <v>64</v>
      </c>
      <c r="F1962">
        <v>10</v>
      </c>
      <c r="G1962">
        <v>24.92</v>
      </c>
      <c r="H1962" t="s">
        <v>28</v>
      </c>
      <c r="I1962" t="s">
        <v>2741</v>
      </c>
      <c r="J1962" t="s">
        <v>20</v>
      </c>
      <c r="K1962" t="s">
        <v>21</v>
      </c>
      <c r="L1962" t="s">
        <v>39</v>
      </c>
      <c r="M1962" t="s">
        <v>49</v>
      </c>
      <c r="N1962">
        <f>Sheet1[[#This Row],[Quantity]]*Sheet1[[#This Row],[UnitPrice]]</f>
        <v>249.20000000000002</v>
      </c>
    </row>
    <row r="1963" spans="1:14" x14ac:dyDescent="0.3">
      <c r="A1963" s="1">
        <v>45064</v>
      </c>
      <c r="B1963" t="s">
        <v>1286</v>
      </c>
      <c r="C1963" t="s">
        <v>90</v>
      </c>
      <c r="D1963" t="s">
        <v>16</v>
      </c>
      <c r="E1963" t="s">
        <v>17</v>
      </c>
      <c r="F1963">
        <v>3</v>
      </c>
      <c r="G1963">
        <v>120</v>
      </c>
      <c r="H1963" t="s">
        <v>28</v>
      </c>
      <c r="I1963" t="s">
        <v>2742</v>
      </c>
      <c r="J1963" t="s">
        <v>38</v>
      </c>
      <c r="K1963" t="s">
        <v>21</v>
      </c>
      <c r="L1963" t="s">
        <v>22</v>
      </c>
      <c r="M1963" t="s">
        <v>32</v>
      </c>
      <c r="N1963">
        <f>Sheet1[[#This Row],[Quantity]]*Sheet1[[#This Row],[UnitPrice]]</f>
        <v>360</v>
      </c>
    </row>
    <row r="1964" spans="1:14" x14ac:dyDescent="0.3">
      <c r="A1964" s="1">
        <v>45451</v>
      </c>
      <c r="B1964" t="s">
        <v>922</v>
      </c>
      <c r="C1964" t="s">
        <v>73</v>
      </c>
      <c r="D1964" t="s">
        <v>47</v>
      </c>
      <c r="E1964" t="s">
        <v>52</v>
      </c>
      <c r="F1964">
        <v>4</v>
      </c>
      <c r="G1964">
        <v>79.55</v>
      </c>
      <c r="H1964" t="s">
        <v>68</v>
      </c>
      <c r="I1964" t="s">
        <v>2743</v>
      </c>
      <c r="J1964" t="s">
        <v>58</v>
      </c>
      <c r="K1964" t="s">
        <v>45</v>
      </c>
      <c r="L1964" t="s">
        <v>60</v>
      </c>
      <c r="M1964" t="s">
        <v>23</v>
      </c>
      <c r="N1964">
        <f>Sheet1[[#This Row],[Quantity]]*Sheet1[[#This Row],[UnitPrice]]</f>
        <v>318.2</v>
      </c>
    </row>
    <row r="1965" spans="1:14" x14ac:dyDescent="0.3">
      <c r="A1965" s="1">
        <v>45257</v>
      </c>
      <c r="B1965" t="s">
        <v>442</v>
      </c>
      <c r="C1965" t="s">
        <v>78</v>
      </c>
      <c r="D1965" t="s">
        <v>74</v>
      </c>
      <c r="E1965" t="s">
        <v>64</v>
      </c>
      <c r="F1965">
        <v>9</v>
      </c>
      <c r="G1965">
        <v>7.52</v>
      </c>
      <c r="H1965" t="s">
        <v>18</v>
      </c>
      <c r="I1965" t="s">
        <v>2744</v>
      </c>
      <c r="J1965" t="s">
        <v>38</v>
      </c>
      <c r="K1965" t="s">
        <v>59</v>
      </c>
      <c r="L1965" t="s">
        <v>22</v>
      </c>
      <c r="M1965" t="s">
        <v>49</v>
      </c>
      <c r="N1965">
        <f>Sheet1[[#This Row],[Quantity]]*Sheet1[[#This Row],[UnitPrice]]</f>
        <v>67.679999999999993</v>
      </c>
    </row>
    <row r="1966" spans="1:14" x14ac:dyDescent="0.3">
      <c r="A1966" s="1">
        <v>45442</v>
      </c>
      <c r="B1966" t="s">
        <v>340</v>
      </c>
      <c r="C1966" t="s">
        <v>78</v>
      </c>
      <c r="D1966" t="s">
        <v>74</v>
      </c>
      <c r="E1966" t="s">
        <v>64</v>
      </c>
      <c r="F1966">
        <v>1</v>
      </c>
      <c r="G1966">
        <v>12.42</v>
      </c>
      <c r="H1966" t="s">
        <v>53</v>
      </c>
      <c r="I1966" t="s">
        <v>2745</v>
      </c>
      <c r="J1966" t="s">
        <v>38</v>
      </c>
      <c r="K1966" t="s">
        <v>45</v>
      </c>
      <c r="L1966" t="s">
        <v>60</v>
      </c>
      <c r="M1966" t="s">
        <v>32</v>
      </c>
      <c r="N1966">
        <f>Sheet1[[#This Row],[Quantity]]*Sheet1[[#This Row],[UnitPrice]]</f>
        <v>12.42</v>
      </c>
    </row>
    <row r="1967" spans="1:14" x14ac:dyDescent="0.3">
      <c r="A1967" s="1">
        <v>45216</v>
      </c>
      <c r="B1967" t="s">
        <v>644</v>
      </c>
      <c r="C1967" t="s">
        <v>63</v>
      </c>
      <c r="D1967" t="s">
        <v>74</v>
      </c>
      <c r="E1967" t="s">
        <v>42</v>
      </c>
      <c r="F1967">
        <v>7</v>
      </c>
      <c r="G1967">
        <v>163.51</v>
      </c>
      <c r="H1967" t="s">
        <v>68</v>
      </c>
      <c r="I1967" t="s">
        <v>2746</v>
      </c>
      <c r="J1967" t="s">
        <v>38</v>
      </c>
      <c r="K1967" t="s">
        <v>45</v>
      </c>
      <c r="L1967" t="s">
        <v>22</v>
      </c>
      <c r="M1967" t="s">
        <v>84</v>
      </c>
      <c r="N1967">
        <f>Sheet1[[#This Row],[Quantity]]*Sheet1[[#This Row],[UnitPrice]]</f>
        <v>1144.57</v>
      </c>
    </row>
    <row r="1968" spans="1:14" x14ac:dyDescent="0.3">
      <c r="A1968" s="1">
        <v>44975</v>
      </c>
      <c r="B1968" t="s">
        <v>248</v>
      </c>
      <c r="C1968" t="s">
        <v>15</v>
      </c>
      <c r="D1968" t="s">
        <v>74</v>
      </c>
      <c r="E1968" t="s">
        <v>52</v>
      </c>
      <c r="F1968">
        <v>8</v>
      </c>
      <c r="G1968">
        <v>51.48</v>
      </c>
      <c r="H1968" t="s">
        <v>68</v>
      </c>
      <c r="I1968" t="s">
        <v>2747</v>
      </c>
      <c r="J1968" t="s">
        <v>58</v>
      </c>
      <c r="K1968" t="s">
        <v>21</v>
      </c>
      <c r="L1968" t="s">
        <v>22</v>
      </c>
      <c r="M1968" t="s">
        <v>23</v>
      </c>
      <c r="N1968">
        <f>Sheet1[[#This Row],[Quantity]]*Sheet1[[#This Row],[UnitPrice]]</f>
        <v>411.84</v>
      </c>
    </row>
    <row r="1969" spans="1:14" x14ac:dyDescent="0.3">
      <c r="A1969" s="1">
        <v>45819</v>
      </c>
      <c r="B1969" t="s">
        <v>1426</v>
      </c>
      <c r="C1969" t="s">
        <v>73</v>
      </c>
      <c r="D1969" t="s">
        <v>16</v>
      </c>
      <c r="E1969" t="s">
        <v>52</v>
      </c>
      <c r="F1969">
        <v>2</v>
      </c>
      <c r="G1969">
        <v>366.76</v>
      </c>
      <c r="H1969" t="s">
        <v>68</v>
      </c>
      <c r="I1969" t="s">
        <v>2748</v>
      </c>
      <c r="J1969" t="s">
        <v>44</v>
      </c>
      <c r="K1969" t="s">
        <v>31</v>
      </c>
      <c r="L1969" t="s">
        <v>39</v>
      </c>
      <c r="M1969" t="s">
        <v>76</v>
      </c>
      <c r="N1969">
        <f>Sheet1[[#This Row],[Quantity]]*Sheet1[[#This Row],[UnitPrice]]</f>
        <v>733.52</v>
      </c>
    </row>
    <row r="1970" spans="1:14" x14ac:dyDescent="0.3">
      <c r="A1970" s="1">
        <v>45402</v>
      </c>
      <c r="B1970" t="s">
        <v>1111</v>
      </c>
      <c r="C1970" t="s">
        <v>34</v>
      </c>
      <c r="D1970" t="s">
        <v>26</v>
      </c>
      <c r="E1970" t="s">
        <v>67</v>
      </c>
      <c r="F1970">
        <v>3</v>
      </c>
      <c r="G1970">
        <v>121.11</v>
      </c>
      <c r="H1970" t="s">
        <v>53</v>
      </c>
      <c r="I1970" t="s">
        <v>2749</v>
      </c>
      <c r="J1970" t="s">
        <v>38</v>
      </c>
      <c r="K1970" t="s">
        <v>59</v>
      </c>
      <c r="L1970" t="s">
        <v>22</v>
      </c>
      <c r="M1970" t="s">
        <v>23</v>
      </c>
      <c r="N1970">
        <f>Sheet1[[#This Row],[Quantity]]*Sheet1[[#This Row],[UnitPrice]]</f>
        <v>363.33</v>
      </c>
    </row>
    <row r="1971" spans="1:14" x14ac:dyDescent="0.3">
      <c r="A1971" s="1">
        <v>45698</v>
      </c>
      <c r="B1971" t="s">
        <v>1598</v>
      </c>
      <c r="C1971" t="s">
        <v>101</v>
      </c>
      <c r="D1971" t="s">
        <v>47</v>
      </c>
      <c r="E1971" t="s">
        <v>35</v>
      </c>
      <c r="F1971">
        <v>7</v>
      </c>
      <c r="G1971">
        <v>85.91</v>
      </c>
      <c r="H1971" t="s">
        <v>28</v>
      </c>
      <c r="I1971" t="s">
        <v>2750</v>
      </c>
      <c r="J1971" t="s">
        <v>38</v>
      </c>
      <c r="K1971" t="s">
        <v>45</v>
      </c>
      <c r="L1971" t="s">
        <v>60</v>
      </c>
      <c r="M1971" t="s">
        <v>49</v>
      </c>
      <c r="N1971">
        <f>Sheet1[[#This Row],[Quantity]]*Sheet1[[#This Row],[UnitPrice]]</f>
        <v>601.37</v>
      </c>
    </row>
    <row r="1972" spans="1:14" x14ac:dyDescent="0.3">
      <c r="A1972" s="1">
        <v>45049</v>
      </c>
      <c r="B1972" t="s">
        <v>934</v>
      </c>
      <c r="C1972" t="s">
        <v>56</v>
      </c>
      <c r="D1972" t="s">
        <v>26</v>
      </c>
      <c r="E1972" t="s">
        <v>17</v>
      </c>
      <c r="F1972">
        <v>5</v>
      </c>
      <c r="G1972">
        <v>50.09</v>
      </c>
      <c r="H1972" t="s">
        <v>18</v>
      </c>
      <c r="I1972" t="s">
        <v>2751</v>
      </c>
      <c r="J1972" t="s">
        <v>38</v>
      </c>
      <c r="K1972" t="s">
        <v>21</v>
      </c>
      <c r="L1972" t="s">
        <v>39</v>
      </c>
      <c r="M1972" t="s">
        <v>76</v>
      </c>
      <c r="N1972">
        <f>Sheet1[[#This Row],[Quantity]]*Sheet1[[#This Row],[UnitPrice]]</f>
        <v>250.45000000000002</v>
      </c>
    </row>
    <row r="1973" spans="1:14" x14ac:dyDescent="0.3">
      <c r="A1973" s="1">
        <v>45370</v>
      </c>
      <c r="B1973" t="s">
        <v>917</v>
      </c>
      <c r="C1973" t="s">
        <v>78</v>
      </c>
      <c r="D1973" t="s">
        <v>16</v>
      </c>
      <c r="E1973" t="s">
        <v>27</v>
      </c>
      <c r="F1973">
        <v>2</v>
      </c>
      <c r="G1973">
        <v>161.52000000000001</v>
      </c>
      <c r="H1973" t="s">
        <v>36</v>
      </c>
      <c r="I1973" t="s">
        <v>2752</v>
      </c>
      <c r="J1973" t="s">
        <v>30</v>
      </c>
      <c r="K1973" t="s">
        <v>59</v>
      </c>
      <c r="L1973" t="s">
        <v>22</v>
      </c>
      <c r="M1973" t="s">
        <v>84</v>
      </c>
      <c r="N1973">
        <f>Sheet1[[#This Row],[Quantity]]*Sheet1[[#This Row],[UnitPrice]]</f>
        <v>323.04000000000002</v>
      </c>
    </row>
    <row r="1974" spans="1:14" x14ac:dyDescent="0.3">
      <c r="A1974" s="1">
        <v>45206</v>
      </c>
      <c r="B1974" t="s">
        <v>1445</v>
      </c>
      <c r="C1974" t="s">
        <v>56</v>
      </c>
      <c r="D1974" t="s">
        <v>16</v>
      </c>
      <c r="E1974" t="s">
        <v>42</v>
      </c>
      <c r="F1974">
        <v>4</v>
      </c>
      <c r="G1974">
        <v>34.799999999999997</v>
      </c>
      <c r="H1974" t="s">
        <v>53</v>
      </c>
      <c r="I1974" t="s">
        <v>2753</v>
      </c>
      <c r="J1974" t="s">
        <v>58</v>
      </c>
      <c r="K1974" t="s">
        <v>31</v>
      </c>
      <c r="L1974" t="s">
        <v>60</v>
      </c>
      <c r="M1974" t="s">
        <v>23</v>
      </c>
      <c r="N1974">
        <f>Sheet1[[#This Row],[Quantity]]*Sheet1[[#This Row],[UnitPrice]]</f>
        <v>139.19999999999999</v>
      </c>
    </row>
    <row r="1975" spans="1:14" x14ac:dyDescent="0.3">
      <c r="A1975" s="1">
        <v>45736</v>
      </c>
      <c r="B1975" t="s">
        <v>2754</v>
      </c>
      <c r="C1975" t="s">
        <v>25</v>
      </c>
      <c r="D1975" t="s">
        <v>74</v>
      </c>
      <c r="E1975" t="s">
        <v>17</v>
      </c>
      <c r="F1975">
        <v>3</v>
      </c>
      <c r="G1975">
        <v>185.38</v>
      </c>
      <c r="H1975" t="s">
        <v>68</v>
      </c>
      <c r="I1975" t="s">
        <v>2755</v>
      </c>
      <c r="J1975" t="s">
        <v>20</v>
      </c>
      <c r="K1975" t="s">
        <v>21</v>
      </c>
      <c r="L1975" t="s">
        <v>39</v>
      </c>
      <c r="M1975" t="s">
        <v>32</v>
      </c>
      <c r="N1975">
        <f>Sheet1[[#This Row],[Quantity]]*Sheet1[[#This Row],[UnitPrice]]</f>
        <v>556.14</v>
      </c>
    </row>
    <row r="1976" spans="1:14" x14ac:dyDescent="0.3">
      <c r="A1976" s="1">
        <v>45143</v>
      </c>
      <c r="B1976" t="s">
        <v>790</v>
      </c>
      <c r="C1976" t="s">
        <v>73</v>
      </c>
      <c r="D1976" t="s">
        <v>74</v>
      </c>
      <c r="E1976" t="s">
        <v>64</v>
      </c>
      <c r="F1976">
        <v>6</v>
      </c>
      <c r="G1976">
        <v>223.02</v>
      </c>
      <c r="H1976" t="s">
        <v>68</v>
      </c>
      <c r="I1976" t="s">
        <v>2756</v>
      </c>
      <c r="J1976" t="s">
        <v>44</v>
      </c>
      <c r="K1976" t="s">
        <v>31</v>
      </c>
      <c r="L1976" t="s">
        <v>39</v>
      </c>
      <c r="M1976" t="s">
        <v>23</v>
      </c>
      <c r="N1976">
        <f>Sheet1[[#This Row],[Quantity]]*Sheet1[[#This Row],[UnitPrice]]</f>
        <v>1338.1200000000001</v>
      </c>
    </row>
    <row r="1977" spans="1:14" x14ac:dyDescent="0.3">
      <c r="A1977" s="1">
        <v>45125</v>
      </c>
      <c r="B1977" t="s">
        <v>2757</v>
      </c>
      <c r="C1977" t="s">
        <v>63</v>
      </c>
      <c r="D1977" t="s">
        <v>74</v>
      </c>
      <c r="E1977" t="s">
        <v>67</v>
      </c>
      <c r="F1977">
        <v>10</v>
      </c>
      <c r="G1977">
        <v>48.01</v>
      </c>
      <c r="H1977" t="s">
        <v>28</v>
      </c>
      <c r="I1977" t="s">
        <v>2758</v>
      </c>
      <c r="J1977" t="s">
        <v>20</v>
      </c>
      <c r="K1977" t="s">
        <v>45</v>
      </c>
      <c r="L1977" t="s">
        <v>22</v>
      </c>
      <c r="M1977" t="s">
        <v>84</v>
      </c>
      <c r="N1977">
        <f>Sheet1[[#This Row],[Quantity]]*Sheet1[[#This Row],[UnitPrice]]</f>
        <v>480.09999999999997</v>
      </c>
    </row>
    <row r="1978" spans="1:14" x14ac:dyDescent="0.3">
      <c r="A1978" s="1">
        <v>45304</v>
      </c>
      <c r="B1978" t="s">
        <v>2192</v>
      </c>
      <c r="C1978" t="s">
        <v>15</v>
      </c>
      <c r="D1978" t="s">
        <v>16</v>
      </c>
      <c r="E1978" t="s">
        <v>27</v>
      </c>
      <c r="F1978">
        <v>9</v>
      </c>
      <c r="G1978">
        <v>166.29</v>
      </c>
      <c r="H1978" t="s">
        <v>53</v>
      </c>
      <c r="I1978" t="s">
        <v>2759</v>
      </c>
      <c r="J1978" t="s">
        <v>30</v>
      </c>
      <c r="K1978" t="s">
        <v>59</v>
      </c>
      <c r="L1978" t="s">
        <v>22</v>
      </c>
      <c r="M1978" t="s">
        <v>23</v>
      </c>
      <c r="N1978">
        <f>Sheet1[[#This Row],[Quantity]]*Sheet1[[#This Row],[UnitPrice]]</f>
        <v>1496.61</v>
      </c>
    </row>
    <row r="1979" spans="1:14" x14ac:dyDescent="0.3">
      <c r="A1979" s="1">
        <v>45778</v>
      </c>
      <c r="B1979" t="s">
        <v>333</v>
      </c>
      <c r="C1979" t="s">
        <v>56</v>
      </c>
      <c r="D1979" t="s">
        <v>74</v>
      </c>
      <c r="E1979" t="s">
        <v>17</v>
      </c>
      <c r="F1979">
        <v>6</v>
      </c>
      <c r="G1979">
        <v>270.73</v>
      </c>
      <c r="H1979" t="s">
        <v>68</v>
      </c>
      <c r="I1979" t="s">
        <v>2760</v>
      </c>
      <c r="J1979" t="s">
        <v>44</v>
      </c>
      <c r="K1979" t="s">
        <v>59</v>
      </c>
      <c r="L1979" t="s">
        <v>39</v>
      </c>
      <c r="M1979" t="s">
        <v>32</v>
      </c>
      <c r="N1979">
        <f>Sheet1[[#This Row],[Quantity]]*Sheet1[[#This Row],[UnitPrice]]</f>
        <v>1624.38</v>
      </c>
    </row>
    <row r="1980" spans="1:14" x14ac:dyDescent="0.3">
      <c r="A1980" s="1">
        <v>45810</v>
      </c>
      <c r="B1980" t="s">
        <v>105</v>
      </c>
      <c r="C1980" t="s">
        <v>51</v>
      </c>
      <c r="D1980" t="s">
        <v>26</v>
      </c>
      <c r="E1980" t="s">
        <v>27</v>
      </c>
      <c r="F1980">
        <v>2</v>
      </c>
      <c r="G1980">
        <v>104.12</v>
      </c>
      <c r="H1980" t="s">
        <v>18</v>
      </c>
      <c r="I1980" t="s">
        <v>2761</v>
      </c>
      <c r="J1980" t="s">
        <v>38</v>
      </c>
      <c r="K1980" t="s">
        <v>21</v>
      </c>
      <c r="L1980" t="s">
        <v>39</v>
      </c>
      <c r="M1980" t="s">
        <v>49</v>
      </c>
      <c r="N1980">
        <f>Sheet1[[#This Row],[Quantity]]*Sheet1[[#This Row],[UnitPrice]]</f>
        <v>208.24</v>
      </c>
    </row>
    <row r="1981" spans="1:14" x14ac:dyDescent="0.3">
      <c r="A1981" s="1">
        <v>45352</v>
      </c>
      <c r="B1981" t="s">
        <v>1400</v>
      </c>
      <c r="C1981" t="s">
        <v>63</v>
      </c>
      <c r="D1981" t="s">
        <v>26</v>
      </c>
      <c r="E1981" t="s">
        <v>35</v>
      </c>
      <c r="F1981">
        <v>2</v>
      </c>
      <c r="G1981">
        <v>316.44</v>
      </c>
      <c r="H1981" t="s">
        <v>36</v>
      </c>
      <c r="I1981" t="s">
        <v>2762</v>
      </c>
      <c r="J1981" t="s">
        <v>30</v>
      </c>
      <c r="K1981" t="s">
        <v>59</v>
      </c>
      <c r="L1981" t="s">
        <v>22</v>
      </c>
      <c r="M1981" t="s">
        <v>40</v>
      </c>
      <c r="N1981">
        <f>Sheet1[[#This Row],[Quantity]]*Sheet1[[#This Row],[UnitPrice]]</f>
        <v>632.88</v>
      </c>
    </row>
    <row r="1982" spans="1:14" x14ac:dyDescent="0.3">
      <c r="A1982" s="1">
        <v>45212</v>
      </c>
      <c r="B1982" t="s">
        <v>985</v>
      </c>
      <c r="C1982" t="s">
        <v>73</v>
      </c>
      <c r="D1982" t="s">
        <v>74</v>
      </c>
      <c r="E1982" t="s">
        <v>35</v>
      </c>
      <c r="F1982">
        <v>5</v>
      </c>
      <c r="G1982">
        <v>363.11</v>
      </c>
      <c r="H1982" t="s">
        <v>28</v>
      </c>
      <c r="I1982" t="s">
        <v>2763</v>
      </c>
      <c r="J1982" t="s">
        <v>20</v>
      </c>
      <c r="K1982" t="s">
        <v>45</v>
      </c>
      <c r="L1982" t="s">
        <v>39</v>
      </c>
      <c r="M1982" t="s">
        <v>40</v>
      </c>
      <c r="N1982">
        <f>Sheet1[[#This Row],[Quantity]]*Sheet1[[#This Row],[UnitPrice]]</f>
        <v>1815.5500000000002</v>
      </c>
    </row>
    <row r="1983" spans="1:14" x14ac:dyDescent="0.3">
      <c r="A1983" s="1">
        <v>45346</v>
      </c>
      <c r="B1983" t="s">
        <v>373</v>
      </c>
      <c r="C1983" t="s">
        <v>56</v>
      </c>
      <c r="D1983" t="s">
        <v>16</v>
      </c>
      <c r="E1983" t="s">
        <v>17</v>
      </c>
      <c r="F1983">
        <v>2</v>
      </c>
      <c r="G1983">
        <v>277.01</v>
      </c>
      <c r="H1983" t="s">
        <v>18</v>
      </c>
      <c r="I1983" t="s">
        <v>2764</v>
      </c>
      <c r="J1983" t="s">
        <v>20</v>
      </c>
      <c r="K1983" t="s">
        <v>45</v>
      </c>
      <c r="L1983" t="s">
        <v>39</v>
      </c>
      <c r="M1983" t="s">
        <v>23</v>
      </c>
      <c r="N1983">
        <f>Sheet1[[#This Row],[Quantity]]*Sheet1[[#This Row],[UnitPrice]]</f>
        <v>554.02</v>
      </c>
    </row>
    <row r="1984" spans="1:14" x14ac:dyDescent="0.3">
      <c r="A1984" s="1">
        <v>45431</v>
      </c>
      <c r="B1984" t="s">
        <v>1037</v>
      </c>
      <c r="C1984" t="s">
        <v>51</v>
      </c>
      <c r="D1984" t="s">
        <v>74</v>
      </c>
      <c r="E1984" t="s">
        <v>35</v>
      </c>
      <c r="F1984">
        <v>10</v>
      </c>
      <c r="G1984">
        <v>193.77</v>
      </c>
      <c r="H1984" t="s">
        <v>68</v>
      </c>
      <c r="I1984" t="s">
        <v>2765</v>
      </c>
      <c r="J1984" t="s">
        <v>38</v>
      </c>
      <c r="K1984" t="s">
        <v>21</v>
      </c>
      <c r="L1984" t="s">
        <v>39</v>
      </c>
      <c r="M1984" t="s">
        <v>61</v>
      </c>
      <c r="N1984">
        <f>Sheet1[[#This Row],[Quantity]]*Sheet1[[#This Row],[UnitPrice]]</f>
        <v>1937.7</v>
      </c>
    </row>
    <row r="1985" spans="1:14" x14ac:dyDescent="0.3">
      <c r="A1985" s="1">
        <v>45697</v>
      </c>
      <c r="B1985" t="s">
        <v>1245</v>
      </c>
      <c r="C1985" t="s">
        <v>90</v>
      </c>
      <c r="D1985" t="s">
        <v>26</v>
      </c>
      <c r="E1985" t="s">
        <v>27</v>
      </c>
      <c r="F1985">
        <v>4</v>
      </c>
      <c r="G1985">
        <v>162.22</v>
      </c>
      <c r="H1985" t="s">
        <v>36</v>
      </c>
      <c r="I1985" t="s">
        <v>2766</v>
      </c>
      <c r="J1985" t="s">
        <v>38</v>
      </c>
      <c r="K1985" t="s">
        <v>21</v>
      </c>
      <c r="L1985" t="s">
        <v>39</v>
      </c>
      <c r="M1985" t="s">
        <v>61</v>
      </c>
      <c r="N1985">
        <f>Sheet1[[#This Row],[Quantity]]*Sheet1[[#This Row],[UnitPrice]]</f>
        <v>648.88</v>
      </c>
    </row>
    <row r="1986" spans="1:14" x14ac:dyDescent="0.3">
      <c r="A1986" s="1">
        <v>45602</v>
      </c>
      <c r="B1986" t="s">
        <v>714</v>
      </c>
      <c r="C1986" t="s">
        <v>15</v>
      </c>
      <c r="D1986" t="s">
        <v>47</v>
      </c>
      <c r="E1986" t="s">
        <v>35</v>
      </c>
      <c r="F1986">
        <v>3</v>
      </c>
      <c r="G1986">
        <v>204.61</v>
      </c>
      <c r="H1986" t="s">
        <v>28</v>
      </c>
      <c r="I1986" t="s">
        <v>2767</v>
      </c>
      <c r="J1986" t="s">
        <v>20</v>
      </c>
      <c r="K1986" t="s">
        <v>59</v>
      </c>
      <c r="L1986" t="s">
        <v>60</v>
      </c>
      <c r="M1986" t="s">
        <v>76</v>
      </c>
      <c r="N1986">
        <f>Sheet1[[#This Row],[Quantity]]*Sheet1[[#This Row],[UnitPrice]]</f>
        <v>613.83000000000004</v>
      </c>
    </row>
    <row r="1987" spans="1:14" x14ac:dyDescent="0.3">
      <c r="A1987" s="1">
        <v>45468</v>
      </c>
      <c r="B1987" t="s">
        <v>1045</v>
      </c>
      <c r="C1987" t="s">
        <v>51</v>
      </c>
      <c r="D1987" t="s">
        <v>47</v>
      </c>
      <c r="E1987" t="s">
        <v>64</v>
      </c>
      <c r="F1987">
        <v>10</v>
      </c>
      <c r="G1987">
        <v>122.7</v>
      </c>
      <c r="H1987" t="s">
        <v>28</v>
      </c>
      <c r="I1987" t="s">
        <v>2768</v>
      </c>
      <c r="J1987" t="s">
        <v>58</v>
      </c>
      <c r="K1987" t="s">
        <v>31</v>
      </c>
      <c r="L1987" t="s">
        <v>22</v>
      </c>
      <c r="M1987" t="s">
        <v>84</v>
      </c>
      <c r="N1987">
        <f>Sheet1[[#This Row],[Quantity]]*Sheet1[[#This Row],[UnitPrice]]</f>
        <v>1227</v>
      </c>
    </row>
    <row r="1988" spans="1:14" x14ac:dyDescent="0.3">
      <c r="A1988" s="1">
        <v>45326</v>
      </c>
      <c r="B1988" t="s">
        <v>406</v>
      </c>
      <c r="C1988" t="s">
        <v>101</v>
      </c>
      <c r="D1988" t="s">
        <v>74</v>
      </c>
      <c r="E1988" t="s">
        <v>67</v>
      </c>
      <c r="F1988">
        <v>3</v>
      </c>
      <c r="G1988">
        <v>145.46</v>
      </c>
      <c r="H1988" t="s">
        <v>18</v>
      </c>
      <c r="I1988" t="s">
        <v>2769</v>
      </c>
      <c r="J1988" t="s">
        <v>58</v>
      </c>
      <c r="K1988" t="s">
        <v>21</v>
      </c>
      <c r="L1988" t="s">
        <v>60</v>
      </c>
      <c r="M1988" t="s">
        <v>61</v>
      </c>
      <c r="N1988">
        <f>Sheet1[[#This Row],[Quantity]]*Sheet1[[#This Row],[UnitPrice]]</f>
        <v>436.38</v>
      </c>
    </row>
    <row r="1989" spans="1:14" x14ac:dyDescent="0.3">
      <c r="A1989" s="1">
        <v>45061</v>
      </c>
      <c r="B1989" t="s">
        <v>504</v>
      </c>
      <c r="C1989" t="s">
        <v>90</v>
      </c>
      <c r="D1989" t="s">
        <v>16</v>
      </c>
      <c r="E1989" t="s">
        <v>35</v>
      </c>
      <c r="F1989">
        <v>8</v>
      </c>
      <c r="G1989">
        <v>130.88999999999999</v>
      </c>
      <c r="H1989" t="s">
        <v>28</v>
      </c>
      <c r="I1989" t="s">
        <v>2770</v>
      </c>
      <c r="J1989" t="s">
        <v>38</v>
      </c>
      <c r="K1989" t="s">
        <v>21</v>
      </c>
      <c r="L1989" t="s">
        <v>22</v>
      </c>
      <c r="M1989" t="s">
        <v>49</v>
      </c>
      <c r="N1989">
        <f>Sheet1[[#This Row],[Quantity]]*Sheet1[[#This Row],[UnitPrice]]</f>
        <v>1047.1199999999999</v>
      </c>
    </row>
    <row r="1990" spans="1:14" x14ac:dyDescent="0.3">
      <c r="A1990" s="1">
        <v>45535</v>
      </c>
      <c r="B1990" t="s">
        <v>66</v>
      </c>
      <c r="C1990" t="s">
        <v>90</v>
      </c>
      <c r="D1990" t="s">
        <v>47</v>
      </c>
      <c r="E1990" t="s">
        <v>42</v>
      </c>
      <c r="F1990">
        <v>4</v>
      </c>
      <c r="G1990">
        <v>142.82</v>
      </c>
      <c r="H1990" t="s">
        <v>18</v>
      </c>
      <c r="I1990" t="s">
        <v>2771</v>
      </c>
      <c r="J1990" t="s">
        <v>44</v>
      </c>
      <c r="K1990" t="s">
        <v>45</v>
      </c>
      <c r="L1990" t="s">
        <v>22</v>
      </c>
      <c r="M1990" t="s">
        <v>23</v>
      </c>
      <c r="N1990">
        <f>Sheet1[[#This Row],[Quantity]]*Sheet1[[#This Row],[UnitPrice]]</f>
        <v>571.28</v>
      </c>
    </row>
    <row r="1991" spans="1:14" x14ac:dyDescent="0.3">
      <c r="A1991" s="1">
        <v>45063</v>
      </c>
      <c r="B1991" t="s">
        <v>125</v>
      </c>
      <c r="C1991" t="s">
        <v>51</v>
      </c>
      <c r="D1991" t="s">
        <v>26</v>
      </c>
      <c r="E1991" t="s">
        <v>35</v>
      </c>
      <c r="F1991">
        <v>1</v>
      </c>
      <c r="G1991">
        <v>194.34</v>
      </c>
      <c r="H1991" t="s">
        <v>18</v>
      </c>
      <c r="I1991" t="s">
        <v>2772</v>
      </c>
      <c r="J1991" t="s">
        <v>44</v>
      </c>
      <c r="K1991" t="s">
        <v>59</v>
      </c>
      <c r="L1991" t="s">
        <v>60</v>
      </c>
      <c r="M1991" t="s">
        <v>76</v>
      </c>
      <c r="N1991">
        <f>Sheet1[[#This Row],[Quantity]]*Sheet1[[#This Row],[UnitPrice]]</f>
        <v>194.34</v>
      </c>
    </row>
    <row r="1992" spans="1:14" x14ac:dyDescent="0.3">
      <c r="A1992" s="1">
        <v>45421</v>
      </c>
      <c r="B1992" t="s">
        <v>2087</v>
      </c>
      <c r="C1992" t="s">
        <v>25</v>
      </c>
      <c r="D1992" t="s">
        <v>47</v>
      </c>
      <c r="E1992" t="s">
        <v>35</v>
      </c>
      <c r="F1992">
        <v>2</v>
      </c>
      <c r="G1992">
        <v>376.62</v>
      </c>
      <c r="H1992" t="s">
        <v>68</v>
      </c>
      <c r="I1992" t="s">
        <v>2773</v>
      </c>
      <c r="J1992" t="s">
        <v>44</v>
      </c>
      <c r="K1992" t="s">
        <v>31</v>
      </c>
      <c r="L1992" t="s">
        <v>60</v>
      </c>
      <c r="M1992" t="s">
        <v>32</v>
      </c>
      <c r="N1992">
        <f>Sheet1[[#This Row],[Quantity]]*Sheet1[[#This Row],[UnitPrice]]</f>
        <v>753.24</v>
      </c>
    </row>
    <row r="1993" spans="1:14" x14ac:dyDescent="0.3">
      <c r="A1993" s="1">
        <v>45432</v>
      </c>
      <c r="B1993" t="s">
        <v>1844</v>
      </c>
      <c r="C1993" t="s">
        <v>34</v>
      </c>
      <c r="D1993" t="s">
        <v>74</v>
      </c>
      <c r="E1993" t="s">
        <v>42</v>
      </c>
      <c r="F1993">
        <v>2</v>
      </c>
      <c r="G1993">
        <v>24.08</v>
      </c>
      <c r="H1993" t="s">
        <v>18</v>
      </c>
      <c r="I1993" t="s">
        <v>2774</v>
      </c>
      <c r="J1993" t="s">
        <v>20</v>
      </c>
      <c r="K1993" t="s">
        <v>45</v>
      </c>
      <c r="L1993" t="s">
        <v>39</v>
      </c>
      <c r="M1993" t="s">
        <v>49</v>
      </c>
      <c r="N1993">
        <f>Sheet1[[#This Row],[Quantity]]*Sheet1[[#This Row],[UnitPrice]]</f>
        <v>48.16</v>
      </c>
    </row>
    <row r="1994" spans="1:14" x14ac:dyDescent="0.3">
      <c r="A1994" s="1">
        <v>45446</v>
      </c>
      <c r="B1994" t="s">
        <v>1988</v>
      </c>
      <c r="C1994" t="s">
        <v>101</v>
      </c>
      <c r="D1994" t="s">
        <v>74</v>
      </c>
      <c r="E1994" t="s">
        <v>17</v>
      </c>
      <c r="F1994">
        <v>9</v>
      </c>
      <c r="G1994">
        <v>332.9</v>
      </c>
      <c r="H1994" t="s">
        <v>28</v>
      </c>
      <c r="I1994" t="s">
        <v>2775</v>
      </c>
      <c r="J1994" t="s">
        <v>44</v>
      </c>
      <c r="K1994" t="s">
        <v>45</v>
      </c>
      <c r="L1994" t="s">
        <v>22</v>
      </c>
      <c r="M1994" t="s">
        <v>49</v>
      </c>
      <c r="N1994">
        <f>Sheet1[[#This Row],[Quantity]]*Sheet1[[#This Row],[UnitPrice]]</f>
        <v>2996.1</v>
      </c>
    </row>
    <row r="1995" spans="1:14" x14ac:dyDescent="0.3">
      <c r="A1995" s="1">
        <v>45226</v>
      </c>
      <c r="B1995" t="s">
        <v>1941</v>
      </c>
      <c r="C1995" t="s">
        <v>51</v>
      </c>
      <c r="D1995" t="s">
        <v>47</v>
      </c>
      <c r="E1995" t="s">
        <v>52</v>
      </c>
      <c r="F1995">
        <v>2</v>
      </c>
      <c r="G1995">
        <v>371.73</v>
      </c>
      <c r="H1995" t="s">
        <v>36</v>
      </c>
      <c r="I1995" t="s">
        <v>2776</v>
      </c>
      <c r="J1995" t="s">
        <v>38</v>
      </c>
      <c r="K1995" t="s">
        <v>45</v>
      </c>
      <c r="L1995" t="s">
        <v>22</v>
      </c>
      <c r="M1995" t="s">
        <v>40</v>
      </c>
      <c r="N1995">
        <f>Sheet1[[#This Row],[Quantity]]*Sheet1[[#This Row],[UnitPrice]]</f>
        <v>743.46</v>
      </c>
    </row>
    <row r="1996" spans="1:14" x14ac:dyDescent="0.3">
      <c r="A1996" s="1">
        <v>45074</v>
      </c>
      <c r="B1996" t="s">
        <v>1126</v>
      </c>
      <c r="C1996" t="s">
        <v>25</v>
      </c>
      <c r="D1996" t="s">
        <v>74</v>
      </c>
      <c r="E1996" t="s">
        <v>17</v>
      </c>
      <c r="F1996">
        <v>1</v>
      </c>
      <c r="G1996">
        <v>305.52</v>
      </c>
      <c r="H1996" t="s">
        <v>18</v>
      </c>
      <c r="I1996" t="s">
        <v>2777</v>
      </c>
      <c r="J1996" t="s">
        <v>44</v>
      </c>
      <c r="K1996" t="s">
        <v>45</v>
      </c>
      <c r="L1996" t="s">
        <v>22</v>
      </c>
      <c r="M1996" t="s">
        <v>61</v>
      </c>
      <c r="N1996">
        <f>Sheet1[[#This Row],[Quantity]]*Sheet1[[#This Row],[UnitPrice]]</f>
        <v>305.52</v>
      </c>
    </row>
    <row r="1997" spans="1:14" x14ac:dyDescent="0.3">
      <c r="A1997" s="1">
        <v>45448</v>
      </c>
      <c r="B1997" t="s">
        <v>698</v>
      </c>
      <c r="C1997" t="s">
        <v>63</v>
      </c>
      <c r="D1997" t="s">
        <v>26</v>
      </c>
      <c r="E1997" t="s">
        <v>67</v>
      </c>
      <c r="F1997">
        <v>9</v>
      </c>
      <c r="G1997">
        <v>138.02000000000001</v>
      </c>
      <c r="H1997" t="s">
        <v>18</v>
      </c>
      <c r="I1997" t="s">
        <v>2778</v>
      </c>
      <c r="J1997" t="s">
        <v>20</v>
      </c>
      <c r="K1997" t="s">
        <v>59</v>
      </c>
      <c r="L1997" t="s">
        <v>39</v>
      </c>
      <c r="M1997" t="s">
        <v>76</v>
      </c>
      <c r="N1997">
        <f>Sheet1[[#This Row],[Quantity]]*Sheet1[[#This Row],[UnitPrice]]</f>
        <v>1242.18</v>
      </c>
    </row>
    <row r="1998" spans="1:14" x14ac:dyDescent="0.3">
      <c r="A1998" s="1">
        <v>45714</v>
      </c>
      <c r="B1998" t="s">
        <v>379</v>
      </c>
      <c r="C1998" t="s">
        <v>25</v>
      </c>
      <c r="D1998" t="s">
        <v>47</v>
      </c>
      <c r="E1998" t="s">
        <v>52</v>
      </c>
      <c r="F1998">
        <v>7</v>
      </c>
      <c r="G1998">
        <v>242.35</v>
      </c>
      <c r="H1998" t="s">
        <v>53</v>
      </c>
      <c r="I1998" t="s">
        <v>2779</v>
      </c>
      <c r="J1998" t="s">
        <v>58</v>
      </c>
      <c r="K1998" t="s">
        <v>31</v>
      </c>
      <c r="L1998" t="s">
        <v>60</v>
      </c>
      <c r="M1998" t="s">
        <v>76</v>
      </c>
      <c r="N1998">
        <f>Sheet1[[#This Row],[Quantity]]*Sheet1[[#This Row],[UnitPrice]]</f>
        <v>1696.45</v>
      </c>
    </row>
    <row r="1999" spans="1:14" x14ac:dyDescent="0.3">
      <c r="A1999" s="1">
        <v>45431</v>
      </c>
      <c r="B1999" t="s">
        <v>1140</v>
      </c>
      <c r="C1999" t="s">
        <v>34</v>
      </c>
      <c r="D1999" t="s">
        <v>47</v>
      </c>
      <c r="E1999" t="s">
        <v>67</v>
      </c>
      <c r="F1999">
        <v>1</v>
      </c>
      <c r="G1999">
        <v>297.64999999999998</v>
      </c>
      <c r="H1999" t="s">
        <v>28</v>
      </c>
      <c r="I1999" t="s">
        <v>2780</v>
      </c>
      <c r="J1999" t="s">
        <v>30</v>
      </c>
      <c r="K1999" t="s">
        <v>31</v>
      </c>
      <c r="L1999" t="s">
        <v>39</v>
      </c>
      <c r="M1999" t="s">
        <v>61</v>
      </c>
      <c r="N1999">
        <f>Sheet1[[#This Row],[Quantity]]*Sheet1[[#This Row],[UnitPrice]]</f>
        <v>297.64999999999998</v>
      </c>
    </row>
    <row r="2000" spans="1:14" x14ac:dyDescent="0.3">
      <c r="A2000" s="1">
        <v>45090</v>
      </c>
      <c r="B2000" t="s">
        <v>1827</v>
      </c>
      <c r="C2000" t="s">
        <v>25</v>
      </c>
      <c r="D2000" t="s">
        <v>47</v>
      </c>
      <c r="E2000" t="s">
        <v>52</v>
      </c>
      <c r="F2000">
        <v>1</v>
      </c>
      <c r="G2000">
        <v>343.54</v>
      </c>
      <c r="H2000" t="s">
        <v>36</v>
      </c>
      <c r="I2000" t="s">
        <v>2781</v>
      </c>
      <c r="J2000" t="s">
        <v>44</v>
      </c>
      <c r="K2000" t="s">
        <v>59</v>
      </c>
      <c r="L2000" t="s">
        <v>22</v>
      </c>
      <c r="M2000" t="s">
        <v>84</v>
      </c>
      <c r="N2000">
        <f>Sheet1[[#This Row],[Quantity]]*Sheet1[[#This Row],[UnitPrice]]</f>
        <v>343.54</v>
      </c>
    </row>
    <row r="2001" spans="1:14" x14ac:dyDescent="0.3">
      <c r="A2001" s="1">
        <v>45764</v>
      </c>
      <c r="B2001" t="s">
        <v>1365</v>
      </c>
      <c r="C2001" t="s">
        <v>15</v>
      </c>
      <c r="D2001" t="s">
        <v>16</v>
      </c>
      <c r="E2001" t="s">
        <v>64</v>
      </c>
      <c r="F2001">
        <v>1</v>
      </c>
      <c r="G2001">
        <v>152.49</v>
      </c>
      <c r="H2001" t="s">
        <v>18</v>
      </c>
      <c r="I2001" t="s">
        <v>2782</v>
      </c>
      <c r="J2001" t="s">
        <v>30</v>
      </c>
      <c r="K2001" t="s">
        <v>45</v>
      </c>
      <c r="L2001" t="s">
        <v>60</v>
      </c>
      <c r="M2001" t="s">
        <v>32</v>
      </c>
      <c r="N2001">
        <f>Sheet1[[#This Row],[Quantity]]*Sheet1[[#This Row],[UnitPrice]]</f>
        <v>152.49</v>
      </c>
    </row>
    <row r="2002" spans="1:14" x14ac:dyDescent="0.3">
      <c r="A2002" s="1"/>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DF699-0B7A-4BF5-99C8-4EBE254977C2}">
  <dimension ref="A2:B4"/>
  <sheetViews>
    <sheetView workbookViewId="0">
      <selection activeCell="G12" sqref="G12"/>
    </sheetView>
  </sheetViews>
  <sheetFormatPr defaultRowHeight="14.4" x14ac:dyDescent="0.3"/>
  <sheetData>
    <row r="2" spans="1:2" x14ac:dyDescent="0.3">
      <c r="A2">
        <f>SUM(Sheet1[TotalPrice])</f>
        <v>2207643.5500000035</v>
      </c>
      <c r="B2" t="s">
        <v>2789</v>
      </c>
    </row>
    <row r="3" spans="1:2" x14ac:dyDescent="0.3">
      <c r="A3">
        <f>SUM(Sheet1[Quantity])</f>
        <v>11057</v>
      </c>
      <c r="B3" t="s">
        <v>2790</v>
      </c>
    </row>
    <row r="4" spans="1:2" x14ac:dyDescent="0.3">
      <c r="A4">
        <f>AVERAGE('Sheet1 (2)'!G1977:G2001)</f>
        <v>217.0968</v>
      </c>
      <c r="B4" t="s">
        <v>2791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AEF1-1D31-425B-957B-2960FC6B5154}">
  <sheetPr>
    <tabColor theme="1"/>
  </sheetPr>
  <dimension ref="A1"/>
  <sheetViews>
    <sheetView showGridLines="0" tabSelected="1" zoomScale="93" zoomScaleNormal="115" workbookViewId="0">
      <selection activeCell="AA24" sqref="AA24"/>
    </sheetView>
  </sheetViews>
  <sheetFormatPr defaultRowHeight="14.4" x14ac:dyDescent="0.3"/>
  <cols>
    <col min="27" max="27" width="0" hidden="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A86AB11-01EF-4B6D-A94A-0B4A3B2FF0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montly sales and quantity trend</vt:lpstr>
      <vt:lpstr>Sheet3</vt:lpstr>
      <vt:lpstr>Sheet6</vt:lpstr>
      <vt:lpstr>Sheet7</vt:lpstr>
      <vt:lpstr>Sheet8</vt:lpstr>
      <vt:lpstr>Sheet9</vt:lpstr>
      <vt:lpstr>Sheet10</vt:lpstr>
      <vt:lpstr>dashboards</vt:lpstr>
      <vt:lpstr>Sheet1 (2)</vt:lpstr>
      <vt:lpstr>Sheet1</vt:lpstr>
      <vt:lpstr>Sheet11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Pavan A P</dc:creator>
  <cp:lastModifiedBy>Pavan A P</cp:lastModifiedBy>
  <dcterms:created xsi:type="dcterms:W3CDTF">2025-10-28T12:59:40Z</dcterms:created>
  <dcterms:modified xsi:type="dcterms:W3CDTF">2025-10-29T13:10:47Z</dcterms:modified>
</cp:coreProperties>
</file>